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hidePivotFieldList="1"/>
  <mc:AlternateContent xmlns:mc="http://schemas.openxmlformats.org/markup-compatibility/2006">
    <mc:Choice Requires="x15">
      <x15ac:absPath xmlns:x15ac="http://schemas.microsoft.com/office/spreadsheetml/2010/11/ac" url="/Users/andrejpolozkov/Documents/втб практика/админ_правонарушения/"/>
    </mc:Choice>
  </mc:AlternateContent>
  <xr:revisionPtr revIDLastSave="0" documentId="13_ncr:1_{B6D09E4C-C8FA-0D4B-83C2-097B487B03EA}" xr6:coauthVersionLast="47" xr6:coauthVersionMax="47" xr10:uidLastSave="{00000000-0000-0000-0000-000000000000}"/>
  <bookViews>
    <workbookView xWindow="0" yWindow="660" windowWidth="29400" windowHeight="16880" activeTab="3" xr2:uid="{00000000-000D-0000-FFFF-FFFF00000000}"/>
  </bookViews>
  <sheets>
    <sheet name="компании+описание" sheetId="2" r:id="rId1"/>
    <sheet name="готовая таблица" sheetId="6" r:id="rId2"/>
    <sheet name="статьи" sheetId="3" r:id="rId3"/>
    <sheet name="дашборды" sheetId="12" r:id="rId4"/>
    <sheet name="впр" sheetId="5" r:id="rId5"/>
    <sheet name="копия" sheetId="1" r:id="rId6"/>
    <sheet name="чистые данные" sheetId="4" r:id="rId7"/>
  </sheets>
  <definedNames>
    <definedName name="_xlnm._FilterDatabase" localSheetId="1" hidden="1">'готовая таблица'!$A$1:$I$450</definedName>
    <definedName name="_xlnm._FilterDatabase" localSheetId="6" hidden="1">'чистые данные'!$A$1:$I$450</definedName>
    <definedName name="ВстроеннаяВременнаяШкала_Дата_постановления">#N/A</definedName>
    <definedName name="Срез_Статья_КоАП1">#N/A</definedName>
    <definedName name="Срез_Тип_лица1">#N/A</definedName>
    <definedName name="Срез_Штраф_факт1">#N/A</definedName>
    <definedName name="Срез_Штраф_факт2">#N/A</definedName>
  </definedNames>
  <calcPr calcId="191029"/>
  <pivotCaches>
    <pivotCache cacheId="0" r:id="rId8"/>
    <pivotCache cacheId="1" r:id="rId9"/>
    <pivotCache cacheId="2" r:id="rId10"/>
    <pivotCache cacheId="4"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4" l="1"/>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2" i="4"/>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2" i="1"/>
  <c r="I450" i="1" a="1"/>
  <c r="I450" i="1" s="1"/>
  <c r="I449" i="1" a="1"/>
  <c r="I449" i="1" s="1"/>
  <c r="I448" i="1" a="1"/>
  <c r="I448" i="1"/>
  <c r="I447" i="1" a="1"/>
  <c r="I447" i="1" s="1"/>
  <c r="I446" i="1" a="1"/>
  <c r="I446" i="1" s="1"/>
  <c r="I445" i="1" a="1"/>
  <c r="I445" i="1" s="1"/>
  <c r="I444" i="1" a="1"/>
  <c r="I444" i="1" s="1"/>
  <c r="I443" i="1" a="1"/>
  <c r="I443" i="1" s="1"/>
  <c r="I442" i="1" a="1"/>
  <c r="I442" i="1" s="1"/>
  <c r="I441" i="1" a="1"/>
  <c r="I441" i="1" s="1"/>
  <c r="I440" i="1" a="1"/>
  <c r="I440" i="1" s="1"/>
  <c r="I439" i="1" a="1"/>
  <c r="I439" i="1" s="1"/>
  <c r="I438" i="1" a="1"/>
  <c r="I438" i="1" s="1"/>
  <c r="I437" i="1" a="1"/>
  <c r="I437" i="1" s="1"/>
  <c r="I436" i="1" a="1"/>
  <c r="I436" i="1" s="1"/>
  <c r="I435" i="1" a="1"/>
  <c r="I435" i="1" s="1"/>
  <c r="I434" i="1" a="1"/>
  <c r="I434" i="1"/>
  <c r="I433" i="1" a="1"/>
  <c r="I433" i="1" s="1"/>
  <c r="I432" i="1" a="1"/>
  <c r="I432" i="1"/>
  <c r="I431" i="1" a="1"/>
  <c r="I431" i="1" s="1"/>
  <c r="I430" i="1" a="1"/>
  <c r="I430" i="1" s="1"/>
  <c r="I429" i="1" a="1"/>
  <c r="I429" i="1"/>
  <c r="I428" i="1" a="1"/>
  <c r="I428" i="1" s="1"/>
  <c r="I427" i="1" a="1"/>
  <c r="I427" i="1" s="1"/>
  <c r="I426" i="1" a="1"/>
  <c r="I426" i="1" s="1"/>
  <c r="I425" i="1" a="1"/>
  <c r="I425" i="1" s="1"/>
  <c r="I424" i="1" a="1"/>
  <c r="I424" i="1" s="1"/>
  <c r="I423" i="1" a="1"/>
  <c r="I423" i="1" s="1"/>
  <c r="I422" i="1" a="1"/>
  <c r="I422" i="1" s="1"/>
  <c r="I421" i="1" a="1"/>
  <c r="I421" i="1" s="1"/>
  <c r="I420" i="1" a="1"/>
  <c r="I420" i="1" s="1"/>
  <c r="I419" i="1" a="1"/>
  <c r="I419" i="1"/>
  <c r="I418" i="1" a="1"/>
  <c r="I418" i="1"/>
  <c r="I417" i="1" a="1"/>
  <c r="I417" i="1" s="1"/>
  <c r="I416" i="1" a="1"/>
  <c r="I416" i="1" s="1"/>
  <c r="I415" i="1" a="1"/>
  <c r="I415" i="1" s="1"/>
  <c r="I414" i="1" a="1"/>
  <c r="I414" i="1" s="1"/>
  <c r="I413" i="1" a="1"/>
  <c r="I413" i="1" s="1"/>
  <c r="I412" i="1" a="1"/>
  <c r="I412" i="1"/>
  <c r="I411" i="1" a="1"/>
  <c r="I411" i="1" s="1"/>
  <c r="I410" i="1" a="1"/>
  <c r="I410" i="1" s="1"/>
  <c r="I409" i="1" a="1"/>
  <c r="I409" i="1" s="1"/>
  <c r="I408" i="1" a="1"/>
  <c r="I408" i="1" s="1"/>
  <c r="I407" i="1" a="1"/>
  <c r="I407" i="1" s="1"/>
  <c r="I406" i="1" a="1"/>
  <c r="I406" i="1" s="1"/>
  <c r="I405" i="1" a="1"/>
  <c r="I405" i="1" s="1"/>
  <c r="I404" i="1" a="1"/>
  <c r="I404" i="1"/>
  <c r="I403" i="1" a="1"/>
  <c r="I403" i="1" s="1"/>
  <c r="I402" i="1" a="1"/>
  <c r="I402" i="1" s="1"/>
  <c r="I401" i="1" a="1"/>
  <c r="I401" i="1" s="1"/>
  <c r="I400" i="1" a="1"/>
  <c r="I400" i="1" s="1"/>
  <c r="I399" i="1" a="1"/>
  <c r="I399" i="1" s="1"/>
  <c r="I398" i="1" a="1"/>
  <c r="I398" i="1" s="1"/>
  <c r="I397" i="1" a="1"/>
  <c r="I397" i="1" s="1"/>
  <c r="I396" i="1" a="1"/>
  <c r="I396" i="1" s="1"/>
  <c r="I395" i="1" a="1"/>
  <c r="I395" i="1" s="1"/>
  <c r="I394" i="1" a="1"/>
  <c r="I394" i="1"/>
  <c r="I393" i="1" a="1"/>
  <c r="I393" i="1"/>
  <c r="I392" i="1" a="1"/>
  <c r="I392" i="1" s="1"/>
  <c r="I391" i="1" a="1"/>
  <c r="I391" i="1" s="1"/>
  <c r="I390" i="1" a="1"/>
  <c r="I390" i="1"/>
  <c r="I389" i="1" a="1"/>
  <c r="I389" i="1" s="1"/>
  <c r="I388" i="1" a="1"/>
  <c r="I388" i="1" s="1"/>
  <c r="I387" i="1" a="1"/>
  <c r="I387" i="1"/>
  <c r="I386" i="1" a="1"/>
  <c r="I386" i="1" s="1"/>
  <c r="I385" i="1" a="1"/>
  <c r="I385" i="1" s="1"/>
  <c r="I384" i="1" a="1"/>
  <c r="I384" i="1" s="1"/>
  <c r="I383" i="1" a="1"/>
  <c r="I383" i="1"/>
  <c r="I382" i="1" a="1"/>
  <c r="I382" i="1" s="1"/>
  <c r="I381" i="1" a="1"/>
  <c r="I381" i="1" s="1"/>
  <c r="I380" i="1" a="1"/>
  <c r="I380" i="1" s="1"/>
  <c r="I379" i="1" a="1"/>
  <c r="I379" i="1" s="1"/>
  <c r="I378" i="1" a="1"/>
  <c r="I378" i="1" s="1"/>
  <c r="I377" i="1" a="1"/>
  <c r="I377" i="1" s="1"/>
  <c r="I376" i="1" a="1"/>
  <c r="I376" i="1" s="1"/>
  <c r="I375" i="1" a="1"/>
  <c r="I375" i="1" s="1"/>
  <c r="I374" i="1" a="1"/>
  <c r="I374" i="1" s="1"/>
  <c r="I373" i="1" a="1"/>
  <c r="I373" i="1"/>
  <c r="I372" i="1" a="1"/>
  <c r="I372" i="1"/>
  <c r="I371" i="1" a="1"/>
  <c r="I371" i="1" s="1"/>
  <c r="I370" i="1" a="1"/>
  <c r="I370" i="1" s="1"/>
  <c r="I369" i="1" a="1"/>
  <c r="I369" i="1" s="1"/>
  <c r="I368" i="1" a="1"/>
  <c r="I368" i="1" s="1"/>
  <c r="I367" i="1" a="1"/>
  <c r="I367" i="1" s="1"/>
  <c r="I366" i="1" a="1"/>
  <c r="I366" i="1" s="1"/>
  <c r="I365" i="1" a="1"/>
  <c r="I365" i="1"/>
  <c r="I364" i="1" a="1"/>
  <c r="I364" i="1" s="1"/>
  <c r="I363" i="1" a="1"/>
  <c r="I363" i="1" s="1"/>
  <c r="I362" i="1" a="1"/>
  <c r="I362" i="1" s="1"/>
  <c r="I361" i="1" a="1"/>
  <c r="I361" i="1" s="1"/>
  <c r="I360" i="1" a="1"/>
  <c r="I360" i="1" s="1"/>
  <c r="I359" i="1" a="1"/>
  <c r="I359" i="1" s="1"/>
  <c r="I358" i="1" a="1"/>
  <c r="I358" i="1"/>
  <c r="I357" i="1" a="1"/>
  <c r="I357" i="1" s="1"/>
  <c r="I356" i="1" a="1"/>
  <c r="I356" i="1" s="1"/>
  <c r="I355" i="1" a="1"/>
  <c r="I355" i="1" s="1"/>
  <c r="I354" i="1" a="1"/>
  <c r="I354" i="1"/>
  <c r="I353" i="1" a="1"/>
  <c r="I353" i="1" s="1"/>
  <c r="I352" i="1" a="1"/>
  <c r="I352" i="1" s="1"/>
  <c r="I351" i="1" a="1"/>
  <c r="I351" i="1" s="1"/>
  <c r="I350" i="1" a="1"/>
  <c r="I350" i="1" s="1"/>
  <c r="I349" i="1" a="1"/>
  <c r="I349" i="1" s="1"/>
  <c r="I348" i="1" a="1"/>
  <c r="I348" i="1" s="1"/>
  <c r="I347" i="1" a="1"/>
  <c r="I347" i="1" s="1"/>
  <c r="I346" i="1" a="1"/>
  <c r="I346" i="1" s="1"/>
  <c r="I345" i="1" a="1"/>
  <c r="I345" i="1"/>
  <c r="I344" i="1" a="1"/>
  <c r="I344" i="1"/>
  <c r="I343" i="1" a="1"/>
  <c r="I343" i="1"/>
  <c r="I342" i="1" a="1"/>
  <c r="I342" i="1" s="1"/>
  <c r="I341" i="1" a="1"/>
  <c r="I341" i="1" s="1"/>
  <c r="I340" i="1" a="1"/>
  <c r="I340" i="1"/>
  <c r="I339" i="1" a="1"/>
  <c r="I339" i="1" s="1"/>
  <c r="I338" i="1" a="1"/>
  <c r="I338" i="1" s="1"/>
  <c r="I337" i="1" a="1"/>
  <c r="I337" i="1"/>
  <c r="I336" i="1" a="1"/>
  <c r="I336" i="1" s="1"/>
  <c r="I335" i="1" a="1"/>
  <c r="I335" i="1" s="1"/>
  <c r="I334" i="1" a="1"/>
  <c r="I334" i="1" s="1"/>
  <c r="I333" i="1" a="1"/>
  <c r="I333" i="1"/>
  <c r="I332" i="1" a="1"/>
  <c r="I332" i="1"/>
  <c r="I331" i="1" a="1"/>
  <c r="I331" i="1" s="1"/>
  <c r="I330" i="1" a="1"/>
  <c r="I330" i="1" s="1"/>
  <c r="I329" i="1" a="1"/>
  <c r="I329" i="1" s="1"/>
  <c r="I328" i="1" a="1"/>
  <c r="I328" i="1" s="1"/>
  <c r="I327" i="1" a="1"/>
  <c r="I327" i="1" s="1"/>
  <c r="I326" i="1" a="1"/>
  <c r="I326" i="1" s="1"/>
  <c r="I325" i="1" a="1"/>
  <c r="I325" i="1" s="1"/>
  <c r="I324" i="1" a="1"/>
  <c r="I324" i="1" s="1"/>
  <c r="I323" i="1" a="1"/>
  <c r="I323" i="1" s="1"/>
  <c r="I322" i="1" a="1"/>
  <c r="I322" i="1"/>
  <c r="I321" i="1" a="1"/>
  <c r="I321" i="1" s="1"/>
  <c r="I320" i="1" a="1"/>
  <c r="I320" i="1" s="1"/>
  <c r="I319" i="1" a="1"/>
  <c r="I319" i="1" s="1"/>
  <c r="I318" i="1" a="1"/>
  <c r="I318" i="1"/>
  <c r="I317" i="1" a="1"/>
  <c r="I317" i="1" s="1"/>
  <c r="I316" i="1" a="1"/>
  <c r="I316" i="1" s="1"/>
  <c r="I315" i="1" a="1"/>
  <c r="I315" i="1" s="1"/>
  <c r="I314" i="1" a="1"/>
  <c r="I314" i="1" s="1"/>
  <c r="I313" i="1" a="1"/>
  <c r="I313" i="1" s="1"/>
  <c r="I312" i="1" a="1"/>
  <c r="I312" i="1" s="1"/>
  <c r="I311" i="1" a="1"/>
  <c r="I311" i="1" s="1"/>
  <c r="I310" i="1" a="1"/>
  <c r="I310" i="1" s="1"/>
  <c r="I309" i="1" a="1"/>
  <c r="I309" i="1"/>
  <c r="I308" i="1" a="1"/>
  <c r="I308" i="1" s="1"/>
  <c r="I307" i="1" a="1"/>
  <c r="I307" i="1" s="1"/>
  <c r="I306" i="1" a="1"/>
  <c r="I306" i="1" s="1"/>
  <c r="I305" i="1" a="1"/>
  <c r="I305" i="1"/>
  <c r="I304" i="1" a="1"/>
  <c r="I304" i="1" s="1"/>
  <c r="I303" i="1" a="1"/>
  <c r="I303" i="1" s="1"/>
  <c r="I302" i="1" a="1"/>
  <c r="I302" i="1" s="1"/>
  <c r="I301" i="1" a="1"/>
  <c r="I301" i="1" s="1"/>
  <c r="I300" i="1" a="1"/>
  <c r="I300" i="1" s="1"/>
  <c r="I299" i="1" a="1"/>
  <c r="I299" i="1" s="1"/>
  <c r="I298" i="1" a="1"/>
  <c r="I298" i="1" s="1"/>
  <c r="I297" i="1" a="1"/>
  <c r="I297" i="1"/>
  <c r="I296" i="1" a="1"/>
  <c r="I296" i="1" s="1"/>
  <c r="I295" i="1" a="1"/>
  <c r="I295" i="1"/>
  <c r="I294" i="1" a="1"/>
  <c r="I294" i="1" s="1"/>
  <c r="I293" i="1" a="1"/>
  <c r="I293" i="1"/>
  <c r="I292" i="1" a="1"/>
  <c r="I292" i="1" s="1"/>
  <c r="I291" i="1" a="1"/>
  <c r="I291" i="1" s="1"/>
  <c r="I290" i="1" a="1"/>
  <c r="I290" i="1" s="1"/>
  <c r="I289" i="1" a="1"/>
  <c r="I289" i="1" s="1"/>
  <c r="I288" i="1" a="1"/>
  <c r="I288" i="1" s="1"/>
  <c r="I287" i="1" a="1"/>
  <c r="I287" i="1" s="1"/>
  <c r="I286" i="1" a="1"/>
  <c r="I286" i="1" s="1"/>
  <c r="I285" i="1" a="1"/>
  <c r="I285" i="1" s="1"/>
  <c r="I284" i="1" a="1"/>
  <c r="I284" i="1"/>
  <c r="I283" i="1" a="1"/>
  <c r="I283" i="1" s="1"/>
  <c r="I282" i="1" a="1"/>
  <c r="I282" i="1" s="1"/>
  <c r="I281" i="1" a="1"/>
  <c r="I281" i="1" s="1"/>
  <c r="I280" i="1" a="1"/>
  <c r="I280" i="1" s="1"/>
  <c r="I279" i="1" a="1"/>
  <c r="I279" i="1" s="1"/>
  <c r="I278" i="1" a="1"/>
  <c r="I278" i="1" s="1"/>
  <c r="I277" i="1" a="1"/>
  <c r="I277" i="1" s="1"/>
  <c r="I276" i="1" a="1"/>
  <c r="I276" i="1" s="1"/>
  <c r="I275" i="1" a="1"/>
  <c r="I275" i="1" s="1"/>
  <c r="I274" i="1" a="1"/>
  <c r="I274" i="1" s="1"/>
  <c r="I273" i="1" a="1"/>
  <c r="I273" i="1" s="1"/>
  <c r="I272" i="1" a="1"/>
  <c r="I272" i="1"/>
  <c r="I271" i="1" a="1"/>
  <c r="I271" i="1" s="1"/>
  <c r="I270" i="1" a="1"/>
  <c r="I270" i="1"/>
  <c r="I269" i="1" a="1"/>
  <c r="I269" i="1"/>
  <c r="I268" i="1" a="1"/>
  <c r="I268" i="1" s="1"/>
  <c r="I267" i="1" a="1"/>
  <c r="I267" i="1" s="1"/>
  <c r="I266" i="1" a="1"/>
  <c r="I266" i="1" s="1"/>
  <c r="I265" i="1" a="1"/>
  <c r="I265" i="1" s="1"/>
  <c r="I264" i="1" a="1"/>
  <c r="I264" i="1" s="1"/>
  <c r="I263" i="1" a="1"/>
  <c r="I263" i="1" s="1"/>
  <c r="I262" i="1" a="1"/>
  <c r="I262" i="1"/>
  <c r="I261" i="1" a="1"/>
  <c r="I261" i="1" s="1"/>
  <c r="I260" i="1" a="1"/>
  <c r="I260" i="1" s="1"/>
  <c r="I259" i="1" a="1"/>
  <c r="I259" i="1" s="1"/>
  <c r="I258" i="1" a="1"/>
  <c r="I258" i="1" s="1"/>
  <c r="I257" i="1" a="1"/>
  <c r="I257" i="1"/>
  <c r="I256" i="1" a="1"/>
  <c r="I256" i="1" s="1"/>
  <c r="I255" i="1" a="1"/>
  <c r="I255" i="1"/>
  <c r="I254" i="1" a="1"/>
  <c r="I254" i="1" s="1"/>
  <c r="I253" i="1" a="1"/>
  <c r="I253" i="1" s="1"/>
  <c r="I252" i="1" a="1"/>
  <c r="I252" i="1" s="1"/>
  <c r="I251" i="1" a="1"/>
  <c r="I251" i="1" s="1"/>
  <c r="I250" i="1" a="1"/>
  <c r="I250" i="1" s="1"/>
  <c r="I249" i="1" a="1"/>
  <c r="I249" i="1" s="1"/>
  <c r="I248" i="1" a="1"/>
  <c r="I248" i="1" s="1"/>
  <c r="I247" i="1" a="1"/>
  <c r="I247" i="1" s="1"/>
  <c r="I246" i="1" a="1"/>
  <c r="I246" i="1" s="1"/>
  <c r="I245" i="1" a="1"/>
  <c r="I245" i="1"/>
  <c r="I244" i="1" a="1"/>
  <c r="I244" i="1"/>
  <c r="I243" i="1" a="1"/>
  <c r="I243" i="1" s="1"/>
  <c r="I242" i="1" a="1"/>
  <c r="I242" i="1" s="1"/>
  <c r="I241" i="1" a="1"/>
  <c r="I241" i="1" s="1"/>
  <c r="I240" i="1" a="1"/>
  <c r="I240" i="1" s="1"/>
  <c r="I239" i="1" a="1"/>
  <c r="I239" i="1" s="1"/>
  <c r="I238" i="1" a="1"/>
  <c r="I238" i="1" s="1"/>
  <c r="I237" i="1" a="1"/>
  <c r="I237" i="1"/>
  <c r="I236" i="1" a="1"/>
  <c r="I236" i="1" s="1"/>
  <c r="I235" i="1" a="1"/>
  <c r="I235" i="1" s="1"/>
  <c r="I234" i="1" a="1"/>
  <c r="I234" i="1"/>
  <c r="I233" i="1" a="1"/>
  <c r="I233" i="1" s="1"/>
  <c r="I232" i="1" a="1"/>
  <c r="I232" i="1"/>
  <c r="I231" i="1" a="1"/>
  <c r="I231" i="1" s="1"/>
  <c r="I230" i="1" a="1"/>
  <c r="I230" i="1"/>
  <c r="I229" i="1" a="1"/>
  <c r="I229" i="1" s="1"/>
  <c r="I228" i="1" a="1"/>
  <c r="I228" i="1" s="1"/>
  <c r="I227" i="1" a="1"/>
  <c r="I227" i="1" s="1"/>
  <c r="I226" i="1" a="1"/>
  <c r="I226" i="1" s="1"/>
  <c r="I225" i="1" a="1"/>
  <c r="I225" i="1" s="1"/>
  <c r="I224" i="1" a="1"/>
  <c r="I224" i="1" s="1"/>
  <c r="I223" i="1" a="1"/>
  <c r="I223" i="1"/>
  <c r="I222" i="1" a="1"/>
  <c r="I222" i="1" s="1"/>
  <c r="I221" i="1" a="1"/>
  <c r="I221" i="1" s="1"/>
  <c r="I220" i="1" a="1"/>
  <c r="I220" i="1" s="1"/>
  <c r="I219" i="1" a="1"/>
  <c r="I219" i="1" s="1"/>
  <c r="I218" i="1" a="1"/>
  <c r="I218" i="1" s="1"/>
  <c r="I217" i="1" a="1"/>
  <c r="I217" i="1" s="1"/>
  <c r="I216" i="1" a="1"/>
  <c r="I216" i="1" s="1"/>
  <c r="I215" i="1" a="1"/>
  <c r="I215" i="1" s="1"/>
  <c r="I214" i="1" a="1"/>
  <c r="I214" i="1" s="1"/>
  <c r="I213" i="1" a="1"/>
  <c r="I213" i="1" s="1"/>
  <c r="I212" i="1" a="1"/>
  <c r="I212" i="1" s="1"/>
  <c r="I211" i="1" a="1"/>
  <c r="I211" i="1" s="1"/>
  <c r="I210" i="1" a="1"/>
  <c r="I210" i="1"/>
  <c r="I209" i="1" a="1"/>
  <c r="I209" i="1" s="1"/>
  <c r="I208" i="1" a="1"/>
  <c r="I208" i="1"/>
  <c r="I207" i="1" a="1"/>
  <c r="I207" i="1" s="1"/>
  <c r="I206" i="1" a="1"/>
  <c r="I206" i="1" s="1"/>
  <c r="I205" i="1" a="1"/>
  <c r="I205" i="1" s="1"/>
  <c r="I204" i="1" a="1"/>
  <c r="I204" i="1"/>
  <c r="I203" i="1" a="1"/>
  <c r="I203" i="1" s="1"/>
  <c r="I202" i="1" a="1"/>
  <c r="I202" i="1" s="1"/>
  <c r="I201" i="1" a="1"/>
  <c r="I201" i="1" s="1"/>
  <c r="I200" i="1" a="1"/>
  <c r="I200" i="1" s="1"/>
  <c r="I199" i="1" a="1"/>
  <c r="I199" i="1" s="1"/>
  <c r="I198" i="1" a="1"/>
  <c r="I198" i="1"/>
  <c r="I197" i="1" a="1"/>
  <c r="I197" i="1"/>
  <c r="I196" i="1" a="1"/>
  <c r="I196" i="1" s="1"/>
  <c r="I195" i="1" a="1"/>
  <c r="I195" i="1"/>
  <c r="I194" i="1" a="1"/>
  <c r="I194" i="1" s="1"/>
  <c r="I193" i="1" a="1"/>
  <c r="I193" i="1" s="1"/>
  <c r="I192" i="1" a="1"/>
  <c r="I192" i="1" s="1"/>
  <c r="I191" i="1" a="1"/>
  <c r="I191" i="1" s="1"/>
  <c r="I190" i="1" a="1"/>
  <c r="I190" i="1"/>
  <c r="I189" i="1" a="1"/>
  <c r="I189" i="1" s="1"/>
  <c r="I188" i="1" a="1"/>
  <c r="I188" i="1" s="1"/>
  <c r="I187" i="1" a="1"/>
  <c r="I187" i="1"/>
  <c r="I186" i="1" a="1"/>
  <c r="I186" i="1" s="1"/>
  <c r="I185" i="1" a="1"/>
  <c r="I185" i="1" s="1"/>
  <c r="I184" i="1" a="1"/>
  <c r="I184" i="1"/>
  <c r="I183" i="1" a="1"/>
  <c r="I183" i="1" s="1"/>
  <c r="I182" i="1" a="1"/>
  <c r="I182" i="1"/>
  <c r="I181" i="1" a="1"/>
  <c r="I181" i="1" s="1"/>
  <c r="I180" i="1" a="1"/>
  <c r="I180" i="1" s="1"/>
  <c r="I179" i="1" a="1"/>
  <c r="I179" i="1" s="1"/>
  <c r="I178" i="1" a="1"/>
  <c r="I178" i="1" s="1"/>
  <c r="I177" i="1" a="1"/>
  <c r="I177" i="1" s="1"/>
  <c r="I176" i="1" a="1"/>
  <c r="I176" i="1" s="1"/>
  <c r="I175" i="1" a="1"/>
  <c r="I175" i="1"/>
  <c r="I174" i="1" a="1"/>
  <c r="I174" i="1" s="1"/>
  <c r="I173" i="1" a="1"/>
  <c r="I173" i="1" s="1"/>
  <c r="I172" i="1" a="1"/>
  <c r="I172" i="1" s="1"/>
  <c r="I171" i="1" a="1"/>
  <c r="I171" i="1" s="1"/>
  <c r="I170" i="1" a="1"/>
  <c r="I170" i="1"/>
  <c r="I169" i="1" a="1"/>
  <c r="I169" i="1"/>
  <c r="I168" i="1" a="1"/>
  <c r="I168" i="1"/>
  <c r="I167" i="1" a="1"/>
  <c r="I167" i="1" s="1"/>
  <c r="I166" i="1" a="1"/>
  <c r="I166" i="1" s="1"/>
  <c r="I165" i="1" a="1"/>
  <c r="I165" i="1" s="1"/>
  <c r="I164" i="1" a="1"/>
  <c r="I164" i="1"/>
  <c r="I163" i="1" a="1"/>
  <c r="I163" i="1" s="1"/>
  <c r="I162" i="1" a="1"/>
  <c r="I162" i="1"/>
  <c r="I161" i="1" a="1"/>
  <c r="I161" i="1" s="1"/>
  <c r="I160" i="1" a="1"/>
  <c r="I160" i="1" s="1"/>
  <c r="I159" i="1" a="1"/>
  <c r="I159" i="1"/>
  <c r="I158" i="1" a="1"/>
  <c r="I158" i="1" s="1"/>
  <c r="I157" i="1" a="1"/>
  <c r="I157" i="1"/>
  <c r="I156" i="1" a="1"/>
  <c r="I156" i="1" s="1"/>
  <c r="I155" i="1" a="1"/>
  <c r="I155" i="1" s="1"/>
  <c r="I154" i="1" a="1"/>
  <c r="I154" i="1"/>
  <c r="I153" i="1" a="1"/>
  <c r="I153" i="1"/>
  <c r="I152" i="1" a="1"/>
  <c r="I152" i="1" s="1"/>
  <c r="I151" i="1" a="1"/>
  <c r="I151" i="1" s="1"/>
  <c r="I150" i="1" a="1"/>
  <c r="I150" i="1" s="1"/>
  <c r="I149" i="1" a="1"/>
  <c r="I149" i="1" s="1"/>
  <c r="I148" i="1" a="1"/>
  <c r="I148" i="1"/>
  <c r="I147" i="1" a="1"/>
  <c r="I147" i="1" s="1"/>
  <c r="I146" i="1" a="1"/>
  <c r="I146" i="1" s="1"/>
  <c r="I145" i="1" a="1"/>
  <c r="I145" i="1" s="1"/>
  <c r="I144" i="1" a="1"/>
  <c r="I144" i="1" s="1"/>
  <c r="I143" i="1" a="1"/>
  <c r="I143" i="1" s="1"/>
  <c r="I142" i="1" a="1"/>
  <c r="I142" i="1"/>
  <c r="I141" i="1" a="1"/>
  <c r="I141" i="1" s="1"/>
  <c r="I140" i="1" a="1"/>
  <c r="I140" i="1" s="1"/>
  <c r="I139" i="1" a="1"/>
  <c r="I139" i="1" s="1"/>
  <c r="I138" i="1" a="1"/>
  <c r="I138" i="1" s="1"/>
  <c r="I137" i="1" a="1"/>
  <c r="I137" i="1" s="1"/>
  <c r="I136" i="1" a="1"/>
  <c r="I136" i="1" s="1"/>
  <c r="I135" i="1" a="1"/>
  <c r="I135" i="1" s="1"/>
  <c r="I134" i="1" a="1"/>
  <c r="I134" i="1" s="1"/>
  <c r="I133" i="1" a="1"/>
  <c r="I133" i="1" s="1"/>
  <c r="I132" i="1" a="1"/>
  <c r="I132" i="1" s="1"/>
  <c r="I131" i="1" a="1"/>
  <c r="I131" i="1" s="1"/>
  <c r="I130" i="1" a="1"/>
  <c r="I130" i="1" s="1"/>
  <c r="I129" i="1" a="1"/>
  <c r="I129" i="1"/>
  <c r="I128" i="1" a="1"/>
  <c r="I128" i="1" s="1"/>
  <c r="I127" i="1" a="1"/>
  <c r="I127" i="1" s="1"/>
  <c r="I126" i="1" a="1"/>
  <c r="I126" i="1" s="1"/>
  <c r="I125" i="1" a="1"/>
  <c r="I125" i="1" s="1"/>
  <c r="I124" i="1" a="1"/>
  <c r="I124" i="1" s="1"/>
  <c r="I123" i="1" a="1"/>
  <c r="I123" i="1"/>
  <c r="I122" i="1" a="1"/>
  <c r="I122" i="1" s="1"/>
  <c r="I121" i="1" a="1"/>
  <c r="I121" i="1" s="1"/>
  <c r="I120" i="1" a="1"/>
  <c r="I120" i="1" s="1"/>
  <c r="I119" i="1" a="1"/>
  <c r="I119" i="1" s="1"/>
  <c r="I118" i="1" a="1"/>
  <c r="I118" i="1"/>
  <c r="I117" i="1" a="1"/>
  <c r="I117" i="1" s="1"/>
  <c r="I116" i="1" a="1"/>
  <c r="I116" i="1" s="1"/>
  <c r="I115" i="1" a="1"/>
  <c r="I115" i="1"/>
  <c r="I114" i="1" a="1"/>
  <c r="I114" i="1" s="1"/>
  <c r="I113" i="1" a="1"/>
  <c r="I113" i="1" s="1"/>
  <c r="I112" i="1" a="1"/>
  <c r="I112" i="1" s="1"/>
  <c r="I111" i="1" a="1"/>
  <c r="I111" i="1" s="1"/>
  <c r="I110" i="1" a="1"/>
  <c r="I110" i="1"/>
  <c r="I109" i="1" a="1"/>
  <c r="I109" i="1"/>
  <c r="I108" i="1" a="1"/>
  <c r="I108" i="1" s="1"/>
  <c r="I107" i="1" a="1"/>
  <c r="I107" i="1" s="1"/>
  <c r="I106" i="1" a="1"/>
  <c r="I106" i="1" s="1"/>
  <c r="I105" i="1" a="1"/>
  <c r="I105" i="1" s="1"/>
  <c r="I104" i="1" a="1"/>
  <c r="I104" i="1"/>
  <c r="I103" i="1" a="1"/>
  <c r="I103" i="1"/>
  <c r="I102" i="1" a="1"/>
  <c r="I102" i="1" s="1"/>
  <c r="I101" i="1" a="1"/>
  <c r="I101" i="1" s="1"/>
  <c r="I100" i="1" a="1"/>
  <c r="I100" i="1" s="1"/>
  <c r="I99" i="1" a="1"/>
  <c r="I99" i="1" s="1"/>
  <c r="I98" i="1" a="1"/>
  <c r="I98" i="1" s="1"/>
  <c r="I97" i="1" a="1"/>
  <c r="I97" i="1"/>
  <c r="I96" i="1" a="1"/>
  <c r="I96" i="1" s="1"/>
  <c r="I95" i="1" a="1"/>
  <c r="I95" i="1" s="1"/>
  <c r="I94" i="1" a="1"/>
  <c r="I94" i="1" s="1"/>
  <c r="I93" i="1" a="1"/>
  <c r="I93" i="1" s="1"/>
  <c r="I92" i="1" a="1"/>
  <c r="I92" i="1" s="1"/>
  <c r="I91" i="1" a="1"/>
  <c r="I91" i="1" s="1"/>
  <c r="I90" i="1" a="1"/>
  <c r="I90" i="1"/>
  <c r="I89" i="1" a="1"/>
  <c r="I89" i="1" s="1"/>
  <c r="I88" i="1" a="1"/>
  <c r="I88" i="1"/>
  <c r="I87" i="1" a="1"/>
  <c r="I87" i="1" s="1"/>
  <c r="I86" i="1" a="1"/>
  <c r="I86" i="1" s="1"/>
  <c r="I85" i="1" a="1"/>
  <c r="I85" i="1" s="1"/>
  <c r="I84" i="1" a="1"/>
  <c r="I84" i="1"/>
  <c r="I83" i="1" a="1"/>
  <c r="I83" i="1" s="1"/>
  <c r="I82" i="1" a="1"/>
  <c r="I82" i="1" s="1"/>
  <c r="I81" i="1" a="1"/>
  <c r="I81" i="1" s="1"/>
  <c r="I80" i="1" a="1"/>
  <c r="I80" i="1" s="1"/>
  <c r="I79" i="1" a="1"/>
  <c r="I79" i="1" s="1"/>
  <c r="I78" i="1" a="1"/>
  <c r="I78" i="1" s="1"/>
  <c r="I77" i="1" a="1"/>
  <c r="I77" i="1"/>
  <c r="I76" i="1" a="1"/>
  <c r="I76" i="1" s="1"/>
  <c r="I75" i="1" a="1"/>
  <c r="I75" i="1"/>
  <c r="I74" i="1" a="1"/>
  <c r="I74" i="1" s="1"/>
  <c r="I73" i="1" a="1"/>
  <c r="I73" i="1"/>
  <c r="I72" i="1" a="1"/>
  <c r="I72" i="1" s="1"/>
  <c r="I71" i="1" a="1"/>
  <c r="I71" i="1" s="1"/>
  <c r="I70" i="1" a="1"/>
  <c r="I70" i="1"/>
  <c r="I69" i="1" a="1"/>
  <c r="I69" i="1" s="1"/>
  <c r="I68" i="1" a="1"/>
  <c r="I68" i="1" s="1"/>
  <c r="I67" i="1" a="1"/>
  <c r="I67" i="1" s="1"/>
  <c r="I66" i="1" a="1"/>
  <c r="I66" i="1" s="1"/>
  <c r="I65" i="1" a="1"/>
  <c r="I65" i="1"/>
  <c r="I64" i="1" a="1"/>
  <c r="I64" i="1"/>
  <c r="I63" i="1" a="1"/>
  <c r="I63" i="1" s="1"/>
  <c r="I62" i="1" a="1"/>
  <c r="I62" i="1"/>
  <c r="I61" i="1" a="1"/>
  <c r="I61" i="1" s="1"/>
  <c r="I60" i="1" a="1"/>
  <c r="I60" i="1" s="1"/>
  <c r="I59" i="1" a="1"/>
  <c r="I59" i="1" s="1"/>
  <c r="I58" i="1" a="1"/>
  <c r="I58" i="1"/>
  <c r="I57" i="1" a="1"/>
  <c r="I57" i="1"/>
  <c r="I56" i="1" a="1"/>
  <c r="I56" i="1" s="1"/>
  <c r="I55" i="1" a="1"/>
  <c r="I55" i="1" s="1"/>
  <c r="I54" i="1" a="1"/>
  <c r="I54" i="1" s="1"/>
  <c r="I53" i="1" a="1"/>
  <c r="I53" i="1" s="1"/>
  <c r="I52" i="1" a="1"/>
  <c r="I52" i="1" s="1"/>
  <c r="I51" i="1" a="1"/>
  <c r="I51" i="1" s="1"/>
  <c r="I50" i="1" a="1"/>
  <c r="I50" i="1" s="1"/>
  <c r="I49" i="1" a="1"/>
  <c r="I49" i="1" s="1"/>
  <c r="I48" i="1" a="1"/>
  <c r="I48" i="1" s="1"/>
  <c r="I47" i="1" a="1"/>
  <c r="I47" i="1"/>
  <c r="I46" i="1" a="1"/>
  <c r="I46" i="1" s="1"/>
  <c r="I45" i="1" a="1"/>
  <c r="I45" i="1"/>
  <c r="I44" i="1" a="1"/>
  <c r="I44" i="1" s="1"/>
  <c r="I43" i="1" a="1"/>
  <c r="I43" i="1" s="1"/>
  <c r="I42" i="1" a="1"/>
  <c r="I42" i="1" s="1"/>
  <c r="I41" i="1" a="1"/>
  <c r="I41" i="1" s="1"/>
  <c r="I40" i="1" a="1"/>
  <c r="I40" i="1" s="1"/>
  <c r="I39" i="1" a="1"/>
  <c r="I39" i="1" s="1"/>
  <c r="I38" i="1" a="1"/>
  <c r="I38" i="1"/>
  <c r="I37" i="1" a="1"/>
  <c r="I37" i="1" s="1"/>
  <c r="I36" i="1" a="1"/>
  <c r="I36" i="1" s="1"/>
  <c r="I35" i="1" a="1"/>
  <c r="I35" i="1" s="1"/>
  <c r="I34" i="1" a="1"/>
  <c r="I34" i="1"/>
  <c r="I33" i="1" a="1"/>
  <c r="I33" i="1" s="1"/>
  <c r="I32" i="1" a="1"/>
  <c r="I32" i="1"/>
  <c r="I31" i="1" a="1"/>
  <c r="I31" i="1" s="1"/>
  <c r="I30" i="1" a="1"/>
  <c r="I30" i="1" s="1"/>
  <c r="I29" i="1" a="1"/>
  <c r="I29" i="1" s="1"/>
  <c r="I28" i="1" a="1"/>
  <c r="I28" i="1" s="1"/>
  <c r="I27" i="1" a="1"/>
  <c r="I27" i="1" s="1"/>
  <c r="I26" i="1" a="1"/>
  <c r="I26" i="1" s="1"/>
  <c r="I25" i="1" a="1"/>
  <c r="I25" i="1"/>
  <c r="I24" i="1" a="1"/>
  <c r="I24" i="1" s="1"/>
  <c r="I23" i="1" a="1"/>
  <c r="I23" i="1" s="1"/>
  <c r="I22" i="1" a="1"/>
  <c r="I22" i="1" s="1"/>
  <c r="I21" i="1" a="1"/>
  <c r="I21" i="1" s="1"/>
  <c r="I20" i="1" a="1"/>
  <c r="I20" i="1"/>
  <c r="I19" i="1" a="1"/>
  <c r="I19" i="1"/>
  <c r="I18" i="1" a="1"/>
  <c r="I18" i="1"/>
  <c r="I17" i="1" a="1"/>
  <c r="I17" i="1" s="1"/>
  <c r="I16" i="1" a="1"/>
  <c r="I16" i="1" s="1"/>
  <c r="I15" i="1" a="1"/>
  <c r="I15" i="1" s="1"/>
  <c r="I14" i="1" a="1"/>
  <c r="I14" i="1"/>
  <c r="I13" i="1" a="1"/>
  <c r="I13" i="1" s="1"/>
  <c r="I12" i="1" a="1"/>
  <c r="I12" i="1"/>
  <c r="I11" i="1" a="1"/>
  <c r="I11" i="1" s="1"/>
  <c r="I10" i="1" a="1"/>
  <c r="I10" i="1" s="1"/>
  <c r="I9" i="1" a="1"/>
  <c r="I9" i="1"/>
  <c r="I8" i="1" a="1"/>
  <c r="I8" i="1" s="1"/>
  <c r="I7" i="1" a="1"/>
  <c r="I7" i="1" s="1"/>
  <c r="I6" i="1" a="1"/>
  <c r="I6" i="1" s="1"/>
  <c r="I5" i="1" a="1"/>
  <c r="I5" i="1" s="1"/>
  <c r="I4" i="1" a="1"/>
  <c r="I4" i="1"/>
  <c r="I3" i="1" a="1"/>
  <c r="I3" i="1"/>
  <c r="I2" i="1" a="1"/>
  <c r="I2" i="1" s="1"/>
  <c r="F126" i="6"/>
  <c r="F125" i="6"/>
  <c r="F124"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2" i="6"/>
  <c r="I11" i="6" a="1"/>
  <c r="I11" i="6" s="1"/>
  <c r="I2" i="6" a="1"/>
  <c r="I2" i="6" s="1"/>
  <c r="I3" i="6" a="1"/>
  <c r="I3" i="6" s="1"/>
  <c r="I4" i="6" a="1"/>
  <c r="I4" i="6" s="1"/>
  <c r="I5" i="6" a="1"/>
  <c r="I5" i="6" s="1"/>
  <c r="I6" i="6" a="1"/>
  <c r="I6" i="6" s="1"/>
  <c r="I7" i="6" a="1"/>
  <c r="I7" i="6" s="1"/>
  <c r="I8" i="6" a="1"/>
  <c r="I8" i="6" s="1"/>
  <c r="I9" i="6" a="1"/>
  <c r="I9" i="6" s="1"/>
  <c r="I10" i="6" a="1"/>
  <c r="I10" i="6" s="1"/>
  <c r="I12" i="6" a="1"/>
  <c r="I12" i="6" s="1"/>
  <c r="I13" i="6" a="1"/>
  <c r="I13" i="6" s="1"/>
  <c r="I14" i="6" a="1"/>
  <c r="I14" i="6" s="1"/>
  <c r="I15" i="6" a="1"/>
  <c r="I15" i="6" s="1"/>
  <c r="I16" i="6" a="1"/>
  <c r="I16" i="6" s="1"/>
  <c r="I17" i="6" a="1"/>
  <c r="I17" i="6" s="1"/>
  <c r="I18" i="6" a="1"/>
  <c r="I18" i="6" s="1"/>
  <c r="I19" i="6" a="1"/>
  <c r="I19" i="6" s="1"/>
  <c r="I20" i="6" a="1"/>
  <c r="I20" i="6" s="1"/>
  <c r="I21" i="6" a="1"/>
  <c r="I21" i="6" s="1"/>
  <c r="I22" i="6" a="1"/>
  <c r="I22" i="6" s="1"/>
  <c r="I23" i="6" a="1"/>
  <c r="I23" i="6" s="1"/>
  <c r="I24" i="6" a="1"/>
  <c r="I24" i="6" s="1"/>
  <c r="I25" i="6" a="1"/>
  <c r="I25" i="6" s="1"/>
  <c r="I26" i="6" a="1"/>
  <c r="I26" i="6" s="1"/>
  <c r="I27" i="6" a="1"/>
  <c r="I27" i="6" s="1"/>
  <c r="I28" i="6" a="1"/>
  <c r="I28" i="6" s="1"/>
  <c r="I29" i="6" a="1"/>
  <c r="I29" i="6" s="1"/>
  <c r="I30" i="6" a="1"/>
  <c r="I30" i="6" s="1"/>
  <c r="I31" i="6" a="1"/>
  <c r="I31" i="6" s="1"/>
  <c r="I32" i="6" a="1"/>
  <c r="I32" i="6" s="1"/>
  <c r="I33" i="6" a="1"/>
  <c r="I33" i="6" s="1"/>
  <c r="I34" i="6" a="1"/>
  <c r="I34" i="6" s="1"/>
  <c r="I35" i="6" a="1"/>
  <c r="I35" i="6" s="1"/>
  <c r="I36" i="6" a="1"/>
  <c r="I36" i="6" s="1"/>
  <c r="I37" i="6" a="1"/>
  <c r="I37" i="6" s="1"/>
  <c r="I38" i="6" a="1"/>
  <c r="I38" i="6" s="1"/>
  <c r="I39" i="6" a="1"/>
  <c r="I39" i="6" s="1"/>
  <c r="I40" i="6" a="1"/>
  <c r="I40" i="6" s="1"/>
  <c r="I41" i="6" a="1"/>
  <c r="I41" i="6" s="1"/>
  <c r="I42" i="6" a="1"/>
  <c r="I42" i="6" s="1"/>
  <c r="I43" i="6" a="1"/>
  <c r="I43" i="6" s="1"/>
  <c r="I44" i="6" a="1"/>
  <c r="I44" i="6" s="1"/>
  <c r="I45" i="6" a="1"/>
  <c r="I45" i="6" s="1"/>
  <c r="I46" i="6" a="1"/>
  <c r="I46" i="6" s="1"/>
  <c r="I47" i="6" a="1"/>
  <c r="I47" i="6" s="1"/>
  <c r="I48" i="6" a="1"/>
  <c r="I48" i="6" s="1"/>
  <c r="I49" i="6" a="1"/>
  <c r="I49" i="6" s="1"/>
  <c r="I50" i="6" a="1"/>
  <c r="I50" i="6" s="1"/>
  <c r="I51" i="6" a="1"/>
  <c r="I51" i="6" s="1"/>
  <c r="I52" i="6" a="1"/>
  <c r="I52" i="6" s="1"/>
  <c r="I53" i="6" a="1"/>
  <c r="I53" i="6" s="1"/>
  <c r="I54" i="6" a="1"/>
  <c r="I54" i="6" s="1"/>
  <c r="I55" i="6" a="1"/>
  <c r="I55" i="6" s="1"/>
  <c r="I56" i="6" a="1"/>
  <c r="I56" i="6" s="1"/>
  <c r="I57" i="6" a="1"/>
  <c r="I57" i="6" s="1"/>
  <c r="I58" i="6" a="1"/>
  <c r="I58" i="6" s="1"/>
  <c r="I59" i="6" a="1"/>
  <c r="I59" i="6" s="1"/>
  <c r="I60" i="6" a="1"/>
  <c r="I60" i="6" s="1"/>
  <c r="I61" i="6" a="1"/>
  <c r="I61" i="6" s="1"/>
  <c r="I62" i="6" a="1"/>
  <c r="I62" i="6" s="1"/>
  <c r="I63" i="6" a="1"/>
  <c r="I63" i="6" s="1"/>
  <c r="I64" i="6" a="1"/>
  <c r="I64" i="6" s="1"/>
  <c r="I65" i="6" a="1"/>
  <c r="I65" i="6" s="1"/>
  <c r="I66" i="6" a="1"/>
  <c r="I66" i="6" s="1"/>
  <c r="I67" i="6" a="1"/>
  <c r="I67" i="6" s="1"/>
  <c r="I68" i="6" a="1"/>
  <c r="I68" i="6" s="1"/>
  <c r="I69" i="6" a="1"/>
  <c r="I69" i="6" s="1"/>
  <c r="I70" i="6" a="1"/>
  <c r="I70" i="6" s="1"/>
  <c r="I71" i="6" a="1"/>
  <c r="I71" i="6" s="1"/>
  <c r="I72" i="6" a="1"/>
  <c r="I72" i="6" s="1"/>
  <c r="I73" i="6" a="1"/>
  <c r="I73" i="6" s="1"/>
  <c r="I74" i="6" a="1"/>
  <c r="I74" i="6" s="1"/>
  <c r="I75" i="6" a="1"/>
  <c r="I75" i="6" s="1"/>
  <c r="I76" i="6" a="1"/>
  <c r="I76" i="6" s="1"/>
  <c r="I77" i="6" a="1"/>
  <c r="I77" i="6" s="1"/>
  <c r="I78" i="6" a="1"/>
  <c r="I78" i="6" s="1"/>
  <c r="I79" i="6" a="1"/>
  <c r="I79" i="6" s="1"/>
  <c r="I80" i="6" a="1"/>
  <c r="I80" i="6" s="1"/>
  <c r="I81" i="6" a="1"/>
  <c r="I81" i="6" s="1"/>
  <c r="I82" i="6" a="1"/>
  <c r="I82" i="6" s="1"/>
  <c r="I83" i="6" a="1"/>
  <c r="I83" i="6" s="1"/>
  <c r="I84" i="6" a="1"/>
  <c r="I84" i="6" s="1"/>
  <c r="I85" i="6" a="1"/>
  <c r="I85" i="6" s="1"/>
  <c r="I86" i="6" a="1"/>
  <c r="I86" i="6" s="1"/>
  <c r="I87" i="6" a="1"/>
  <c r="I87" i="6" s="1"/>
  <c r="I88" i="6" a="1"/>
  <c r="I88" i="6" s="1"/>
  <c r="I89" i="6" a="1"/>
  <c r="I89" i="6" s="1"/>
  <c r="I90" i="6" a="1"/>
  <c r="I90" i="6" s="1"/>
  <c r="I91" i="6" a="1"/>
  <c r="I91" i="6" s="1"/>
  <c r="I92" i="6" a="1"/>
  <c r="I92" i="6" s="1"/>
  <c r="I93" i="6" a="1"/>
  <c r="I93" i="6" s="1"/>
  <c r="I94" i="6" a="1"/>
  <c r="I94" i="6" s="1"/>
  <c r="I95" i="6" a="1"/>
  <c r="I95" i="6" s="1"/>
  <c r="I96" i="6" a="1"/>
  <c r="I96" i="6" s="1"/>
  <c r="I97" i="6" a="1"/>
  <c r="I97" i="6" s="1"/>
  <c r="I98" i="6" a="1"/>
  <c r="I98" i="6" s="1"/>
  <c r="I99" i="6" a="1"/>
  <c r="I99" i="6" s="1"/>
  <c r="I100" i="6" a="1"/>
  <c r="I100" i="6" s="1"/>
  <c r="I101" i="6" a="1"/>
  <c r="I101" i="6" s="1"/>
  <c r="I102" i="6" a="1"/>
  <c r="I102" i="6" s="1"/>
  <c r="I103" i="6" a="1"/>
  <c r="I103" i="6" s="1"/>
  <c r="I104" i="6" a="1"/>
  <c r="I104" i="6" s="1"/>
  <c r="I105" i="6" a="1"/>
  <c r="I105" i="6" s="1"/>
  <c r="I106" i="6" a="1"/>
  <c r="I106" i="6" s="1"/>
  <c r="I107" i="6" a="1"/>
  <c r="I107" i="6" s="1"/>
  <c r="I108" i="6" a="1"/>
  <c r="I108" i="6" s="1"/>
  <c r="I109" i="6" a="1"/>
  <c r="I109" i="6" s="1"/>
  <c r="I110" i="6" a="1"/>
  <c r="I110" i="6" s="1"/>
  <c r="I111" i="6" a="1"/>
  <c r="I111" i="6" s="1"/>
  <c r="I112" i="6" a="1"/>
  <c r="I112" i="6" s="1"/>
  <c r="I113" i="6" a="1"/>
  <c r="I113" i="6" s="1"/>
  <c r="I114" i="6" a="1"/>
  <c r="I114" i="6" s="1"/>
  <c r="I115" i="6" a="1"/>
  <c r="I115" i="6" s="1"/>
  <c r="I116" i="6" a="1"/>
  <c r="I116" i="6" s="1"/>
  <c r="I117" i="6" a="1"/>
  <c r="I117" i="6" s="1"/>
  <c r="I118" i="6" a="1"/>
  <c r="I118" i="6" s="1"/>
  <c r="I119" i="6" a="1"/>
  <c r="I119" i="6" s="1"/>
  <c r="I120" i="6" a="1"/>
  <c r="I120" i="6" s="1"/>
  <c r="I121" i="6" a="1"/>
  <c r="I121" i="6" s="1"/>
  <c r="I122" i="6" a="1"/>
  <c r="I122" i="6" s="1"/>
  <c r="I123" i="6" a="1"/>
  <c r="I123" i="6" s="1"/>
  <c r="I124" i="6" a="1"/>
  <c r="I124" i="6" s="1"/>
  <c r="I125" i="6" a="1"/>
  <c r="I125" i="6" s="1"/>
  <c r="I126" i="6" a="1"/>
  <c r="I126" i="6" s="1"/>
  <c r="I127" i="6" a="1"/>
  <c r="I127" i="6" s="1"/>
  <c r="I128" i="6" a="1"/>
  <c r="I128" i="6" s="1"/>
  <c r="I129" i="6" a="1"/>
  <c r="I129" i="6" s="1"/>
  <c r="I130" i="6" a="1"/>
  <c r="I130" i="6" s="1"/>
  <c r="I131" i="6" a="1"/>
  <c r="I131" i="6" s="1"/>
  <c r="I132" i="6" a="1"/>
  <c r="I132" i="6" s="1"/>
  <c r="I133" i="6" a="1"/>
  <c r="I133" i="6" s="1"/>
  <c r="I134" i="6" a="1"/>
  <c r="I134" i="6" s="1"/>
  <c r="I135" i="6" a="1"/>
  <c r="I135" i="6" s="1"/>
  <c r="I136" i="6" a="1"/>
  <c r="I136" i="6" s="1"/>
  <c r="I137" i="6" a="1"/>
  <c r="I137" i="6" s="1"/>
  <c r="I138" i="6" a="1"/>
  <c r="I138" i="6" s="1"/>
  <c r="I139" i="6" a="1"/>
  <c r="I139" i="6" s="1"/>
  <c r="I140" i="6" a="1"/>
  <c r="I140" i="6" s="1"/>
  <c r="I141" i="6" a="1"/>
  <c r="I141" i="6" s="1"/>
  <c r="I142" i="6" a="1"/>
  <c r="I142" i="6" s="1"/>
  <c r="I143" i="6" a="1"/>
  <c r="I143" i="6" s="1"/>
  <c r="I144" i="6" a="1"/>
  <c r="I144" i="6" s="1"/>
  <c r="I145" i="6" a="1"/>
  <c r="I145" i="6" s="1"/>
  <c r="I146" i="6" a="1"/>
  <c r="I146" i="6" s="1"/>
  <c r="I147" i="6" a="1"/>
  <c r="I147" i="6" s="1"/>
  <c r="I148" i="6" a="1"/>
  <c r="I148" i="6" s="1"/>
  <c r="I149" i="6" a="1"/>
  <c r="I149" i="6" s="1"/>
  <c r="I150" i="6" a="1"/>
  <c r="I150" i="6" s="1"/>
  <c r="I151" i="6" a="1"/>
  <c r="I151" i="6" s="1"/>
  <c r="I152" i="6" a="1"/>
  <c r="I152" i="6" s="1"/>
  <c r="I153" i="6" a="1"/>
  <c r="I153" i="6" s="1"/>
  <c r="I154" i="6" a="1"/>
  <c r="I154" i="6" s="1"/>
  <c r="I155" i="6" a="1"/>
  <c r="I155" i="6" s="1"/>
  <c r="I156" i="6" a="1"/>
  <c r="I156" i="6" s="1"/>
  <c r="I157" i="6" a="1"/>
  <c r="I157" i="6" s="1"/>
  <c r="I158" i="6" a="1"/>
  <c r="I158" i="6" s="1"/>
  <c r="I159" i="6" a="1"/>
  <c r="I159" i="6" s="1"/>
  <c r="I160" i="6" a="1"/>
  <c r="I160" i="6" s="1"/>
  <c r="I161" i="6" a="1"/>
  <c r="I161" i="6" s="1"/>
  <c r="I162" i="6" a="1"/>
  <c r="I162" i="6" s="1"/>
  <c r="I163" i="6" a="1"/>
  <c r="I163" i="6" s="1"/>
  <c r="I164" i="6" a="1"/>
  <c r="I164" i="6" s="1"/>
  <c r="I165" i="6" a="1"/>
  <c r="I165" i="6" s="1"/>
  <c r="I166" i="6" a="1"/>
  <c r="I166" i="6" s="1"/>
  <c r="I167" i="6" a="1"/>
  <c r="I167" i="6" s="1"/>
  <c r="I168" i="6" a="1"/>
  <c r="I168" i="6" s="1"/>
  <c r="I169" i="6" a="1"/>
  <c r="I169" i="6" s="1"/>
  <c r="I170" i="6" a="1"/>
  <c r="I170" i="6" s="1"/>
  <c r="I171" i="6" a="1"/>
  <c r="I171" i="6" s="1"/>
  <c r="I172" i="6" a="1"/>
  <c r="I172" i="6" s="1"/>
  <c r="I173" i="6" a="1"/>
  <c r="I173" i="6" s="1"/>
  <c r="I174" i="6" a="1"/>
  <c r="I174" i="6" s="1"/>
  <c r="I175" i="6" a="1"/>
  <c r="I175" i="6" s="1"/>
  <c r="I176" i="6" a="1"/>
  <c r="I176" i="6" s="1"/>
  <c r="I177" i="6" a="1"/>
  <c r="I177" i="6" s="1"/>
  <c r="I178" i="6" a="1"/>
  <c r="I178" i="6" s="1"/>
  <c r="I179" i="6" a="1"/>
  <c r="I179" i="6" s="1"/>
  <c r="I180" i="6" a="1"/>
  <c r="I180" i="6" s="1"/>
  <c r="I181" i="6" a="1"/>
  <c r="I181" i="6" s="1"/>
  <c r="I182" i="6" a="1"/>
  <c r="I182" i="6" s="1"/>
  <c r="I183" i="6" a="1"/>
  <c r="I183" i="6" s="1"/>
  <c r="I184" i="6" a="1"/>
  <c r="I184" i="6" s="1"/>
  <c r="I185" i="6" a="1"/>
  <c r="I185" i="6" s="1"/>
  <c r="I186" i="6" a="1"/>
  <c r="I186" i="6" s="1"/>
  <c r="I187" i="6" a="1"/>
  <c r="I187" i="6" s="1"/>
  <c r="I188" i="6" a="1"/>
  <c r="I188" i="6" s="1"/>
  <c r="I189" i="6" a="1"/>
  <c r="I189" i="6" s="1"/>
  <c r="I190" i="6" a="1"/>
  <c r="I190" i="6" s="1"/>
  <c r="I191" i="6" a="1"/>
  <c r="I191" i="6" s="1"/>
  <c r="I192" i="6" a="1"/>
  <c r="I192" i="6" s="1"/>
  <c r="I193" i="6" a="1"/>
  <c r="I193" i="6" s="1"/>
  <c r="I194" i="6" a="1"/>
  <c r="I194" i="6" s="1"/>
  <c r="I195" i="6" a="1"/>
  <c r="I195" i="6" s="1"/>
  <c r="I196" i="6" a="1"/>
  <c r="I196" i="6" s="1"/>
  <c r="I197" i="6" a="1"/>
  <c r="I197" i="6" s="1"/>
  <c r="I198" i="6" a="1"/>
  <c r="I198" i="6" s="1"/>
  <c r="I199" i="6" a="1"/>
  <c r="I199" i="6" s="1"/>
  <c r="I200" i="6" a="1"/>
  <c r="I200" i="6" s="1"/>
  <c r="I201" i="6" a="1"/>
  <c r="I201" i="6" s="1"/>
  <c r="I202" i="6" a="1"/>
  <c r="I202" i="6" s="1"/>
  <c r="I203" i="6" a="1"/>
  <c r="I203" i="6" s="1"/>
  <c r="I204" i="6" a="1"/>
  <c r="I204" i="6" s="1"/>
  <c r="I205" i="6" a="1"/>
  <c r="I205" i="6" s="1"/>
  <c r="I206" i="6" a="1"/>
  <c r="I206" i="6" s="1"/>
  <c r="I207" i="6" a="1"/>
  <c r="I207" i="6" s="1"/>
  <c r="I208" i="6" a="1"/>
  <c r="I208" i="6" s="1"/>
  <c r="I209" i="6" a="1"/>
  <c r="I209" i="6" s="1"/>
  <c r="I210" i="6" a="1"/>
  <c r="I210" i="6" s="1"/>
  <c r="I211" i="6" a="1"/>
  <c r="I211" i="6" s="1"/>
  <c r="I212" i="6" a="1"/>
  <c r="I212" i="6" s="1"/>
  <c r="I213" i="6" a="1"/>
  <c r="I213" i="6" s="1"/>
  <c r="I214" i="6" a="1"/>
  <c r="I214" i="6" s="1"/>
  <c r="I215" i="6" a="1"/>
  <c r="I215" i="6" s="1"/>
  <c r="I216" i="6" a="1"/>
  <c r="I216" i="6" s="1"/>
  <c r="I217" i="6" a="1"/>
  <c r="I217" i="6" s="1"/>
  <c r="I218" i="6" a="1"/>
  <c r="I218" i="6" s="1"/>
  <c r="I219" i="6" a="1"/>
  <c r="I219" i="6" s="1"/>
  <c r="I220" i="6" a="1"/>
  <c r="I220" i="6" s="1"/>
  <c r="I221" i="6" a="1"/>
  <c r="I221" i="6" s="1"/>
  <c r="I222" i="6" a="1"/>
  <c r="I222" i="6" s="1"/>
  <c r="I223" i="6" a="1"/>
  <c r="I223" i="6" s="1"/>
  <c r="I224" i="6" a="1"/>
  <c r="I224" i="6" s="1"/>
  <c r="I225" i="6" a="1"/>
  <c r="I225" i="6" s="1"/>
  <c r="I226" i="6" a="1"/>
  <c r="I226" i="6" s="1"/>
  <c r="I227" i="6" a="1"/>
  <c r="I227" i="6" s="1"/>
  <c r="I228" i="6" a="1"/>
  <c r="I228" i="6" s="1"/>
  <c r="I229" i="6" a="1"/>
  <c r="I229" i="6" s="1"/>
  <c r="I230" i="6" a="1"/>
  <c r="I230" i="6" s="1"/>
  <c r="I231" i="6" a="1"/>
  <c r="I231" i="6" s="1"/>
  <c r="I232" i="6" a="1"/>
  <c r="I232" i="6" s="1"/>
  <c r="I233" i="6" a="1"/>
  <c r="I233" i="6" s="1"/>
  <c r="I234" i="6" a="1"/>
  <c r="I234" i="6" s="1"/>
  <c r="I235" i="6" a="1"/>
  <c r="I235" i="6" s="1"/>
  <c r="I236" i="6" a="1"/>
  <c r="I236" i="6" s="1"/>
  <c r="I237" i="6" a="1"/>
  <c r="I237" i="6" s="1"/>
  <c r="I238" i="6" a="1"/>
  <c r="I238" i="6" s="1"/>
  <c r="I239" i="6" a="1"/>
  <c r="I239" i="6" s="1"/>
  <c r="I240" i="6" a="1"/>
  <c r="I240" i="6" s="1"/>
  <c r="I241" i="6" a="1"/>
  <c r="I241" i="6" s="1"/>
  <c r="I242" i="6" a="1"/>
  <c r="I242" i="6" s="1"/>
  <c r="I243" i="6" a="1"/>
  <c r="I243" i="6" s="1"/>
  <c r="I244" i="6" a="1"/>
  <c r="I244" i="6" s="1"/>
  <c r="I245" i="6" a="1"/>
  <c r="I245" i="6" s="1"/>
  <c r="I246" i="6" a="1"/>
  <c r="I246" i="6" s="1"/>
  <c r="I247" i="6" a="1"/>
  <c r="I247" i="6" s="1"/>
  <c r="I248" i="6" a="1"/>
  <c r="I248" i="6" s="1"/>
  <c r="I249" i="6" a="1"/>
  <c r="I249" i="6" s="1"/>
  <c r="I250" i="6" a="1"/>
  <c r="I250" i="6" s="1"/>
  <c r="I251" i="6" a="1"/>
  <c r="I251" i="6" s="1"/>
  <c r="I252" i="6" a="1"/>
  <c r="I252" i="6" s="1"/>
  <c r="I253" i="6" a="1"/>
  <c r="I253" i="6" s="1"/>
  <c r="I254" i="6" a="1"/>
  <c r="I254" i="6" s="1"/>
  <c r="I255" i="6" a="1"/>
  <c r="I255" i="6" s="1"/>
  <c r="I256" i="6" a="1"/>
  <c r="I256" i="6" s="1"/>
  <c r="I257" i="6" a="1"/>
  <c r="I257" i="6" s="1"/>
  <c r="I258" i="6" a="1"/>
  <c r="I258" i="6" s="1"/>
  <c r="I259" i="6" a="1"/>
  <c r="I259" i="6" s="1"/>
  <c r="I260" i="6" a="1"/>
  <c r="I260" i="6" s="1"/>
  <c r="I261" i="6" a="1"/>
  <c r="I261" i="6" s="1"/>
  <c r="I262" i="6" a="1"/>
  <c r="I262" i="6" s="1"/>
  <c r="I263" i="6" a="1"/>
  <c r="I263" i="6" s="1"/>
  <c r="I264" i="6" a="1"/>
  <c r="I264" i="6" s="1"/>
  <c r="I265" i="6" a="1"/>
  <c r="I265" i="6" s="1"/>
  <c r="I266" i="6" a="1"/>
  <c r="I266" i="6" s="1"/>
  <c r="I267" i="6" a="1"/>
  <c r="I267" i="6" s="1"/>
  <c r="I268" i="6" a="1"/>
  <c r="I268" i="6" s="1"/>
  <c r="I269" i="6" a="1"/>
  <c r="I269" i="6" s="1"/>
  <c r="I270" i="6" a="1"/>
  <c r="I270" i="6" s="1"/>
  <c r="I271" i="6" a="1"/>
  <c r="I271" i="6" s="1"/>
  <c r="I272" i="6" a="1"/>
  <c r="I272" i="6" s="1"/>
  <c r="I273" i="6" a="1"/>
  <c r="I273" i="6" s="1"/>
  <c r="I274" i="6" a="1"/>
  <c r="I274" i="6" s="1"/>
  <c r="I275" i="6" a="1"/>
  <c r="I275" i="6" s="1"/>
  <c r="I276" i="6" a="1"/>
  <c r="I276" i="6" s="1"/>
  <c r="I277" i="6" a="1"/>
  <c r="I277" i="6" s="1"/>
  <c r="I278" i="6" a="1"/>
  <c r="I278" i="6" s="1"/>
  <c r="I279" i="6" a="1"/>
  <c r="I279" i="6" s="1"/>
  <c r="I280" i="6" a="1"/>
  <c r="I280" i="6" s="1"/>
  <c r="I281" i="6" a="1"/>
  <c r="I281" i="6" s="1"/>
  <c r="I282" i="6" a="1"/>
  <c r="I282" i="6" s="1"/>
  <c r="I283" i="6" a="1"/>
  <c r="I283" i="6" s="1"/>
  <c r="I284" i="6" a="1"/>
  <c r="I284" i="6" s="1"/>
  <c r="I285" i="6" a="1"/>
  <c r="I285" i="6" s="1"/>
  <c r="I286" i="6" a="1"/>
  <c r="I286" i="6" s="1"/>
  <c r="I287" i="6" a="1"/>
  <c r="I287" i="6" s="1"/>
  <c r="I288" i="6" a="1"/>
  <c r="I288" i="6" s="1"/>
  <c r="I289" i="6" a="1"/>
  <c r="I289" i="6" s="1"/>
  <c r="I290" i="6" a="1"/>
  <c r="I290" i="6" s="1"/>
  <c r="I291" i="6" a="1"/>
  <c r="I291" i="6" s="1"/>
  <c r="I292" i="6" a="1"/>
  <c r="I292" i="6" s="1"/>
  <c r="I293" i="6" a="1"/>
  <c r="I293" i="6" s="1"/>
  <c r="I294" i="6" a="1"/>
  <c r="I294" i="6" s="1"/>
  <c r="I295" i="6" a="1"/>
  <c r="I295" i="6" s="1"/>
  <c r="I296" i="6" a="1"/>
  <c r="I296" i="6" s="1"/>
  <c r="I297" i="6" a="1"/>
  <c r="I297" i="6" s="1"/>
  <c r="I298" i="6" a="1"/>
  <c r="I298" i="6" s="1"/>
  <c r="I299" i="6" a="1"/>
  <c r="I299" i="6" s="1"/>
  <c r="I300" i="6" a="1"/>
  <c r="I300" i="6" s="1"/>
  <c r="I301" i="6" a="1"/>
  <c r="I301" i="6" s="1"/>
  <c r="I302" i="6" a="1"/>
  <c r="I302" i="6" s="1"/>
  <c r="I303" i="6" a="1"/>
  <c r="I303" i="6" s="1"/>
  <c r="I304" i="6" a="1"/>
  <c r="I304" i="6" s="1"/>
  <c r="I305" i="6" a="1"/>
  <c r="I305" i="6" s="1"/>
  <c r="I306" i="6" a="1"/>
  <c r="I306" i="6" s="1"/>
  <c r="I307" i="6" a="1"/>
  <c r="I307" i="6" s="1"/>
  <c r="I308" i="6" a="1"/>
  <c r="I308" i="6" s="1"/>
  <c r="I309" i="6" a="1"/>
  <c r="I309" i="6" s="1"/>
  <c r="I310" i="6" a="1"/>
  <c r="I310" i="6" s="1"/>
  <c r="I311" i="6" a="1"/>
  <c r="I311" i="6" s="1"/>
  <c r="I312" i="6" a="1"/>
  <c r="I312" i="6" s="1"/>
  <c r="I313" i="6" a="1"/>
  <c r="I313" i="6" s="1"/>
  <c r="I314" i="6" a="1"/>
  <c r="I314" i="6" s="1"/>
  <c r="I315" i="6" a="1"/>
  <c r="I315" i="6" s="1"/>
  <c r="I316" i="6" a="1"/>
  <c r="I316" i="6" s="1"/>
  <c r="I317" i="6" a="1"/>
  <c r="I317" i="6" s="1"/>
  <c r="I318" i="6" a="1"/>
  <c r="I318" i="6" s="1"/>
  <c r="I319" i="6" a="1"/>
  <c r="I319" i="6" s="1"/>
  <c r="I320" i="6" a="1"/>
  <c r="I320" i="6" s="1"/>
  <c r="I321" i="6" a="1"/>
  <c r="I321" i="6" s="1"/>
  <c r="I322" i="6" a="1"/>
  <c r="I322" i="6" s="1"/>
  <c r="I323" i="6" a="1"/>
  <c r="I323" i="6" s="1"/>
  <c r="I324" i="6" a="1"/>
  <c r="I324" i="6" s="1"/>
  <c r="I325" i="6" a="1"/>
  <c r="I325" i="6" s="1"/>
  <c r="I326" i="6" a="1"/>
  <c r="I326" i="6" s="1"/>
  <c r="I327" i="6" a="1"/>
  <c r="I327" i="6" s="1"/>
  <c r="I328" i="6" a="1"/>
  <c r="I328" i="6" s="1"/>
  <c r="I329" i="6" a="1"/>
  <c r="I329" i="6" s="1"/>
  <c r="I330" i="6" a="1"/>
  <c r="I330" i="6" s="1"/>
  <c r="I331" i="6" a="1"/>
  <c r="I331" i="6" s="1"/>
  <c r="I332" i="6" a="1"/>
  <c r="I332" i="6" s="1"/>
  <c r="I333" i="6" a="1"/>
  <c r="I333" i="6" s="1"/>
  <c r="I334" i="6" a="1"/>
  <c r="I334" i="6" s="1"/>
  <c r="I335" i="6" a="1"/>
  <c r="I335" i="6" s="1"/>
  <c r="I336" i="6" a="1"/>
  <c r="I336" i="6" s="1"/>
  <c r="I337" i="6" a="1"/>
  <c r="I337" i="6" s="1"/>
  <c r="I338" i="6" a="1"/>
  <c r="I338" i="6" s="1"/>
  <c r="I339" i="6" a="1"/>
  <c r="I339" i="6" s="1"/>
  <c r="I340" i="6" a="1"/>
  <c r="I340" i="6" s="1"/>
  <c r="I341" i="6" a="1"/>
  <c r="I341" i="6" s="1"/>
  <c r="I342" i="6" a="1"/>
  <c r="I342" i="6" s="1"/>
  <c r="I343" i="6" a="1"/>
  <c r="I343" i="6" s="1"/>
  <c r="I344" i="6" a="1"/>
  <c r="I344" i="6" s="1"/>
  <c r="I345" i="6" a="1"/>
  <c r="I345" i="6" s="1"/>
  <c r="I346" i="6" a="1"/>
  <c r="I346" i="6" s="1"/>
  <c r="I347" i="6" a="1"/>
  <c r="I347" i="6" s="1"/>
  <c r="I348" i="6" a="1"/>
  <c r="I348" i="6" s="1"/>
  <c r="I349" i="6" a="1"/>
  <c r="I349" i="6" s="1"/>
  <c r="I350" i="6" a="1"/>
  <c r="I350" i="6" s="1"/>
  <c r="I351" i="6" a="1"/>
  <c r="I351" i="6" s="1"/>
  <c r="I352" i="6" a="1"/>
  <c r="I352" i="6" s="1"/>
  <c r="I353" i="6" a="1"/>
  <c r="I353" i="6" s="1"/>
  <c r="I354" i="6" a="1"/>
  <c r="I354" i="6" s="1"/>
  <c r="I355" i="6" a="1"/>
  <c r="I355" i="6" s="1"/>
  <c r="I356" i="6" a="1"/>
  <c r="I356" i="6" s="1"/>
  <c r="I357" i="6" a="1"/>
  <c r="I357" i="6" s="1"/>
  <c r="I358" i="6" a="1"/>
  <c r="I358" i="6" s="1"/>
  <c r="I359" i="6" a="1"/>
  <c r="I359" i="6" s="1"/>
  <c r="I360" i="6" a="1"/>
  <c r="I360" i="6" s="1"/>
  <c r="I361" i="6" a="1"/>
  <c r="I361" i="6" s="1"/>
  <c r="I362" i="6" a="1"/>
  <c r="I362" i="6" s="1"/>
  <c r="I363" i="6" a="1"/>
  <c r="I363" i="6" s="1"/>
  <c r="I364" i="6" a="1"/>
  <c r="I364" i="6" s="1"/>
  <c r="I365" i="6" a="1"/>
  <c r="I365" i="6" s="1"/>
  <c r="I366" i="6" a="1"/>
  <c r="I366" i="6" s="1"/>
  <c r="I367" i="6" a="1"/>
  <c r="I367" i="6" s="1"/>
  <c r="I368" i="6" a="1"/>
  <c r="I368" i="6" s="1"/>
  <c r="I369" i="6" a="1"/>
  <c r="I369" i="6" s="1"/>
  <c r="I370" i="6" a="1"/>
  <c r="I370" i="6" s="1"/>
  <c r="I371" i="6" a="1"/>
  <c r="I371" i="6" s="1"/>
  <c r="I372" i="6" a="1"/>
  <c r="I372" i="6" s="1"/>
  <c r="I373" i="6" a="1"/>
  <c r="I373" i="6" s="1"/>
  <c r="I374" i="6" a="1"/>
  <c r="I374" i="6" s="1"/>
  <c r="I375" i="6" a="1"/>
  <c r="I375" i="6" s="1"/>
  <c r="I376" i="6" a="1"/>
  <c r="I376" i="6" s="1"/>
  <c r="I377" i="6" a="1"/>
  <c r="I377" i="6" s="1"/>
  <c r="I378" i="6" a="1"/>
  <c r="I378" i="6" s="1"/>
  <c r="I379" i="6" a="1"/>
  <c r="I379" i="6" s="1"/>
  <c r="I380" i="6" a="1"/>
  <c r="I380" i="6" s="1"/>
  <c r="I381" i="6" a="1"/>
  <c r="I381" i="6" s="1"/>
  <c r="I382" i="6" a="1"/>
  <c r="I382" i="6" s="1"/>
  <c r="I383" i="6" a="1"/>
  <c r="I383" i="6" s="1"/>
  <c r="I384" i="6" a="1"/>
  <c r="I384" i="6" s="1"/>
  <c r="I385" i="6" a="1"/>
  <c r="I385" i="6" s="1"/>
  <c r="I386" i="6" a="1"/>
  <c r="I386" i="6" s="1"/>
  <c r="I387" i="6" a="1"/>
  <c r="I387" i="6" s="1"/>
  <c r="I388" i="6" a="1"/>
  <c r="I388" i="6" s="1"/>
  <c r="I389" i="6" a="1"/>
  <c r="I389" i="6" s="1"/>
  <c r="I390" i="6" a="1"/>
  <c r="I390" i="6" s="1"/>
  <c r="I391" i="6" a="1"/>
  <c r="I391" i="6" s="1"/>
  <c r="I392" i="6" a="1"/>
  <c r="I392" i="6" s="1"/>
  <c r="I393" i="6" a="1"/>
  <c r="I393" i="6" s="1"/>
  <c r="I394" i="6" a="1"/>
  <c r="I394" i="6" s="1"/>
  <c r="I395" i="6" a="1"/>
  <c r="I395" i="6" s="1"/>
  <c r="I396" i="6" a="1"/>
  <c r="I396" i="6" s="1"/>
  <c r="I397" i="6" a="1"/>
  <c r="I397" i="6" s="1"/>
  <c r="I398" i="6" a="1"/>
  <c r="I398" i="6" s="1"/>
  <c r="I399" i="6" a="1"/>
  <c r="I399" i="6" s="1"/>
  <c r="I400" i="6" a="1"/>
  <c r="I400" i="6" s="1"/>
  <c r="I401" i="6" a="1"/>
  <c r="I401" i="6" s="1"/>
  <c r="I402" i="6" a="1"/>
  <c r="I402" i="6" s="1"/>
  <c r="I403" i="6" a="1"/>
  <c r="I403" i="6" s="1"/>
  <c r="I404" i="6" a="1"/>
  <c r="I404" i="6" s="1"/>
  <c r="I405" i="6" a="1"/>
  <c r="I405" i="6" s="1"/>
  <c r="I406" i="6" a="1"/>
  <c r="I406" i="6" s="1"/>
  <c r="I407" i="6" a="1"/>
  <c r="I407" i="6" s="1"/>
  <c r="I408" i="6" a="1"/>
  <c r="I408" i="6" s="1"/>
  <c r="I409" i="6" a="1"/>
  <c r="I409" i="6" s="1"/>
  <c r="I410" i="6" a="1"/>
  <c r="I410" i="6" s="1"/>
  <c r="I411" i="6" a="1"/>
  <c r="I411" i="6" s="1"/>
  <c r="I412" i="6" a="1"/>
  <c r="I412" i="6" s="1"/>
  <c r="I413" i="6" a="1"/>
  <c r="I413" i="6" s="1"/>
  <c r="I414" i="6" a="1"/>
  <c r="I414" i="6" s="1"/>
  <c r="I415" i="6" a="1"/>
  <c r="I415" i="6" s="1"/>
  <c r="I416" i="6" a="1"/>
  <c r="I416" i="6" s="1"/>
  <c r="I417" i="6" a="1"/>
  <c r="I417" i="6" s="1"/>
  <c r="I418" i="6" a="1"/>
  <c r="I418" i="6" s="1"/>
  <c r="I419" i="6" a="1"/>
  <c r="I419" i="6" s="1"/>
  <c r="I420" i="6" a="1"/>
  <c r="I420" i="6" s="1"/>
  <c r="I421" i="6" a="1"/>
  <c r="I421" i="6" s="1"/>
  <c r="I422" i="6" a="1"/>
  <c r="I422" i="6" s="1"/>
  <c r="I423" i="6" a="1"/>
  <c r="I423" i="6" s="1"/>
  <c r="I424" i="6" a="1"/>
  <c r="I424" i="6" s="1"/>
  <c r="I425" i="6" a="1"/>
  <c r="I425" i="6" s="1"/>
  <c r="I426" i="6" a="1"/>
  <c r="I426" i="6" s="1"/>
  <c r="I427" i="6" a="1"/>
  <c r="I427" i="6" s="1"/>
  <c r="I428" i="6" a="1"/>
  <c r="I428" i="6" s="1"/>
  <c r="I429" i="6" a="1"/>
  <c r="I429" i="6" s="1"/>
  <c r="I430" i="6" a="1"/>
  <c r="I430" i="6" s="1"/>
  <c r="I431" i="6" a="1"/>
  <c r="I431" i="6" s="1"/>
  <c r="I432" i="6" a="1"/>
  <c r="I432" i="6" s="1"/>
  <c r="I433" i="6" a="1"/>
  <c r="I433" i="6" s="1"/>
  <c r="I434" i="6" a="1"/>
  <c r="I434" i="6" s="1"/>
  <c r="I435" i="6" a="1"/>
  <c r="I435" i="6" s="1"/>
  <c r="I436" i="6" a="1"/>
  <c r="I436" i="6" s="1"/>
  <c r="I437" i="6" a="1"/>
  <c r="I437" i="6" s="1"/>
  <c r="I438" i="6" a="1"/>
  <c r="I438" i="6" s="1"/>
  <c r="I439" i="6" a="1"/>
  <c r="I439" i="6" s="1"/>
  <c r="I440" i="6" a="1"/>
  <c r="I440" i="6" s="1"/>
  <c r="I441" i="6" a="1"/>
  <c r="I441" i="6" s="1"/>
  <c r="I442" i="6" a="1"/>
  <c r="I442" i="6" s="1"/>
  <c r="I443" i="6" a="1"/>
  <c r="I443" i="6" s="1"/>
  <c r="I444" i="6" a="1"/>
  <c r="I444" i="6" s="1"/>
  <c r="I445" i="6" a="1"/>
  <c r="I445" i="6" s="1"/>
  <c r="I446" i="6" a="1"/>
  <c r="I446" i="6" s="1"/>
  <c r="I447" i="6" a="1"/>
  <c r="I447" i="6" s="1"/>
  <c r="I448" i="6" a="1"/>
  <c r="I448" i="6" s="1"/>
  <c r="I449" i="6" a="1"/>
  <c r="I449" i="6" s="1"/>
  <c r="I450" i="6" a="1"/>
  <c r="I450" i="6" s="1"/>
  <c r="A3" i="5"/>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2"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<sst xmlns="http://schemas.openxmlformats.org/spreadsheetml/2006/main" count="6848" uniqueCount="1068">
  <si>
    <t>Дата постановления</t>
  </si>
  <si>
    <t>Субъект</t>
  </si>
  <si>
    <t>Статья КоАП</t>
  </si>
  <si>
    <t>17.02.2026</t>
  </si>
  <si>
    <t>Акционерное общество «Негосударственный пенсионный фонд «Ростех»</t>
  </si>
  <si>
    <t>ч.9 ст.15.29 КоАП РФ</t>
  </si>
  <si>
    <t>Общество с ограниченной ответственностью «Управляющая компания_x000D_
«Атон-менеджмент»</t>
  </si>
  <si>
    <t>ч.6 ст.15.29 КоАП РФ</t>
  </si>
  <si>
    <t>ч.12 ст.15.29 КоАП РФ</t>
  </si>
  <si>
    <t>13.02.2026</t>
  </si>
  <si>
    <t>Акционерное общество_x000D_
Управляющая компания «Центр Эссет Менеджмент»</t>
  </si>
  <si>
    <t>предупреждение</t>
  </si>
  <si>
    <t>10.02.2026</t>
  </si>
  <si>
    <t>АО «ИК «РИКОМ-ТРАСТ»</t>
  </si>
  <si>
    <t>Акционерное общество ВИМ Инвестиции</t>
  </si>
  <si>
    <t>Общество с ограниченной_x000D_
ответственностью_x000D_
«Управляющая компания_x000D_
«Ресурс»</t>
  </si>
  <si>
    <t>Общество с ограниченной ответственностью «ТрастЮнион Эссет Менеджмент»</t>
  </si>
  <si>
    <t>Акционерное общество «Управляющая Компания ТРИНФИКО»</t>
  </si>
  <si>
    <t>ч.5 ст.15.29 КоАП РФ</t>
  </si>
  <si>
    <t>09.02.2026</t>
  </si>
  <si>
    <t>ООО «Цифра брокер»</t>
  </si>
  <si>
    <t>06.02.2026</t>
  </si>
  <si>
    <t>Голубков Виктор Владимирович</t>
  </si>
  <si>
    <t>ст.15.30 КоАП РФ</t>
  </si>
  <si>
    <t>3000</t>
  </si>
  <si>
    <t>03.02.2026</t>
  </si>
  <si>
    <t>генеральный директор общества с ограниченной ответственностью «Тринити Шиппинг» Ярошенко Александр Иванович</t>
  </si>
  <si>
    <t>Гальямова Наталья Александровна</t>
  </si>
  <si>
    <t>Чмыхало Юлия Анатольевна</t>
  </si>
  <si>
    <t>30.01.2026</t>
  </si>
  <si>
    <t>Усольцева Яна Германовна</t>
  </si>
  <si>
    <t>Краснова Галина Ивановна</t>
  </si>
  <si>
    <t>Артамонов Валерий Геннадьевич</t>
  </si>
  <si>
    <t>Манюкова Татьяна Васильевна</t>
  </si>
  <si>
    <t>Доценко Марина Сергеевна</t>
  </si>
  <si>
    <t>Гальямов Марсель Геральдович</t>
  </si>
  <si>
    <t>Садыров Игорь Рашидович</t>
  </si>
  <si>
    <t>27.01.2026</t>
  </si>
  <si>
    <t>Карчевский Павел Владимирович</t>
  </si>
  <si>
    <t>Шушин Олег Игоревич</t>
  </si>
  <si>
    <t>26.01.2026</t>
  </si>
  <si>
    <t>Беломытцева Наталия Сергеевна</t>
  </si>
  <si>
    <t>23.01.2026</t>
  </si>
  <si>
    <t>Ретровская Нина Борисовна</t>
  </si>
  <si>
    <t>Исаченко Наталия Николаевна</t>
  </si>
  <si>
    <t>Беломытцев Павел Анатольевич</t>
  </si>
  <si>
    <t>Зайцев Александр Олегович</t>
  </si>
  <si>
    <t>Нарушева Елена Гаптелахатовна</t>
  </si>
  <si>
    <t>Нарушев Андрей Иванович</t>
  </si>
  <si>
    <t>19.01.2026</t>
  </si>
  <si>
    <t>ИП Панов Александр Константинович</t>
  </si>
  <si>
    <t>13.01.2026</t>
  </si>
  <si>
    <t>ИП Панов Владимир Константинович</t>
  </si>
  <si>
    <t>Оганезян Роман Рафикович</t>
  </si>
  <si>
    <t>Клименко Артем Валерьевич</t>
  </si>
  <si>
    <t>Тихомиров Вадим Владимирович</t>
  </si>
  <si>
    <t>15.01.2026</t>
  </si>
  <si>
    <t>ООО "Тринити Шиппинг"</t>
  </si>
  <si>
    <t>30.12.2025</t>
  </si>
  <si>
    <t>Бурыкин Иван Терентьевич</t>
  </si>
  <si>
    <t>Колесникова Надежда Вячеславовна</t>
  </si>
  <si>
    <t>Мазнев Андрей Вячеславович</t>
  </si>
  <si>
    <t>Мазнев Сергей Вячеславович</t>
  </si>
  <si>
    <t>Дмитриев Андрей Николаевич</t>
  </si>
  <si>
    <t>Малык Герман Андреевич</t>
  </si>
  <si>
    <t>Усачев Андрей Николаевич</t>
  </si>
  <si>
    <t>Шушин Игорь Борисович</t>
  </si>
  <si>
    <t>Шушина Татьяна Геннадьевна</t>
  </si>
  <si>
    <t>Богачев Вячеслав Анатольевич</t>
  </si>
  <si>
    <t>Султанаева Эльвира Дамировна</t>
  </si>
  <si>
    <t>Бурыкин Иван Иванович</t>
  </si>
  <si>
    <t>ООО «КВАЛИТИ»</t>
  </si>
  <si>
    <t>ч.9 ст.19.5 КоАП РФ</t>
  </si>
  <si>
    <t>ООО «THEДЕНЬГИ.РУ»</t>
  </si>
  <si>
    <t>ООО «ПФЛ НОВЫЕ ИНВЕСТИЦИИ»</t>
  </si>
  <si>
    <t>ч.1 ст.19.7.3 КоАП РФ</t>
  </si>
  <si>
    <t>ООО «ТОЧКА ИНВЕСТИЦИИ»</t>
  </si>
  <si>
    <t>Акционерное общество "Частные Активы"</t>
  </si>
  <si>
    <t>Общество с ограниченной ответственностью Управляющая Компания "Юнион Инвест Групп"</t>
  </si>
  <si>
    <t>Акционерное общество Негосударственный пенсионный фонд ВТБ Пенсионный фонд</t>
  </si>
  <si>
    <t>ч.2 ст.15.19 КоАП РФ</t>
  </si>
  <si>
    <t>Акционерное общество «АБ Капитал»</t>
  </si>
  <si>
    <t>Акционерное общество «Инвестиционная компания «РИКОМ-ТРАСТ»</t>
  </si>
  <si>
    <t>ч.2 ст.15.29 КоАП РФ</t>
  </si>
  <si>
    <t>Общество с ограниченной ответственностью «Т-Капитал»</t>
  </si>
  <si>
    <t>Общество с ограниченной ответственностью «РСХБ Управление Активами»</t>
  </si>
  <si>
    <t>Акционерное общество  «Объединенное кредитное бюро»</t>
  </si>
  <si>
    <t>Пивень Наталья Анатольевна</t>
  </si>
  <si>
    <t>Акционерное общество «Объединенное кредитное бюро»</t>
  </si>
  <si>
    <t>Пивень Демид Романович</t>
  </si>
  <si>
    <t>29.12.2025</t>
  </si>
  <si>
    <t>Акционерное общество "Инвестиционная компания "Лидер"</t>
  </si>
  <si>
    <t>23.12.2025</t>
  </si>
  <si>
    <t>Кувшинова Анна Викторовна</t>
  </si>
  <si>
    <t>16.12.2025</t>
  </si>
  <si>
    <t>Кувшинов Роман Сергеевич</t>
  </si>
  <si>
    <t>Чамкин Михаил Александрович</t>
  </si>
  <si>
    <t>12.12.2025</t>
  </si>
  <si>
    <t>ОБЩЕСТВО С ОГРАНИЧЕННОЙ ОТВЕТСТВЕННОСТЬЮ "НАРОДНАЯ ИНВЕСТИЦИОННАЯ ПЛАТФОРМА"</t>
  </si>
  <si>
    <t>Акционерное общество «Управляющая компания «Первая»</t>
  </si>
  <si>
    <t>Акционерное общество_x000D_
«Контрада Капитал»</t>
  </si>
  <si>
    <t>19.12.2025</t>
  </si>
  <si>
    <t>Общество с ограниченной ответственностью "ТОРГОВАЯ СИСТЕМА"</t>
  </si>
  <si>
    <t>Кривова Надежда Юнусовна</t>
  </si>
  <si>
    <t>Кривов Вадим Иванович</t>
  </si>
  <si>
    <t>Общество с ограниченной_x000D_
ответственностью_x000D_
«Совкомбанк Управление_x000D_
Активами»</t>
  </si>
  <si>
    <t>Общество с ограниченной ответственностью "Зитрон"</t>
  </si>
  <si>
    <t>Акционерное общество «НРК-Р.О.С.Т.»</t>
  </si>
  <si>
    <t>ч.7 ст.15.29 КоАП РФ</t>
  </si>
  <si>
    <t>Общество с ограниченной ответственностью «Бюро кредитных историй КредитИнфо»</t>
  </si>
  <si>
    <t>Общество с ограниченной ответственностью «Апрель Капитал Брокер»</t>
  </si>
  <si>
    <t>15.12.2025</t>
  </si>
  <si>
    <t>Акционерное общество_x000D_
«Всероссийский банк_x000D_
развития регионов»</t>
  </si>
  <si>
    <t>Денисова Екатерина Алексеевна</t>
  </si>
  <si>
    <t>11.12.2025</t>
  </si>
  <si>
    <t>Абхаликов Марсель Абдулвалеевич</t>
  </si>
  <si>
    <t>05.12.2025</t>
  </si>
  <si>
    <t>10.12.2025</t>
  </si>
  <si>
    <t>Богачев Алексей Анатольевич</t>
  </si>
  <si>
    <t>09.12.2025</t>
  </si>
  <si>
    <t>Акционерное общество «Управляющая компания «Парадигма»</t>
  </si>
  <si>
    <t>08.12.2025</t>
  </si>
  <si>
    <t>Сысун Константин Валерьевич</t>
  </si>
  <si>
    <t>02.12.2025</t>
  </si>
  <si>
    <t>Краснов Борис Владимирович</t>
  </si>
  <si>
    <t>Общество с ограниченной ответственностью «МКБ Инвестиции»</t>
  </si>
  <si>
    <t>Акционерное общество «Негосударственный пенсионный фонд «БЛАГОСОСТОЯНИЕ»</t>
  </si>
  <si>
    <t>28.11.2025</t>
  </si>
  <si>
    <t>Акционерное общество "Национальное бюро кредитных историй!</t>
  </si>
  <si>
    <t>ст.14.30 КоАП РФ</t>
  </si>
  <si>
    <t>25.11.2025</t>
  </si>
  <si>
    <t>Акционерное общество «ТБанк»</t>
  </si>
  <si>
    <t>Акционерное общество «Райффайзенбанк»</t>
  </si>
  <si>
    <t>Общество с ограниченной ответственностью Управляющая компания «Надежное управление»</t>
  </si>
  <si>
    <t>24.11.2025</t>
  </si>
  <si>
    <t>Агамирова Ламара Бегларовна</t>
  </si>
  <si>
    <t>18.11.2025</t>
  </si>
  <si>
    <t>Третьякова Надежда Яковлевна</t>
  </si>
  <si>
    <t>22.11.2025</t>
  </si>
  <si>
    <t>ООО УК «ФИН-Партнер»</t>
  </si>
  <si>
    <t>Акционерное общество «СОЛИД Менеджмент»</t>
  </si>
  <si>
    <t>АО «НРК-Р.О.С.Т.»</t>
  </si>
  <si>
    <t>21.11.2025</t>
  </si>
  <si>
    <t>ОБЩЕСТВО С ОГРАНИЧЕННОЙ ОТВЕТСТВЕННОСТЬЮ «НАРОДНАЯ ИНВЕСТИЦИОННАЯ ПЛАТФОРМА»</t>
  </si>
  <si>
    <t>Общество с ограниченной ответственностью ВИМ Сбережения</t>
  </si>
  <si>
    <t>Кислица Дмитрий Николаевич</t>
  </si>
  <si>
    <t>Гаспарян Сергей Эдуардович</t>
  </si>
  <si>
    <t>Ледник Мария Ивановна</t>
  </si>
  <si>
    <t>Финк Александр Яковлевич</t>
  </si>
  <si>
    <t>Когай Геннадий Григорьевич</t>
  </si>
  <si>
    <t>Багров Дмитрий Андреевич</t>
  </si>
  <si>
    <t>Денисов Павел Геннадьевич</t>
  </si>
  <si>
    <t>14.11.2025</t>
  </si>
  <si>
    <t>Бастракова Дарья Дмитриевна</t>
  </si>
  <si>
    <t>11.11.2025</t>
  </si>
  <si>
    <t>Трубина Наталья Владимировна</t>
  </si>
  <si>
    <t>13.11.2025</t>
  </si>
  <si>
    <t>Горячева Елена Петровна</t>
  </si>
  <si>
    <t>12.11.2025</t>
  </si>
  <si>
    <t>Медюх Игорь Иосифович</t>
  </si>
  <si>
    <t>Медюх Елена Геннадьевна</t>
  </si>
  <si>
    <t>Байкова Анастасия Юрьевна</t>
  </si>
  <si>
    <t>Бурыкина Оксана Валентиновна</t>
  </si>
  <si>
    <t>Кислица Егор Дмитриевич</t>
  </si>
  <si>
    <t>Савина Александра Юрьевна</t>
  </si>
  <si>
    <t>Комаров Михаил Владимирович</t>
  </si>
  <si>
    <t>Акционерное общество «Объединенное Кредитное Бюро»</t>
  </si>
  <si>
    <t>ч.2 ст.5.54 КоАП РФ</t>
  </si>
  <si>
    <t>ч.1 ст.5.54 КоАП РФ</t>
  </si>
  <si>
    <t>Акционерное общество_x000D_
Инвестиционно-финансовая_x000D_
компания «Солид»</t>
  </si>
  <si>
    <t>Общество с ограниченной ответственностью «Управляющая компания «ГЕРФИН»</t>
  </si>
  <si>
    <t>10.11.2025</t>
  </si>
  <si>
    <t>01.11.2025</t>
  </si>
  <si>
    <t>Глазкова Екатерина Николаевна</t>
  </si>
  <si>
    <t>Глазков Алексей Геннадьевич</t>
  </si>
  <si>
    <t>Ювженко Александр Витальевич</t>
  </si>
  <si>
    <t>07.11.2025</t>
  </si>
  <si>
    <t>АО «ИК «РИКОМ-ТРАСТ</t>
  </si>
  <si>
    <t>Сулейманова Танья Нурмухаметовна</t>
  </si>
  <si>
    <t>Кемайкин Григорий Владимирович</t>
  </si>
  <si>
    <t>Яковлева Надежда Александровна</t>
  </si>
  <si>
    <t>Яковлев Алексей Владимирович</t>
  </si>
  <si>
    <t>Акционерное общество "Национальное бюро кредитных историй"</t>
  </si>
  <si>
    <t>06.11.2025</t>
  </si>
  <si>
    <t>Горячев Дмитрий Александрович</t>
  </si>
  <si>
    <t>Сулейманов Алмаз Рафикович</t>
  </si>
  <si>
    <t>Плахута Михаил Сергеевич</t>
  </si>
  <si>
    <t>05.11.2025</t>
  </si>
  <si>
    <t>Шилова Елена Михайловна</t>
  </si>
  <si>
    <t>Шилов Дмитрий Игоревич</t>
  </si>
  <si>
    <t>Кемайкина Юлия Александровна</t>
  </si>
  <si>
    <t>Общество с ограниченной ответственностью «Инвестиционная компания «Титульный Брокер»</t>
  </si>
  <si>
    <t>Трефилова Мария Сергеевна</t>
  </si>
  <si>
    <t>31.10.2025</t>
  </si>
  <si>
    <t>Янковская Марина Владимировна</t>
  </si>
  <si>
    <t>28.10.2025</t>
  </si>
  <si>
    <t>Янковский Сергей Борисович</t>
  </si>
  <si>
    <t>Громовой Дмитрий Леонидович</t>
  </si>
  <si>
    <t>Никитин Никита Геннадьевич</t>
  </si>
  <si>
    <t>Плахута Эмилия Сергеевна</t>
  </si>
  <si>
    <t>Третьяков Александр Евгеньевич</t>
  </si>
  <si>
    <t>Акционерное общество коммерческий банк "Ситибанк"</t>
  </si>
  <si>
    <t>25.02.2025</t>
  </si>
  <si>
    <t>Акционерное общество «Сбербанк КИБ»</t>
  </si>
  <si>
    <t>ООО «МКБ Инвестиции»</t>
  </si>
  <si>
    <t>19.09.2025</t>
  </si>
  <si>
    <t>Общество с ограниченной_x000D_
ответственностью_x000D_
«Управляющая компания_x000D_
«Альфа-Капитал»</t>
  </si>
  <si>
    <t>Маслова Елена Евгеньевна</t>
  </si>
  <si>
    <t>Маслов Никита Иванович</t>
  </si>
  <si>
    <t>Подкоморная Анастасия Петровна</t>
  </si>
  <si>
    <t>Общество с ограниченной ответственностью Инвестиционная компания «Прайвет Капитал»</t>
  </si>
  <si>
    <t>27.10.2025</t>
  </si>
  <si>
    <t>ООО «ФИНИН-К»</t>
  </si>
  <si>
    <t>24.10.2025</t>
  </si>
  <si>
    <t>ООО «Поток.Диджитал»</t>
  </si>
  <si>
    <t>ООО «СмартИнвест»</t>
  </si>
  <si>
    <t>17.06.2025</t>
  </si>
  <si>
    <t>Прокопенко Андрей Владимирович</t>
  </si>
  <si>
    <t>Никитин Денис Геннадиевич</t>
  </si>
  <si>
    <t>Трефилов Дмитрий Владимирович</t>
  </si>
  <si>
    <t>Дрокова Нина Михайловна</t>
  </si>
  <si>
    <t>Прокопенко Татьяна Александровна</t>
  </si>
  <si>
    <t>Воробьев Кирилл Александрович</t>
  </si>
  <si>
    <t>Колмаков Алексей Анатольевич</t>
  </si>
  <si>
    <t>21.10.2025</t>
  </si>
  <si>
    <t>Данилов Сергей Вениаминович</t>
  </si>
  <si>
    <t>Данилова Татьяна Владимировна</t>
  </si>
  <si>
    <t>Акционерное общество "Объединенное Кредитное Бюро"</t>
  </si>
  <si>
    <t>20.10.2025</t>
  </si>
  <si>
    <t>Стародубцев Олег Александрович</t>
  </si>
  <si>
    <t>17.10.2025</t>
  </si>
  <si>
    <t>АО «Райффайзенбанк»</t>
  </si>
  <si>
    <t>Общество с ограниченной ответственностью «СПЭК ИНВЕСТМЕНТ»</t>
  </si>
  <si>
    <t>Переверзев Игорь Леонидович</t>
  </si>
  <si>
    <t>14.10.2025</t>
  </si>
  <si>
    <t>Короленко Евгений Александрович</t>
  </si>
  <si>
    <t>Гараева Лейла Валерьевна</t>
  </si>
  <si>
    <t>16.10.2025</t>
  </si>
  <si>
    <t>Переверзева Марина Анатольевна</t>
  </si>
  <si>
    <t>10.10.2025</t>
  </si>
  <si>
    <t>ООО УК «Движение капитала»</t>
  </si>
  <si>
    <t>Шушкина Светлана  Алексеевна</t>
  </si>
  <si>
    <t>Черепухина Виктория Борисовна</t>
  </si>
  <si>
    <t>Черепухин Константин Валерьевич</t>
  </si>
  <si>
    <t>09.10.2025</t>
  </si>
  <si>
    <t>Ковтун Илья Николаевич</t>
  </si>
  <si>
    <t>08.10.2025</t>
  </si>
  <si>
    <t>Ковтун Лариса Николаевна</t>
  </si>
  <si>
    <t>03.10.2025</t>
  </si>
  <si>
    <t>07.10.2025</t>
  </si>
  <si>
    <t>Цуканов Игорь Юрьевич</t>
  </si>
  <si>
    <t>Цуканова Галина Николаевна</t>
  </si>
  <si>
    <t>Шушкин Денис Вячеславовоич</t>
  </si>
  <si>
    <t>Цирков Игорь Сергеевич</t>
  </si>
  <si>
    <t>Бушина Ольга Валерьевна</t>
  </si>
  <si>
    <t>Бушина Любовь Александровна</t>
  </si>
  <si>
    <t>Бушин Андриан Валерьевич</t>
  </si>
  <si>
    <t>30.09.2025</t>
  </si>
  <si>
    <t>Литвинова Ольга Борисовна</t>
  </si>
  <si>
    <t>Общество с ограниченной ответственностью «Национальное Рейтинговое Агентство»</t>
  </si>
  <si>
    <t>Литвинов Андрей Александрович</t>
  </si>
  <si>
    <t>26.09.2025</t>
  </si>
  <si>
    <t>АО «РЕМАНИ»</t>
  </si>
  <si>
    <t>Акционерное общество «Москва Сити Секьюритиз»</t>
  </si>
  <si>
    <t>ч.4 ст.15.35 КоАП РФ</t>
  </si>
  <si>
    <t>23.09.2025</t>
  </si>
  <si>
    <t>ч.2 ст.15.35 КоАП РФ</t>
  </si>
  <si>
    <t>Циркова Любовь Ивановна</t>
  </si>
  <si>
    <t>ООО «Каркаул.ру»</t>
  </si>
  <si>
    <t>АО «Объединенное Кредитное Бюро»</t>
  </si>
  <si>
    <t>Акционерное общество_x000D_
«Москва Сити Секьюритиз»</t>
  </si>
  <si>
    <t>Акционерное общество «БКС Управление Благосостоянием»</t>
  </si>
  <si>
    <t>22.09.2025</t>
  </si>
  <si>
    <t>Публичное акционерное общество «Московская Биржа ММВБ-РТС»</t>
  </si>
  <si>
    <t>ч.7 ст.14.24 КоАП РФ</t>
  </si>
  <si>
    <t>АО «Специализированный депозитарий «ИНФИНИТУМ»</t>
  </si>
  <si>
    <t>16.09.2025</t>
  </si>
  <si>
    <t>Общество с ограниченной ответственностью Управляющая компания «Эра Инвестиций»</t>
  </si>
  <si>
    <t>12.09.2025</t>
  </si>
  <si>
    <t>Гребенникова Татьяна Витальевна</t>
  </si>
  <si>
    <t>09.09.2025</t>
  </si>
  <si>
    <t>Гуревич Вадим Александрович</t>
  </si>
  <si>
    <t>Гуревич Иветта Абрамовна</t>
  </si>
  <si>
    <t>02.09.2025</t>
  </si>
  <si>
    <t>Акционерное общество «Инвестиционная компания «Ай Ти Инвест»</t>
  </si>
  <si>
    <t>ООО «ИНВЕСТИРУЙ В»</t>
  </si>
  <si>
    <t>29.08.2025</t>
  </si>
  <si>
    <t>Гребенников Александр Александрович</t>
  </si>
  <si>
    <t>26.08.2025</t>
  </si>
  <si>
    <t>Акционерное общество_x000D_
«Инвестиционная компания_x000D_
«РИКОМ-ТРАСТ»</t>
  </si>
  <si>
    <t>25.08.2025</t>
  </si>
  <si>
    <t>Общество с ограниченной ответственностью «Т-Инвест Лаб»</t>
  </si>
  <si>
    <t>Общество с ограниченной ответственностью «Управляющая компания «Атон-менеджмент»</t>
  </si>
  <si>
    <t>22.08.2025</t>
  </si>
  <si>
    <t>Акционерное общество «Межрегиональный негосударственный пенсионный фонд «АКВИЛОН»</t>
  </si>
  <si>
    <t>19.08.2025</t>
  </si>
  <si>
    <t>Баринов Илья Игоревич</t>
  </si>
  <si>
    <t>Акционерное общество «ВИМ Инвестиции»</t>
  </si>
  <si>
    <t>Общество с ограниченной ответственностью «Управляющая компания «Терра Эссет Менеджмент»</t>
  </si>
  <si>
    <t>Общество с ограниченной_x000D_
ответственностью_x000D_
«Цифра Брокер»</t>
  </si>
  <si>
    <t>18.08.2025</t>
  </si>
  <si>
    <t>Акционерное общество «ИВА Партнерс»</t>
  </si>
  <si>
    <t>Акционерное общество_x000D_
«ТуОушен Капитал»</t>
  </si>
  <si>
    <t>15.08.2025</t>
  </si>
  <si>
    <t>ООО «Селект мани»</t>
  </si>
  <si>
    <t>12.08.2025</t>
  </si>
  <si>
    <t>ООО «Феир Финанс»</t>
  </si>
  <si>
    <t>ЗАО «ПРСД»</t>
  </si>
  <si>
    <t>Папкин Михаил Владимирович</t>
  </si>
  <si>
    <t>ст.15.21 КоАП РФ</t>
  </si>
  <si>
    <t>Шигапов Радик Мулланурович</t>
  </si>
  <si>
    <t>Общество с ограниченной_x000D_
ответственностью_x000D_
«Управляющая компания_x000D_
«Формула инвестиций»</t>
  </si>
  <si>
    <t>08.08.2025</t>
  </si>
  <si>
    <t>Дрожжин Антон Михайлович</t>
  </si>
  <si>
    <t>Фролова Ксения Владимировна</t>
  </si>
  <si>
    <t>Акционерное общество «ЮниКредит Банк»</t>
  </si>
  <si>
    <t>Акционерное общество «РТ-Инвест»</t>
  </si>
  <si>
    <t>05.08.2025</t>
  </si>
  <si>
    <t>Фролов Михаил Сергеевич</t>
  </si>
  <si>
    <t>Открытое акционерное общество «РОНИН Траст»</t>
  </si>
  <si>
    <t>Акционерное общество УК «Доверительная»</t>
  </si>
  <si>
    <t>04.08.2025</t>
  </si>
  <si>
    <t>Кушнир Андрей Николаевич</t>
  </si>
  <si>
    <t>29.07.2025</t>
  </si>
  <si>
    <t>Хрусталев Иван Дмитриевич</t>
  </si>
  <si>
    <t>Хрусталева Альбина Дмитриевна</t>
  </si>
  <si>
    <t>АО "Объединенное Кредитное Бюро"</t>
  </si>
  <si>
    <t>ст.5.55 КоАП РФ</t>
  </si>
  <si>
    <t>28.07.2025</t>
  </si>
  <si>
    <t>22.07.2025</t>
  </si>
  <si>
    <t>АО «Национальное бюро кредитных историй»</t>
  </si>
  <si>
    <t>Пашнин Михаил Анатольевич</t>
  </si>
  <si>
    <t>Общество с ограниченной ответственностью «АКЦЕНТ УПРАВЛЕНИЕ АКТИВАМИ»</t>
  </si>
  <si>
    <t>18.07.2025</t>
  </si>
  <si>
    <t>Маленко Артем Анатольевич</t>
  </si>
  <si>
    <t>Калинин Владимир Анатольевич</t>
  </si>
  <si>
    <t>Шигапова Кадрия Хисамовна</t>
  </si>
  <si>
    <t>ООО «ПФЛ Новые Инвестиции»</t>
  </si>
  <si>
    <t>15.07.2025</t>
  </si>
  <si>
    <t>Акционерное общество_x000D_
«Негосударственный_x000D_
пенсионный фонд «ВЭФ.Жизнь»</t>
  </si>
  <si>
    <t>ч.10 ст.15.29 КоАП РФ</t>
  </si>
  <si>
    <t>ООО «Капитализация»</t>
  </si>
  <si>
    <t>11.07.2025</t>
  </si>
  <si>
    <t>Общество с ограниченной_x000D_
ответственностью_x000D_
«Управляющая компания_x000D_
«Финанс Трейд Эссет_x000D_
Менеджмент»</t>
  </si>
  <si>
    <t>08.07.2025</t>
  </si>
  <si>
    <t>Тимофеева Дарья Сергеевна</t>
  </si>
  <si>
    <t>Борисова Анна Владимировна</t>
  </si>
  <si>
    <t>Тимофеев Александр Николаевич</t>
  </si>
  <si>
    <t>Железнов Андрей Юрьевич</t>
  </si>
  <si>
    <t>Просова Елена Игоревна</t>
  </si>
  <si>
    <t>Варанкина Евгения Владимировна</t>
  </si>
  <si>
    <t>ООО «ДжетЛенд»</t>
  </si>
  <si>
    <t>04.07.2025</t>
  </si>
  <si>
    <t>Федоров Александр Вячеславович</t>
  </si>
  <si>
    <t>01.07.2025</t>
  </si>
  <si>
    <t>Общество с ограниченной ответственностью «Спектрум кредитное бюро»</t>
  </si>
  <si>
    <t>Байдаков Александр Владимирович</t>
  </si>
  <si>
    <t>30.06.2025</t>
  </si>
  <si>
    <t>ООО «КАПИТАЛИЗАЦИЯ»</t>
  </si>
  <si>
    <t>20.06.2025</t>
  </si>
  <si>
    <t>Давтян Давид Михайлович</t>
  </si>
  <si>
    <t>18.06.2025</t>
  </si>
  <si>
    <t>Волик Богдан Викторович</t>
  </si>
  <si>
    <t>Цатурян Наринэ Егишевна</t>
  </si>
  <si>
    <t>Журавлева Анастасия Андреевна</t>
  </si>
  <si>
    <t>Журавлев Дмитрий Михайлович</t>
  </si>
  <si>
    <t>Общество с ограниченной_x000D_
ответственностью_x000D_
«Бенефорт»</t>
  </si>
  <si>
    <t>10.06.2025</t>
  </si>
  <si>
    <t>Акционерное общество «Национальный негосударственный пенсионный фонд»</t>
  </si>
  <si>
    <t>ООО «ЛЭНДЭР-ИНВЕСТ»</t>
  </si>
  <si>
    <t>Павлова Марина Алексеевна</t>
  </si>
  <si>
    <t>Павлов Александр Владиславович</t>
  </si>
  <si>
    <t>Общество с ограниченной_x000D_
ответственностью_x000D_
«Управляющая компания_x000D_
«Финам Менеджмент»</t>
  </si>
  <si>
    <t>09.06.2025</t>
  </si>
  <si>
    <t>АО «Бюро кредитных историй «Скоринг Бюро»</t>
  </si>
  <si>
    <t>Общество с ограниченной_x000D_
ответственностью_x000D_
«Т-Капитал»</t>
  </si>
  <si>
    <t>06.06.2025</t>
  </si>
  <si>
    <t>Акционерное общество Инвестиционно-финансовая_x000D_
компания «Солид»</t>
  </si>
  <si>
    <t>03.06.2025</t>
  </si>
  <si>
    <t>27.05.2025</t>
  </si>
  <si>
    <t>Общество с ограниченной ответственностью Управляющая компания «ГЕРОИ»</t>
  </si>
  <si>
    <t>Акционерное общество_x000D_
ВИМ Инвестиции</t>
  </si>
  <si>
    <t>26.05.2025</t>
  </si>
  <si>
    <t>Акционерное общество_x000D_
Финансовая компания_x000D_
«Профит Хауз»</t>
  </si>
  <si>
    <t>Общество с ограниченной_x000D_
ответственностью_x000D_
ВИМ Сбережения</t>
  </si>
  <si>
    <t>23.05.2025</t>
  </si>
  <si>
    <t>Нефедов Владимир Сергеевич</t>
  </si>
  <si>
    <t>20.05.2025</t>
  </si>
  <si>
    <t>Маликов Валерий Михайлович</t>
  </si>
  <si>
    <t>Маликова Майя Валерьевна</t>
  </si>
  <si>
    <t>16.05.2025</t>
  </si>
  <si>
    <t>Соловьев Вадим Сергеевич</t>
  </si>
  <si>
    <t>Соловьева Татьяна Владимировна</t>
  </si>
  <si>
    <t>Общество с ограниченной_x000D_
ответственностью «Московские_x000D_
партнеры»</t>
  </si>
  <si>
    <t>Общество с ограниченной ответственностью «Управляющая компания РИГОРА»</t>
  </si>
  <si>
    <t>15.05.2025</t>
  </si>
  <si>
    <t>Акционерное общество_x000D_
Управляющая компания_x000D_
«НРК-Капитал (Эссет_x000D_
Менеджмент)»</t>
  </si>
  <si>
    <t>13.05.2025</t>
  </si>
  <si>
    <t>Публичное акционерное общество «СПБ Биржа»</t>
  </si>
  <si>
    <t>Апарин Андрей Михайлович</t>
  </si>
  <si>
    <t>Акционерное общество_x000D_
«ААА Управление Капиталом»</t>
  </si>
  <si>
    <t>Общество с ограниченной ответственностью Управляющая компания «Арикапитал»</t>
  </si>
  <si>
    <t>07.05.2025</t>
  </si>
  <si>
    <t>Быков Денис Эдуардович</t>
  </si>
  <si>
    <t>Быков Эдуард Юрьевич</t>
  </si>
  <si>
    <t>06.05.2025</t>
  </si>
  <si>
    <t>ООО "КАС КЭПИТАЛ"</t>
  </si>
  <si>
    <t>Безменов Николай Николаевич</t>
  </si>
  <si>
    <t>Пономарева Наталья Александровна</t>
  </si>
  <si>
    <t>Мохов Никита Юрьевич</t>
  </si>
  <si>
    <t>Микшин Денис Николаевич</t>
  </si>
  <si>
    <t>Александрова Екатерина Павловна</t>
  </si>
  <si>
    <t>Дерюгин Андрей Викторович</t>
  </si>
  <si>
    <t>Князева Людмила Александровна</t>
  </si>
  <si>
    <t>Общество с ограниченной ответственностью «Управляющая компания «Альфа-Капитал»</t>
  </si>
  <si>
    <t>Акционерное общество «Контрада Капитал»</t>
  </si>
  <si>
    <t>05.05.2025</t>
  </si>
  <si>
    <t>Царик Дмитрий Сергеевич</t>
  </si>
  <si>
    <t>29.04.2025</t>
  </si>
  <si>
    <t>ООО «КраудЮнит»</t>
  </si>
  <si>
    <t>Лазутина Линда Леонидовна</t>
  </si>
  <si>
    <t>Чернышев Даниил Владимирович</t>
  </si>
  <si>
    <t>28.04.2025</t>
  </si>
  <si>
    <t>Сас Роман Иванович</t>
  </si>
  <si>
    <t>Сас Надежда Валериевна</t>
  </si>
  <si>
    <t>25.04.2025</t>
  </si>
  <si>
    <t>ООО "Григорян Инвест"</t>
  </si>
  <si>
    <t>22.04.2025</t>
  </si>
  <si>
    <t>Унеговский Дмитрий Семенович</t>
  </si>
  <si>
    <t>18.04.2025</t>
  </si>
  <si>
    <t>Егорова Виктория Евгеньевна</t>
  </si>
  <si>
    <t>17.04.2025</t>
  </si>
  <si>
    <t>Погосов Юрий Евгеньевич</t>
  </si>
  <si>
    <t>15.04.2025</t>
  </si>
  <si>
    <t>Погосова Ольга Владимировна</t>
  </si>
  <si>
    <t>Акционерное общество «Управляющая компания «ТРАНСФИНГРУП»</t>
  </si>
  <si>
    <t>Общество с ограниченной ответственностью «Управляющая компания «АКРУКС КАПИТАЛ»</t>
  </si>
  <si>
    <t>Акционерное общество «БКС Управление благосостоянием»</t>
  </si>
  <si>
    <t>14.04.2025</t>
  </si>
  <si>
    <t>Князев Станислав Юрьевич</t>
  </si>
  <si>
    <t>Георгиевский Даниил Максимович</t>
  </si>
  <si>
    <t>11.04.2025</t>
  </si>
  <si>
    <t>Дерюгина Наталья Александровна</t>
  </si>
  <si>
    <t>08.04.2025</t>
  </si>
  <si>
    <t>ООО «РБРУ СД»</t>
  </si>
  <si>
    <t>Порохова Наталья Владимировна</t>
  </si>
  <si>
    <t>Унеговская Наталья Александровна</t>
  </si>
  <si>
    <t>Попов Алексей Александрович</t>
  </si>
  <si>
    <t>Акционерное общество_x000D_
Управляющая компания_x000D_
«РВМ Капитал»</t>
  </si>
  <si>
    <t>04.04.2025</t>
  </si>
  <si>
    <t>Федина Марина Александровна</t>
  </si>
  <si>
    <t>01.04.2025</t>
  </si>
  <si>
    <t>Баринова Анастасия Юрьевна</t>
  </si>
  <si>
    <t>28.03.2025</t>
  </si>
  <si>
    <t>ст.14.29 КоАП РФ</t>
  </si>
  <si>
    <t>Федин Виталий Юрьевич</t>
  </si>
  <si>
    <t>25.03.2025</t>
  </si>
  <si>
    <t>Юшков Никита Константинович</t>
  </si>
  <si>
    <t>Юшков Константин Михайлович</t>
  </si>
  <si>
    <t>Коростелев Андрей Юрьевич</t>
  </si>
  <si>
    <t>Коростелева Марина Викторовна</t>
  </si>
  <si>
    <t>КИТ Финанс (Акционерное общество)</t>
  </si>
  <si>
    <t>ч.4 ст.15.19 КоАП РФ</t>
  </si>
  <si>
    <t>21.03.2025</t>
  </si>
  <si>
    <t>ООО «ПФЛ Новые инвестиции»</t>
  </si>
  <si>
    <t>Черепанов Виталий Ильич</t>
  </si>
  <si>
    <t>Полюбай Юлия Петровна</t>
  </si>
  <si>
    <t>Полюбай Алексей Владимирович</t>
  </si>
  <si>
    <t>18.03.2025</t>
  </si>
  <si>
    <t>АО «ИК «Ай Ти Инвест»</t>
  </si>
  <si>
    <t>Акционерное общество «Негосударственный пенсионный фонд «ВЭФ.Русские Фонды»</t>
  </si>
  <si>
    <t>Общество с ограниченной ответственностью Инвестиционная компания «Тренд»</t>
  </si>
  <si>
    <t>Общество с ограниченной ответственностью «РУССКОЕ ИНВЕСТИЦИОННОЕ ОБЩЕСТВО»</t>
  </si>
  <si>
    <t>Акционерное общество "Управляющая компания "МКБ Инвестиции"</t>
  </si>
  <si>
    <t>17.03.2025</t>
  </si>
  <si>
    <t>14.03.2025</t>
  </si>
  <si>
    <t>Мэй Луиза Алексеевна</t>
  </si>
  <si>
    <t>Смирнов Дмитрий Федорович</t>
  </si>
  <si>
    <t>Уланов Петр Петрович</t>
  </si>
  <si>
    <t>11.03.2025</t>
  </si>
  <si>
    <t>Онянова Виктория Александровна</t>
  </si>
  <si>
    <t>Триголос Екатерина Александровна</t>
  </si>
  <si>
    <t>Триголос Павел Иванович</t>
  </si>
  <si>
    <t>10.03.2025</t>
  </si>
  <si>
    <t>Мясников Александр Валерьевич</t>
  </si>
  <si>
    <t>Общество с ограниченной ответственностью «Управляющая компания «Формула инвестиций»</t>
  </si>
  <si>
    <t>Общество с ограниченной ответственностью «Финплан»</t>
  </si>
  <si>
    <t>ч.1 ст.13.25 КоАП РФ</t>
  </si>
  <si>
    <t>04.03.2025</t>
  </si>
  <si>
    <t>Общество с ограниченной ответственностью "РОН Инвест"</t>
  </si>
  <si>
    <t>03.03.2025</t>
  </si>
  <si>
    <t>Смирнова Ксения Евгеньевна</t>
  </si>
  <si>
    <t>28.02.2025</t>
  </si>
  <si>
    <t>Лядов Василий Рюрикович</t>
  </si>
  <si>
    <t>Общество с ограниченной ответственностью «Инвестиционная компания «Айгенис»</t>
  </si>
  <si>
    <t>Усаков Евгений Игоревич</t>
  </si>
  <si>
    <t>24.02.2025</t>
  </si>
  <si>
    <t>21.02.2025</t>
  </si>
  <si>
    <t>Перетрухина Элина Владимировна</t>
  </si>
  <si>
    <t>18.02.2025</t>
  </si>
  <si>
    <t>«Газпромбанк» (Акционерное общество)</t>
  </si>
  <si>
    <t>17.02.2025</t>
  </si>
  <si>
    <t>ООО «АЛОР+»</t>
  </si>
  <si>
    <t>14.02.2025</t>
  </si>
  <si>
    <t>Тимиргалин Марат Рамильевич</t>
  </si>
  <si>
    <t>11.02.2025</t>
  </si>
  <si>
    <t>Борисова Лидия Ивановна</t>
  </si>
  <si>
    <t>10.02.2025</t>
  </si>
  <si>
    <t>Новокрещенова Ангелина Станиславовна</t>
  </si>
  <si>
    <t>Общество с ограниченной ответственностью Концерн «ДЖЕНЕРАЛ-ИНВЕСТ»</t>
  </si>
  <si>
    <t>28.01.2025</t>
  </si>
  <si>
    <t>Меленкова Ирина Евгеньевна</t>
  </si>
  <si>
    <t>27.01.2025</t>
  </si>
  <si>
    <t>Воропаев Александр Андреевич</t>
  </si>
  <si>
    <t>Общество с ограниченной ответственностью «Управляющая компания «Джи Пи Ай»</t>
  </si>
  <si>
    <t>21.01.2025</t>
  </si>
  <si>
    <t>Меленкова Валентина Андреевна</t>
  </si>
  <si>
    <t>10.01.2025</t>
  </si>
  <si>
    <t>Общество с ограниченной ответственностью Инвестиционная компания «Айсберг Финанс»</t>
  </si>
  <si>
    <t>09.01.2025</t>
  </si>
  <si>
    <t>Общество с ограниченной ответственностью "Т2 Мобайл"</t>
  </si>
  <si>
    <t>Дата</t>
  </si>
  <si>
    <t>Описание</t>
  </si>
  <si>
    <t>По результатам рассмотрения материалов дела об административном правонарушении № ЦА-38-ЮЛ-26-258, возбуждённого за совершение административного правонарушения, ответственность за которое предусмотрена частью 9 статьи 15.29 Кодекса Российской Федерации об административных правонарушениях, АО «НПФ «Ростех» назначено административное наказание в виде штрафа в размере 700 000 рублей. Постановление вступило в законную силу 17.02.2026.</t>
  </si>
  <si>
    <t>По результатам рассмотрения материалов дела об административном правонарушении № ЦА-38-ЮЛ-26-92, возбужденного за совершение административного правонарушения, ответственность за которое предусмотрена частью 6 статьи 15.29 КоАП РФ, Обществу с ограниченной ответственностью «Управляющая компания «Атон-менеджмент» назначено административное наказание в виде штрафа в размере 700 000 рублей. Постановление вступило в законную силу 17.02.2026.По результатам рассмотрения материалов дела об административном правонарушении № ЦА-38-ЮЛ-26-93,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«Управляющая компания «Атон-менеджмент» назначено административное наказание в виде штрафа в размере 320 000 рублей. Постановление вступило в законную силу 17.02.2026.</t>
  </si>
  <si>
    <t>По результатам рассмотрения материалов дела об административном правонарушении № ЦА-38-ЮЛ-26-12,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Управляющей компании «Центр Эссет Менеджмент» назначено административное наказание в виде предупреждения. Постановление вступило в законную силу 13.02.2026.</t>
  </si>
  <si>
    <t>По результатам рассмотрения материалов дела об административном правонарушении № ЦА-34-ЮЛ-26-294, возбужденного за совершение административного правонарушения, ответственность за которое предусмотрена частью 9 статьи 15.29 КоАП РФ, акционерному обществу «Инвестиционная компания «РИКОМ-ТРАСТ» назначено административное наказание в виде штрафа размером 1 000 000 (один миллион) рублей. Постановление от 26.01.2026 № 26-294/3110-1 о назначении административного наказания вступило в законную силу 10.02.2026.</t>
  </si>
  <si>
    <t>По результатам рассмотрения материалов дела об административном правонарушении № ЦА-38-ЮЛ-26-19, возбуждённого за совершение административного правонарушения, ответственность за которое предусмотрена частью 12 статьи 15.29 Кодекса Российской Федерации об административных правонарушениях, АО ВИМ Инвестиции назначено административное наказание в виде штрафа в размере 350 000 рублей. Постановление вступило в законную силу 10.02.2026.</t>
  </si>
  <si>
    <t>По результатам рассмотрения материалов дела об административном правонарушении № ЦА-38-ЮЛ-26-2, возбужденного за совершение административного правонарушения, ответственность за которое предусмотрена частью 6 статьи 15.29 КоАП РФ, Обществу с ограниченной ответственностью «Управляющая компания «Ресурс» назначено административное наказание в виде предупреждения. Постановление вступило в законную силу 10.02.2026.</t>
  </si>
  <si>
    <t>По результатам рассмотрения материалов дела об административном правонарушении № ЦА-38-ЮЛ-26-85,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«ТрастЮнион Эссет Менеджмент» назначено административное наказание в виде предупреждения. Постановление вступило в законную силу 10.02.2026.</t>
  </si>
  <si>
    <t>По результатам рассмотрения материалов дела об административном правонарушении № ЦА-38-ЮЛ-26-6, возбужденного за совершение административного правонарушения, ответственность за которое предусмотрена частью 5 статьи 15.29 КоАП РФ, Акционерному обществу «Управляющая Компания ТРИНФИКО» назначено административное наказание в виде штрафа в размере 250 000 рублей. Постановление вступило в законную силу 10.02.2026.</t>
  </si>
  <si>
    <t>По результатам рассмотрения материалов дела об административном правонарушении № ЦА-34-ЮЛ-26-191, возбужденного за совершение административного правонарушения, ответственность за которое предусмотрена частью 12 статьи 15.29 КоАП РФ, ООО «Цифра брокер» назначено административное наказание в виде штрафа в размере 300 000 рублей. Постановление № 26-191/3110-1 о назначении административного наказания вступило в законную силу 07.02.2026.</t>
  </si>
  <si>
    <t>По результатам рассмотрения материалов дела об административном правонарушении № ЦА-34-Гр-25-21433,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Голубкову Виктору Владимировичу назначено административное наказание в виде штрафа в размере 3 000 рублей. Постановление от 18.12.2025 № 25-21433/3110-1 о назначении административного наказания вступило в законную силу 03.02.2026.</t>
  </si>
  <si>
    <t>По результатам рассмотрения материалов дела об административном правонарушении № ЦА-34-ДЛ-25-20686,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генеральному директору общества с ограниченной ответственностью «Тринити Шиппинг» Ярошенко Александру Ивановичу назначено административное наказание в виде штрафа в размере 30 000 рублей. Постановление от 25.12.2025 № 25-20686/3110-1 о назначении административного наказания вступило в законную силу 31.01.2026.</t>
  </si>
  <si>
    <t>По результатам рассмотрения материалов дела об административном правонарушении № ЦА-34-ГР-25-21130,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Гальямовой Наталье Александровне назначено административное наказание в виде штрафа в размере 3 000 рублей. Постановление от 25.12.2025 № 25-21130/3110-1 о назначении административного наказания вступило в законную силу 06.02.2026.</t>
  </si>
  <si>
    <t>По результатам рассмотрения материалов дела об административном правонарушении № ЦА-34-Гр-25-21347, возбужденного за совершение административного правонарушения, ответственность за которое предусмотрена статьей 15.30 КоАП РФ, Чмыхало Юлии Анатольевне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18.12.2025 № 25-21347/3110-1 вступило в законную силу 03.02.2026.</t>
  </si>
  <si>
    <t>По результатам рассмотрения материалов дела об административном правонарушении № ЦА-34-Гр-25-21234, возбужденного за совершение административного правонарушения, ответственность за которое предусмотрена статьей 15.30 КоАП РФ, Усольцевой Яне Германовне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17.12.2025 № 25-21234/3110-1 вступило в законную силу 30.01.2026.</t>
  </si>
  <si>
    <t>По результатам рассмотрения материалов дела об административном правонарушении № ЦА-34-Гр-25-16976, возбужденного за совершение административного правонарушения, ответственность за которое предусмотрена статьей 15.30 КоАП РФ, Красновой Галине Ивановне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16.10.2025 № 25-16976/3110-1 вступило в законную силу 30.01.2026.</t>
  </si>
  <si>
    <t>По результатам рассмотрения материалов дела об административном правонарушении № ЦА-34-Гр-25-19400, возбужденного за совершение административного правонарушения, ответственность за которое предусмотрена статьей 15.30 КоАП РФ, Артамонову Валерию Геннадьевичу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20.11.2025 № 25-19400/3110-1 вступило в законную силу 24.01.2026.</t>
  </si>
  <si>
    <t>По результатам рассмотрения материалов дела об административном правонарушении № ЦА-34-Гр-25-20359, возбужденного за совершение административного правонарушения, ответственность за которое предусмотрена статьей 15.30 КоАП РФ, Манюковой Татьяне Васильевне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04.12.2025 № 25-20359/3110-1 вступило в законную силу 30.01.2026.</t>
  </si>
  <si>
    <t>По результатам рассмотрения материалов дела об административном правонарушении № ЦА-34-Гр-25-20532, возбужденного за совершение административного правонарушения, ответственность за которое предусмотрена статьей 15.30 КоАП РФ, Доценко Марине Сергеевне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08.12.2025 № 25-20532/3110-1 вступило в законную силу 30.01.2026.</t>
  </si>
  <si>
    <t>По результатам рассмотрения материалов дела об административном правонарушении № ЦА-34-Гр-25-21126, возбужденного за совершение административного правонарушения, ответственность за которое предусмотрена статьей 15.30 КоАП РФ, Гальямову Марселю Геральдовичу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16.12.2025 № 25-21126/3110-1 вступило в законную силу 30.01.2026.</t>
  </si>
  <si>
    <t>По результатам рассмотрения материалов дела об административном правонарушении № ЦА-34-Гр-25-21343, возбужденного за совершение административного правонарушения, ответственность за которое предусмотрена статьей 15.30 КоАП РФ, Садырову Игорю Рашидовичу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18.12.2025 № 25-21343/3110-1 вступило в законную силу 24.01.2026.</t>
  </si>
  <si>
    <t>По результатам рассмотрения материалов дела об административном правонарушении № ЦА-34-Гр-25-21233, возбужденного за совершение административного правонарушения, ответственность за которое предусмотрена статьей 15.30 КоАП РФ, Карчевскому Павлу Владимировичу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17.12.2025 № 25-21233/3110-1 вступило в законную силу 27.01.2026.</t>
  </si>
  <si>
    <t>По результатам рассмотрения материалов дела об административном правонарушении № ЦА-34-Гр-25-19782, возбужденного за совершение административного правонарушения, ответственность за которое предусмотрена статьей 15.30 КоАП РФ, Шушину Олегу Игоревичу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26.11.2025 № 25-19782/3110-1 вступило в законную силу 27.01.2026.</t>
  </si>
  <si>
    <t>По результатам рассмотрения материалов дела об административном правонарушении № ЦА-34-Гр-25-21230, возбужденного за совершение административного правонарушения, ответственность за которое предусмотрена статьей 15.30 КоАП РФ, Беломытцевой Наталии Сергеевне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17.12.2025 № 25-21230/3110-1 вступило в законную силу 24.01.2026.</t>
  </si>
  <si>
    <t>По результатам рассмотрения материалов дела об административном правонарушении № ЦА-34-Гр-25-20531, возбужденного за совершение административного правонарушения, ответственность за которое предусмотрена статьей 15.30 КоАП РФ, Ретровской Нине Борисовне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08.12.2025 № 25-20531/3110-1 вступило в законную силу 23.01.2026.</t>
  </si>
  <si>
    <t>По результатам рассмотрения материалов дела об административном правонарушении № ЦА-34-Гр-25-21120, возбужденного за совершение административного правонарушения, ответственность за которое предусмотрена статьей 15.30 КоАП РФ, Исаченко Наталии Николаевне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16.12.2025 № 25-21120/3110-1 вступило в законную силу 23.01.2026.</t>
  </si>
  <si>
    <t>По результатам рассмотрения материалов дела об административном правонарушении № ЦА-34-Гр-25-21228, возбужденного за совершение административного правонарушения, ответственность за которое предусмотрена статьей 15.30 КоАП РФ, Беломытцеву Павлу Анатольевичу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17.12.2025 № 25-21228/3110-1 вступило в законную силу 23.01.2026.</t>
  </si>
  <si>
    <t>По результатам рассмотрения материалов дела об административном правонарушении № ЦА-34-Гр-25-21346, возбужденного за совершение административного правонарушения, ответственность за которое предусмотрена статьей 15.30 КоАП РФ, Зайцеву Александру Олеговичу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18.12.2025 № 25-21346/3110-1 вступило в законную силу 23.01.2026.</t>
  </si>
  <si>
    <t>По результатам рассмотрения материалов дела об административном правонарушении № ЦА-34-Гр-25-20832, возбужденного за совершение административного правонарушения, ответственность за которое предусмотрена статьей 15.30 КоАП РФ, Нарушевой Елене Гаптелахатовне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10.12.2025 № 25-20832/3110-1 вступило в законную силу 23.01.2026.</t>
  </si>
  <si>
    <t>По результатам рассмотрения материалов дела об административном правонарушении № ЦА-34-Гр-25-20827, возбужденного за совершение административного правонарушения, ответственность за которое предусмотрена статьей 15.30 КоАП РФ, Нарушеву Андрею Ивановичу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10.12.2025 № 25-20827/3110-1 вступило в законную силу 23.01.2026.</t>
  </si>
  <si>
    <t>По результатам рассмотрения материалов дела об административном правонарушении № ЦА-34-ИП-25-17802, возбужденного за совершение административного правонарушения, ответственность за которое предусмотрена статьей 15.30 КоАП РФ, индивидуальному предпринимателю Панову Александру Константиновичу назначено административное наказание в виде штрафа в размере 30 000 рублей. Постановление о наложении штрафа по делу об административном правонарушении от 11.12.2025 № 25-17802/3110-1 вступило в законную силу 13.01.2026.</t>
  </si>
  <si>
    <t>По результатам рассмотрения материалов дела об административном правонарушении № ЦА-34-ИП-25-19111, возбужденного за совершение административного правонарушения, ответственность за которое предусмотрена статьей 15.30 КоАП РФ, индивидуальному предпринимателю Панову Владимиру Константиновичу назначено административное наказание в виде штрафа в размере 30 000 рублей. Постановление о наложении штрафа по делу об административном правонарушении от 11.12.2025 № 25-19111/3110-1 вступило в законную силу 13.01.2026.</t>
  </si>
  <si>
    <t>По результатам рассмотрения материалов дела об административном правонарушении № ЦА-34-Гр-25-17414,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Оганезяну Роману Рафиковичу назначено административное наказание в виде штрафа в размере 3 000 рублей. Постановление от 18.10.2025 № 25-17414/3110-1 о назначении административного наказания вступило в законную силу 13.01.2026.</t>
  </si>
  <si>
    <t>По результатам рассмотрения материалов дела об административном правонарушении № ЦА-34-Гр-25-21291,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Клименко Артему Валерьевичу назначено административное наказание в виде штрафа в размере 3 000 рублей. Постановление от 17.12.2025 № 25-21291/3110-1 о назначении административного наказания вступило в законную силу 13.01.2026.</t>
  </si>
  <si>
    <t>По результатам рассмотрения материалов дела об административном правонарушении № ЦА-34-Гр-25-21119,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Тихомирову Вадиму Владимировичу назначено административное наказание в виде штрафа в размере 3 000 рублей. Постановление от 16.12.2025 № 25-21119/3110-1 о назначении административного наказания вступило в законную силу 13.01.2026.</t>
  </si>
  <si>
    <t>По результатам рассмотрения материалов дела об административном правонарушении № ЦА-34-ЮЛ-25-20682,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ООО "Тринити Шиппинг" назначено административное наказание в виде штрафа в размере 700 000 рублей. Постановление от 13.10.2025 № 25-20682/3110-1 о назначении административного наказания вступило в законную силу 30.12.2025.</t>
  </si>
  <si>
    <t>По результатам рассмотрения материалов дела об административном правонарушении № ЦА-34-Гр-25-16635,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Бурыкину Ивану Терентьевичу назначено административное наказание в виде штрафа в размере 3 000 рублей. Постановление от 13.10.2025 № 25-16635/3110-1 о назначении административного наказания вступило в законную силу 30.12.2025.</t>
  </si>
  <si>
    <t>По результатам рассмотрения материалов дела об административном правонарушении № ЦА-34-Гр-25-20369,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Колесниковой Надежде Вячеславовне назначено административное наказание в виде штрафа в размере 3 000 рублей. Постановление от 04.12.2025 № 25-20369/3110-1 о назначении административного наказания вступило в законную силу 13.01.2026.</t>
  </si>
  <si>
    <t>По результатам рассмотрения материалов дела об административном правонарушении № ЦА-34-Гр-25-20432,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Мазневу Андрею Вячеславовичу назначено административное наказание в виде штрафа в размере 3 000 рублей. Постановление от 04.12.2025 № 25-20432/3110-1 о назначении административного наказания вступило в законную силу 13.01.2026.</t>
  </si>
  <si>
    <t>По результатам рассмотрения материалов дела об административном правонарушении № ЦА-34-Гр-25-20433,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Мазневу Сергею Вячеславовичу назначено административное наказание в виде штрафа в размере 3 000 рублей. Постановление от 04.12.2025 № 25-20433/3110-1 о назначении административного наказания вступило в законную силу 13.01.2026.</t>
  </si>
  <si>
    <t>По результатам рассмотрения материалов дела об административном правонарушении № ЦА-34-Гр-25-20370,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Дмитриеву Андрею Николаевичу назначено административное наказание в виде штрафа в размере 3 000 рублей. Постановление от 04.12.2025 № 25-20370/3110-1 о назначении административного наказания вступило в законную силу 13.01.2026.</t>
  </si>
  <si>
    <t>По результатам рассмотрения материалов дела об административном правонарушении № ЦА-34-Гр-25-20681,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Малыку Герману Андреевичу назначено административное наказание в виде штрафа в размере 3 000 рублей. Постановление от 09.12.2025 № 25-20681/3110-1 о назначении административного наказания вступило в законную силу 13.01.2026.</t>
  </si>
  <si>
    <t>По результатам рассмотрения материалов дела об административном правонарушении № ЦА-34-Гр-25-20372,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Усачеву Андрею Николаевичу назначено административное наказание в виде штрафа в размере 3 000 рублей. Постановление от 04.12.2025 № 25-20372/3110-1 о назначении административного наказания вступило в законную силу 13.01.2026.</t>
  </si>
  <si>
    <t>По результатам рассмотрения материалов дела об административном правонарушении № ЦА-34-Гр-25-19780,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Шушину Игорю Борисовичу назначено административное наказание в виде штрафа в размере 3 000 рублей. Постановление от 26.11.2025 № 25-19780/3110-1 о назначении административного наказания вступило в законную силу 13.01.2026.</t>
  </si>
  <si>
    <t>По результатам рассмотрения материалов дела об административном правонарушении № ЦА-34-Гр-25-19781,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Шушиной Татьяне Геннадьевне назначено административное наказание в виде штрафа в размере 3 000 рублей. Постановление от 26.11.2025 № 25-19781/3110-1 о назначении административного наказания вступило в законную силу 13.01.2026.</t>
  </si>
  <si>
    <t>По результатам рассмотрения материалов дела об административном правонарушении № ЦА-34-Гр-25-19034,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Богачеву Вячеславу Анатольевичу назначено административное наказание в виде штрафа в размере 3 000 рублей. Постановление от 11.11.2025 № 25-19034/3110-1 о назначении административного наказания вступило в законную силу 13.01.2026.</t>
  </si>
  <si>
    <t>По результатам рассмотрения материалов дела об административном правонарушении № ЦА-34-Гр-25-20133,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Султанаевой Эльвире Дамировне назначено административное наказание в виде штрафа в размере 3 000 рублей. Постановление от 02.12.2025 № 25-20133/3110-1 о назначении административного наказания вступило в законную силу 13.01.2026.</t>
  </si>
  <si>
    <t>По результатам рассмотрения материалов дела об административном правонарушении № ЦА-34-Гр-25-20728,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Бурыкину Ивану Ивановичу назначено административное наказание в виде штрафа в размере 3 000 рублей. Постановление от 10.12.2025 № 25-20728/3110-1 о назначении административного наказания вступило в законную силу 13.01.2026.</t>
  </si>
  <si>
    <t>По результатам рассмотрения материалов дела об административном правонарушении № ЦА-34-ЮЛ-25-22189, возбужденного за совершение административного правонарушения, ответственность за которое предусмотрена частью 9 статьи 15.29 КоАП РФ, акционерному обществу «Инвестиционная компания «РИКОМ-ТРАСТ» назначено административное наказание в виде штрафа размером 1 000 000 (один миллион) рублей. Постановление от 25.12.2025 № 25-22189/3110-1 о назначении административного наказания вступило в законную силу 13.01.2026.</t>
  </si>
  <si>
    <t>По результатам рассмотрения материалов дела об административном правонарушении № ЦА-34-ЮЛ-25-22421,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«КВАЛИТИ»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24.12.2025 № 25-22421/3110-1 вступило в законную силу 13.01.2026.</t>
  </si>
  <si>
    <t>По результатам рассмотрения материалов дела об административном правонарушении № ЦА-34-ЮЛ-25-22385,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«ТНЕДЕНЬГИ.РУ»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24.12.2025 № 25-22385/3110-1 вступило в законную силу 13.01.2026.</t>
  </si>
  <si>
    <t>По результатам рассмотрения материалов дела об административном правонарушении № ЦА-34-ЮЛ-25-21724,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«ПФЛ НОВЫЕ ИНВЕСТИЦИИ» назначено административное наказание в виде штрафа в размере 350 000 (триста пятьдесят тысяч) рублей. Постановление о наложении штрафа по делу об административном правонарушении от 18.12.2025 № 25-21724/3110-1 вступило в законную силу 13.01.2026.</t>
  </si>
  <si>
    <t>По результатам рассмотрения материалов дела об административном правонарушении № ЦА-34-ЮЛ-25-21885,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«ТОЧКА ИНВЕСТИЦИИ» назначено административное наказание в виде предупреждения. Постановление о назначении  административного наказания от 18.12.2025 № ЦА-34-ЮЛ-25-21885/3120-1 вступило в законную силу 13.01.2026.</t>
  </si>
  <si>
    <t>По результатам рассмотрения материалов дела об административном правонарушении № ЦА-38-ЮЛ-25-21237, возбуждённого за совершение административного правонарушения, ответственность за которое предусмотрена частью 12 статьи 15.29 Кодекса Российской Федерации об административных правонарушениях, АО "Частные Активы" назначено административное наказание в виде предупреждения. Постановление вступило в законную силу 13.01.2026.</t>
  </si>
  <si>
    <t>По результатам рассмотрения материалов дела об административном правонарушении № ЦА-38-ЮЛ-25-22094, возбуждённого за совершение административного правонарушения, ответственность за которое предусмотрена частью 9 статьи 15.29 Кодекса Российской Федерации об административных правонарушениях, ООО УК "Юнион Инвест Групп" назначено административное наказание в виде штрафа в размере 350 000 рублей. Постановление вступило в законную силу 13.01.2026.По результатам рассмотрения материалов дела об административном правонарушении № ЦА-38-ЮЛ-25-22095, возбуждённого за совершение административного правонарушения, ответственность за которое предусмотрена частью 12 статьи 15.29 Кодекса Российской Федерации об административных правонарушениях, ООО УК "Юнион Инвест Групп" назначено административное наказание в виде штрафа в размере 150 000 рублей. Постановление вступило в законную силу 13.01.2026.</t>
  </si>
  <si>
    <t>По результатам рассмотрения материалов дела об административном правонарушении № ЦА-38-ЮЛ-25-21436, возбуждённого за совершение административного правонарушения, ответственность за которое предусмотрена частью 9 статьи 15.29 Кодекса Российской Федерации об административных правонарушениях, АО НПФ ВТБ Пенсионный фонд назначено административное наказание в виде штрафа в размере 700 000 рублей. Постановление вступило в законную силу 13.01.2026.</t>
  </si>
  <si>
    <t>По результатам рассмотрения материалов дела об административном правонарушении № ЦА-38-ЮЛ-25-21929,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«Управляющая Компания ТРИНФИКО» назначено административное наказание в виде предупреждения. Постановление вступило в законную силу 13.01.2026.</t>
  </si>
  <si>
    <t>По результатам рассмотрения материалов дела об административном правонарушении № ЦА-38-ЮЛ-25-21845,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«АБ Капитал» назначено административное наказание в виде предупреждения. Постановление вступило в законную силу 13.01.2026.</t>
  </si>
  <si>
    <t>По результатам рассмотрения материалов дела об административном правонарушении № ЦА-38-ЮЛ-25-21513, возбужденного за совершение административного правонарушения, ответственность за которое предусмотрена частью 2 статьи 15.29 КоАП РФ, Акционерному обществу «Инвестиционная компания «РИКОМ-ТРАСТ» назначено административное наказание в виде штрафа в размере 500 000 рублей. Постановление вступило в законную силу 13.01.2026.</t>
  </si>
  <si>
    <t>По результатам рассмотрения материалов дела об административном правонарушении № ЦА-38-ЮЛ-25-21240, возбужденного за совершение административного правонарушения, ответственность за которое предусмотрена частью 2 статьи 15.19 КоАП РФ, Обществу с ограниченной ответственностью «Т-Капитал» назначено административное наказание в виде штрафа в размере 700 000 рублей. Постановление вступило в законную силу 13.01.2026.</t>
  </si>
  <si>
    <t>По результатам рассмотрения материалов дела об административном правонарушении № ЦА-38-ЮЛ-25-21566,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«РСХБ Управление Активами» назначено административное наказание в виде штрафа в размере 400 000 рублей. Постановление вступило в законную силу 13.01.2026.</t>
  </si>
  <si>
    <t>По результатам рассмотрения материалов дела об административном правонарушении № ЦА-44-ЮЛ-25-21165, возбужденного за совершение административного правонарушения, ответственность за которое предусмотрена частью 1 статьи 19.7.3 КоАП РФ, акционерному обществу «Объединенное кредитное бюро» назначено административное наказание в виде штрафа в размере 700 000 рублей. Постановление о назначении административного наказания вступило в законную силу 30.12.2025.</t>
  </si>
  <si>
    <t>По результатам рассмотрения материалов дела об административном правонарушении № ЦА-34-Гр-25-18608,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Пивень Наталье Анатольевне назначено административное наказание в виде штрафа в размере 3 000 рублей. Постановление от 21.11.2025 № 25-18608/3110-1 о назначении административного наказания вступило в законную силу 30.12.2025.</t>
  </si>
  <si>
    <t>По результатам рассмотрения материалов дела об административном правонарушении № ЦА-44-ЮЛ-25-21166, возбужденного за совершение административного правонарушения, ответственность за которое предусмотрена частью 1 статьи 19.7.3 КоАП РФ, акционерному обществу «Объединенное кредитное бюро» назначено административное наказание в виде штрафа в размере 700 000 рублей. Постановление о назначении административного наказания вступило в законную силу 30.12.2025.</t>
  </si>
  <si>
    <t>По результатам рассмотрения материалов дела об административном правонарушении № ЦА-34-Гр-25-18606,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Пивню Демиду Романовичу назначено административное наказание в виде штрафа в размере 3 000 рублей. Постановление от 21.11.2025 № 25-18606/3110-1 о назначении административного наказания вступило в законную силу 30.12.2025.</t>
  </si>
  <si>
    <t>По результатам рассмотрения материалов дела об административном правонарушении № ЦА-38-ЮЛ-25-20445, возбуждённого за совершение административного правонарушения, ответственность за которое предусмотрена частью 2 статьи 15.29 Кодекса Российской Федерации об административных правонарушениях, АО «ИК «Лидер» назначено административное наказание в виде предупреждения. Постановление вступило в законную силу 27.12.2025.</t>
  </si>
  <si>
    <t>По результатам рассмотрения материалов дела об административном правонарушении № ЦА-34-Гр-25-19266,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Кувшиновой Анне Викторовне назначено административное наказание в виде штрафа в размере 3 000 рублей. Постановление от 19.11.2025 № 25-19266/3110-1 о назначении административного наказания вступило в законную силу 16.12.2025.</t>
  </si>
  <si>
    <t>По результатам рассмотрения материалов дела об административном правонарушении № ЦА-34-Гр-25-19256,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Кувшинову Роману Сергеевичу назначено административное наказание в виде штрафа в размере 3 000 рублей. Постановление от 19.11.2025 № 25-19256/3110-1 о назначении административного наказания вступило в законную силу 16.12.2025.</t>
  </si>
  <si>
    <t>По результатам рассмотрения материалов дела об административном правонарушении № ЦА-34-ДЛ-25-19399,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директору Общества с ограниченной ответственностью «ТОСОЛ-СИНТЕЗ ТРЕЙДИНГ» Чамкину Михаилу Александровичу назначено административное наказание в виде штрафа в размере 30 000 рублей. Постановление от 20.11.2025 № 25-19399/3110-1 о назначении административного наказания вступило в законную силу 12.12.2025.</t>
  </si>
  <si>
    <t>По результатам рассмотрения материалов дела об административном правонарушении № ЦА-34-ЮЛ-25-20912,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«НАРОДНАЯ ИНВЕСТИЦИОННАЯ ПЛАТФОРМА»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08.12.2025 № 25-20912/3110-1 вступило в законную силу 23.12.2025.</t>
  </si>
  <si>
    <t>По результатам рассмотрения материалов дела об административном правонарушении № ЦА-38-ЮЛ-25-20491, возбужденного за совершение административного правонарушения, ответственность за которое предусмотрена частью 6 статьи 15.29 КоАП РФ, Акционерному обществу «Управляющая компания «Первая» назначено административное наказание в виде штрафа в размере 700 000 рублей. Постановление вступило в законную силу 23.12.2025.</t>
  </si>
  <si>
    <t>По результатам рассмотрения материалов дела об административном правонарушении № ЦА-38-ЮЛ-25-20149,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«Контрада Капитал» назначено административное наказание в виде штрафа в размере 150 000 рублей. Постановление вступило в законную силу 23.12.2025._x000D_
По результатам рассмотрения материалов дела об административном правонарушении № ЦА-38-ЮЛ-25-20147, возбужденного за совершение административного правонарушения, ответственность за которое предусмотрена частью 6 статьи 15.29 КоАП РФ, Акционерному обществу «Контрада Капитал» назначено административное наказание в виде штрафа в размере 350 000 рублей. Постановление вступило в законную силу 23.12.2025.</t>
  </si>
  <si>
    <t>По результатам рассмотрения материалов дела об административном правонарушении № ЦА-34-ЮЛ-25-17527, возбужденного за совершение административного правонарушения, ответственность за которое предусмотрена статьей 15.30 КоАП РФ, обществу с ограниченной ответственностью "ТОРГОВАЯ СИСТЕМА" назначено административное наказание в виде штрафа в размере 350 000 рублей. Постановление о наложении штрафа по делу об административном правонарушении от 23.10.2025 № 25-17527/3110-1 вступило в законную силу 19.12.2025.</t>
  </si>
  <si>
    <t>По результатам рассмотрения материалов дела об административном правонарушении № ЦА-34-Гр-25-19385, возбужденного за совершение административного правонарушения, ответственность за которое предусмотрена статьей 15.30 КоАП РФ, Кривовой Надежде Юнусовне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19.11.2025 № 25-19385/3110-1 вступило в законную силу 19.12.2025.</t>
  </si>
  <si>
    <t>По результатам рассмотрения материалов дела об административном правонарушении № ЦА-34-Гр-25-19383, возбужденного за совершение административного правонарушения, ответственность за которое предусмотрена статьей 15.30 КоАП РФ, Кривову Вадиму Ивановичу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19.11.2025 № 25-19383/3110-1 вступило в законную силу 19.12.2025.</t>
  </si>
  <si>
    <t>По результатам рассмотрения материалов дела об административном правонарушении № ЦА-38-ЮЛ-25-19928,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«Совкомбанк Управление Активами» назначено административное наказание в виде предупреждения. Постановление вступило в законную силу 19.12.2025.</t>
  </si>
  <si>
    <t>По результатам рассмотрения материалов дела об административном правонарушении № ЦА-34-ЮЛ-25-1083, возбужденного за совершение административного правонарушения, ответственность за которое предусмотрена статьей 15.30 КоАП РФ, обществу с ограниченной ответственностью "Зитрон" назначено административное наказание в виде штрафа в размере 350 000 рублей. Постановление о наложении штрафа по делу об административном правонарушении от 05.03.2025 № 25-1083/3110-1 вступило в законную силу 04.12.2025.</t>
  </si>
  <si>
    <t>По результатам рассмотрения материалов дела об административном правонарушении № ЦА-34-ЮЛ-25-17383, возбужденного за совершение административного правонарушения, ответственность за которое предусмотрена частью 7 статьи 15.29 КоАП РФ, АО «НРК-Р.О.С.Т.» назначено административное наказание в виде штрафа в размере 500 000 рублей. Постановление № 25-17383/3110-1 о назначении административного наказания вступило в законную силу 16.12.2025.</t>
  </si>
  <si>
    <t>По результатам рассмотрения материалов дела об административном правонарушении № ЦА-44-ЮЛ-25-20280, возбужденного за совершение административного правонарушения, ответственность за которое предусмотрена частью 1 статьи 19.7.3 КоАП РФ, обществу с ограниченной ответственностью «Бюро кредитных историй КредитИнфо» назначено административное наказание в виде штрафа в размере 500 000 рублей. Постановление о назначении административного наказания вступило в законную силу 16.12.2025.</t>
  </si>
  <si>
    <t>По результатам рассмотрения материалов дела об административном правонарушении № ЦА-38-ЮЛ-25-19829, возбужденного за совершение административного правонарушения, ответственность за которое предусмотрена частью 2 статьи 15.29 КоАП РФ, Обществу с ограниченной ответственностью «Апрель Капитал Брокер» назначено административное наказание в виде предупреждения. Постановление вступило в законную силу 16.12.2025.</t>
  </si>
  <si>
    <t>По результатам рассмотрения материалов дела об административном правонарушении № ЦА-38-ЮЛ-25-19014,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«Всероссийский банк развития регионов» назначено административное наказание в виде предупреждения. Постановление вступило в законную силу 13.12.2025.</t>
  </si>
  <si>
    <t>По результатам рассмотрения материалов дела об административном правонарушении № ЦА-34-Гр-25-17010, возбужденного за совершение административного правонарушения, ответственность за которое предусмотрена статьей 15.30 КоАП РФ, Денисовой Екатерине Алексеевне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11.11.2025 № 25-17010/3110-1 вступило в законную силу 12.12.2025.</t>
  </si>
  <si>
    <t>По результатам рассмотрения материалов дела об административном правонарушении № ЦА-34-Гр-25-17506, возбужденного за совершение административного правонарушения, ответственность за которое предусмотрена статьей 15.30 КоАП РФ, Абхаликову Марселю Абдулвалеевичу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11.11.2025 № 25-17506/3110-1 вступило в законную силу 05.12.2025.</t>
  </si>
  <si>
    <t>По результатам рассмотрения материалов дела об административном правонарушении № ЦА-34-Гр-25-19033, возбужденного за совершение административного правонарушения, ответственность за которое предусмотрена статьей 15.30 КоАП РФ, Богачеву Алексею Анатольевичу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11.11.2025 № 25-19033/3110-1 вступило в законную силу 04.12.2025.</t>
  </si>
  <si>
    <t>По результатам рассмотрения материалов дела об административном правонарушении № ЦА-38-ЮЛ-25-19235,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«Управляющая компания «Парадигма» назначено административное наказание в виде предупреждения. Постановление вступило в законную силу 09.12.2025.</t>
  </si>
  <si>
    <t>По результатам рассмотрения материалов дела об административном правонарушении № ЦА-34-Гр-25-18906,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Сысуну Константину Валерьевичу назначено административное наказание в виде штрафа в размере 3 000 рублей. Постановление от 11.11.2025 № 25-18906/3110-1 о назначении административного наказания вступило в законную силу 02.12.2025.</t>
  </si>
  <si>
    <t>По результатам рассмотрения материалов дела об административном правонарушении № ЦА-34-Гр-25-15615,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Краснову Борису Владимировичу назначено административное наказание в виде штрафа в размере 3 000 рублей. Постановление от 01.10.2025 № 25-15615/3110-1 о назначении административного наказания вступило в законную силу 06.12.2025.</t>
  </si>
  <si>
    <t>По результатам рассмотрения материалов дела об административном правонарушении № ЦА-34-ЮЛ-25-19571, возбужденного за совершение административного правонарушения, ответственность за которое предусмотрена частью 9 статьи 15.29 КоАП РФ, ООО «МКБ Инвестиции» назначено административное наказание в виде штрафа в размере 700 000 рублей. Постановление 25-19571/3110-1 о назначении административного наказания вступило в законную силу 05.12.2025.</t>
  </si>
  <si>
    <t>По результатам рассмотрения материалов дел об административных правонарушениях №№ ЦА-38-ЮЛ-25-18943,№ ЦА-38-ЮЛ-25-18945, объединённых в одно производство № ЦА-38-ЮЛ-25-18943, возбуждённых за совершение административного правонарушения, ответственность за которое предусмотрена частью 9 статьи 15.29 КоАП РФ, АО «НПФ «БЛАГОСОСТОЯНИЕ»  назначено административное наказание в виде штрафа в размере 700 000 рублей. Постановление вступило в законную силу 05.12.2025.</t>
  </si>
  <si>
    <t>По результатам рассмотрения материалов дела об административном правонарушении № ЦА-38-ЮЛ-25-18851,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«Инвестиционная компания «РИКОМ-ТРАСТ» назначено административное наказание в виде штрафа в размере 700 000 рублей. Постановление вступило в законную силу 02.12.2025.</t>
  </si>
  <si>
    <t>По результатам рассмотрения материалов дела об административном правонарушении № ЦА-44-ЮЛ-25-19056, возбужденного за совершение административного правонарушения, ответственность за которое предусмотрена статьей 14.30 КоАП РФ, акционерное общество «Национальное бюро кредитных историй» назначено административное наказание в виде штрафа в размере 10 000 рублей. Постановление о назначении административного наказания вступило в законную силу 28.11.2025.</t>
  </si>
  <si>
    <t>По результатам рассмотрения материалов дела об административном правонарушении № ЦА-34-ЮЛ-25-18806, возбужденного за совершение административного правонарушения, ответственность за которое предусмотрена частью 1 статьи 19.7.3 КоАП РФ, акционерному обществу «Инвестиционная компания «РИКОМ-ТРАСТ» назначено административное наказание в виде штрафа размером 700 000 (семьсот тысяч) рублей. Постановление от 10.11.2025 № 25-18806/3110-1 о назначении административного наказания вступило в законную силу 25.11.2025.</t>
  </si>
  <si>
    <t>По результатам рассмотрения материалов дела об административном правонарушении № ЦА-38-ЮЛ-25-18589,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«ТБанк» назначено административное наказание в виде штрафа в размере 700 000 рублей. Постановление вступило в законную силу 25.11.2025.</t>
  </si>
  <si>
    <t>По результатам рассмотрения материалов дела об административном правонарушении № ЦА-38-ЮЛ-25-18586,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«Райффайзенбанк» назначено административное наказание в виде штрафа в размере 700 000 рублей. Постановление вступило в законную силу 25.11.2025.</t>
  </si>
  <si>
    <t>По результатам рассмотрения материалов дела об административном правонарушении № ЦА-38-ЮЛ-25-18427,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Управляющей компании «Надежное управление» назначено административное наказание в виде штрафа в размере 160 000 рублей. Постановление вступило в законную силу 25.11.2025.</t>
  </si>
  <si>
    <t>По результатам рассмотрения материалов дела об административном правонарушении № ЦА-34-Гр-25-17416,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Агамировой Ламаре Бегларовне назначено административное наказание в виде штрафа в размере 3 000 рублей. Постановление от 22.10.2025 № 25-17416/3110-1 о назначении административного наказания вступило в законную силу 18.11.2025.</t>
  </si>
  <si>
    <t>По результатам рассмотрения материалов дела об административном правонарушении № ЦА-34-Гр-25-17792, возбужденного за совершение административного правонарушения, ответственность за которое предусмотрена статьей 15.30 КоАП РФ, Третьяковой Надежде Яковлевне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23.10.2025 № 25-17792/3110-1 вступило в законную силу 22.11.2025.</t>
  </si>
  <si>
    <t>По результатам рассмотрения материалов дела об административном правонарушении № ЦА-38-ЮЛ-25-18242,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Управляющей компании «ФИН-Партнер» назначено административное наказание в виде предупреждения. Постановление вступило в законную силу 22.11.2025.</t>
  </si>
  <si>
    <t>По результатам рассмотрения материалов дела об административном правонарушении № ЦА-38-ЮЛ-25-18315,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«СОЛИД Менеджмент» назначено административное наказание в виде штрафа в размере 350 000 рублей. Постановление вступило в законную силу 22.11.2025.По результатам рассмотрения материалов дела об административном правонарушении № ЦА-38-ЮЛ-25-18316,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«СОЛИД Менеджмент» назначено административное наказание в виде штрафа в размере 350 000 рублей. Постановление вступило в законную силу 22.11.2025.</t>
  </si>
  <si>
    <t>По результатам рассмотрения материалов дела об административном правонарушении № ЦА-34-ЮЛ-25-17380, возбужденного за совершение административного правонарушения, ответственность за которое предусмотрена частью 1 статьи 19.7.3 КоАП РФ, акционерному обществу АО «НРК-Р.О.С.Т.» назначено административное наказание в виде предупреждения. Постановление № ЦА-34-ЮЛ-25-17380/3120-1 о назначении административного наказания вступило в законную силу 22.11.2025.</t>
  </si>
  <si>
    <t>По результатам рассмотрения материалов дела об административном правонарушении № ЦА-34-ЮЛ-25-18104,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«НАРОДНАЯ ИНВЕСТИЦИОННАЯ ПЛАТФОРМА»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06.11.2025 № 25-18104/3110-1 вступило в законную силу 21.11.2025.</t>
  </si>
  <si>
    <t>По результатам рассмотрения материалов дела об административном правонарушении № ЦА-38-ЮЛ-25-18151,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ВИМ Сбережения назначено административное наказание в виде штрафа в размере 700 000 рублей. Постановление вступило в законную силу 21.11.2025.</t>
  </si>
  <si>
    <t>По результатам рассмотрения материалов дела об административном правонарушении № ЦА-34-Гр-25-16099, возбужденного за совершение административного правонарушения, ответственность за которое предусмотрена статьей 15.30 КоАП РФ, Кислице Дмитрию Николаевичу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07.10.2025 № 25-16099/3110-1 вступило в законную силу 18.11.2025.</t>
  </si>
  <si>
    <t>По результатам рассмотрения материалов дела об административном правонарушении № ЦА-34-Гр-25-15319,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Гаспаряну Сергею Эдуардовичу назначено административное наказание в виде штрафа в размере 3 000 рублей. Постановление от 09.10.2025 № 25-15319/3110-1 о назначении административного наказания вступило в законную силу 18.11.2025.</t>
  </si>
  <si>
    <t>По результатам рассмотрения материалов дела об административном правонарушении № ЦА-34-Гр-25-15318,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Ледник Марие Ивановне назначено административное наказание в виде штрафа в размере 3 000 рублей. Постановление от 09.10.2025 № 25-15318/3110-1 о назначении административного наказания вступило в законную силу 18.11.2025.</t>
  </si>
  <si>
    <t>По результатам рассмотрения материалов дела об административном правонарушении № ЦА-34-Гр-25-5536,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Финку Александру Яковлевичу назначено административное наказание в виде штрафа в размере 3 000 рублей. Постановление от 02.07.2025 № 25-5536/3110-1 о назначении административного наказания вступило в законную силу 18.11.2025.</t>
  </si>
  <si>
    <t>По результатам рассмотрения материалов дела об административном правонарушении № ЦА-34-Гр-25-16748,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Когаю Геннадию Григорьевичу назначено административное наказание в виде штрафа в размере 3 000 рублей. Постановление от 14.10.2025 № 25-16748/3110-1 о назначении административного наказания вступило в законную силу 18.11.2025.</t>
  </si>
  <si>
    <t>По результатам рассмотрения материалов дела об административном правонарушении № ЦА-34-Гр-25-14728ДСП,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Багрову Дмитрию Андреевичу назначено административное наказание в виде штрафа в размере 3 000 рублей. Постановление от 07.10.2025 № 25-14728/3110-1ДСП о назначении административного наказания вступило в законную силу 18.11.2025.</t>
  </si>
  <si>
    <t>По результатам рассмотрения материалов дела об административном правонарушении № ЦА-34-Гр-25-17009,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Денисову Павлу Геннадьевичу назначено административное наказание в виде штрафа в размере 3 000 рублей. Постановление от 16.10.2025 № 25-17009/3110-1 о назначении административного наказания вступило в законную силу 18.11.2025.</t>
  </si>
  <si>
    <t>По результатам рассмотрения материалов дела об административном правонарушении № ЦА-34-Гр-25-17287, возбужденного за совершение административного правонарушения, ответственность за которое предусмотрена статьей 15.30 КоАП РФ, Бастраковой Дарье Дмитриевне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21.10.2025 № 25-17287/3110-1 вступило в законную силу 11.11.2025.</t>
  </si>
  <si>
    <t>По результатам рассмотрения материалов дела об административном правонарушении № ЦА-34-Гр-25-17288, возбужденного за совершение административного правонарушения, ответственность за которое предусмотрена статьей 15.30 КоАП РФ, Трубиной Наталье Владимировне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21.10.2025 № 25-17288/3110-1 вступило в законную силу 11.11.2025.</t>
  </si>
  <si>
    <t>По результатам рассмотрения материалов дела об административном правонарушении № ЦА-34-Гр-25-16226, возбужденного за совершение административного правонарушения, ответственность за которое предусмотрена статьей 15.30 КоАП РФ, Горячевой Елене Петровне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08.10.2025 № 25-16226/3110-1 вступило в законную силу 08.11.2025.</t>
  </si>
  <si>
    <t>По результатам рассмотрения материалов дела об административном правонарушении № ЦА-34-Гр-25-16382, возбужденного за совершение административного правонарушения, ответственность за которое предусмотрена статьей 15.30 КоАП РФ, Медюху Игорю Иосифовичу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09.10.2025 № 25-16382/3110-1 вступило в законную силу 12.11.2025.</t>
  </si>
  <si>
    <t>По результатам рассмотрения материалов дела об административном правонарушении № ЦА-34-Гр-25-16383, возбужденного за совершение административного правонарушения, ответственность за которое предусмотрена статьей 15.30 КоАП РФ, Медюх Елене Геннадьевне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09.10.2025 № 25-16383/3110-1 вступило в законную силу 12.11.2025.</t>
  </si>
  <si>
    <t>По результатам рассмотрения материалов дела об административном правонарушении № ЦА-34-Гр-25-16139, возбужденного за совершение административного правонарушения, ответственность за которое предусмотрена статьей 15.30 КоАП РФ, Байковой Анастасии Юрьевне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07.10.2025 № 25-16139/3110-1 вступило в законную силу 12.11.2025.</t>
  </si>
  <si>
    <t>По результатам рассмотрения материалов дела об административном правонарушении № ЦА-34-Гр-25-16637, возбужденного за совершение административного правонарушения, ответственность за которое предусмотрена статьей 15.30 КоАП РФ, Бурыкиной Оксане Валентиновне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13.10.2025 № 25-16637/3110-1 вступило в законную силу 11.11.2025.</t>
  </si>
  <si>
    <t>По результатам рассмотрения материалов дела об административном правонарушении № ЦА-34-Гр-25-16084, возбужденного за совершение административного правонарушения, ответственность за которое предусмотрена статьей 15.30 КоАП РФ, Кислице Егору Дмитриевичу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07.10.2025 № 25-16084/3110-1 вступило в законную силу 11.11.2025.</t>
  </si>
  <si>
    <t>По результатам рассмотрения материалов дела об административном правонарушении № ЦА-34-Гр-25-15739, возбужденного за совершение административного правонарушения, ответственность за которое предусмотрена статьей 15.30 КоАП РФ, Савиной Александре Юрьевне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02.10.2025 № 25-15739/3110-1 вступило в законную силу 11.11.2025.</t>
  </si>
  <si>
    <t>По результатам рассмотрения материалов дела об административном правонарушении № ЦА-34-Гр-25-15746, возбужденного за совершение административного правонарушения, ответственность за которое предусмотрена статьей 15.30 КоАП РФ, Комарову Михаилу Владимировичу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02.10.2025 № 25-15746/3110-1 вступило в законную силу 11.11.2025.</t>
  </si>
  <si>
    <t>По результатам рассмотрения материалов дела об административном правонарушении № ЦА-44-ЮЛ-25-17809, возбужденного за совершение административного правонарушения, ответственность за которое предусмотрена частью 2 статьи 5.54 КоАП РФ, акционерное общество «Объединенное Кредитное Бюро» назначено административное наказание в виде штрафа в размере 50 000 рублей. Постановление о назначении административного наказания вступило в законную силу 11.11.2025.По результатам рассмотрения материалов дела об административном правонарушении № ЦА-44-ЮЛ-25-17990, возбужденного за совершение административного правонарушения, ответственность за которое предусмотрена частью 1 статьи 5.54 КоАП РФ, акционерное общество «Объединенное Кредитное Бюро» назначено административное наказание в виде штрафа в размере 20 000 рублей. Постановление о назначении административного наказания вступило в законную силу 11.11.2025.По результатам рассмотрения материалов дела об административном правонарушении № ЦА-44-ЮЛ-25-17996, возбужденного за совершение административного правонарушения, ответственность за которое предусмотрена частью 1 статьи 5.54 КоАП РФ, акционерное общество «Объединенное Кредитное Бюро» назначено административное наказание в виде штрафа в размере 20 000 рублей. Постановление о назначении административного наказания вступило в законную силу 11.11.2025.</t>
  </si>
  <si>
    <t>По результатам рассмотрения материалов дела об административном правонарушении № ЦА-38-ЮЛ-25-17410,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«СОЛИД Менеджмент» назначено административное наказание в виде штрафа в размере 150 000 рублей. Постановление вступило в законную силу 11.11.2025.</t>
  </si>
  <si>
    <t>По результатам рассмотрения материалов дела об административном правонарушении № ЦА-38-ЮЛ-25-17303, возбужденного за совершение административного правонарушения, ответственность за которое предусмотрена частью 2 статьи 15.29 КоАП РФ, Акционерному обществу Инвестиционно-финансовой компании «Солид» назначено административное наказание в виде штрафа в размере 550 000 рублей. Постановление вступило в законную силу 11.11.2025.</t>
  </si>
  <si>
    <t>По результатам рассмотрения материалов дела об административном правонарушении № ЦА-38-ЮЛ-25-16579,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ЦА-38-ЮЛ-25-16581,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ЦА-38-ЮЛ-25-16610,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ЦА-38-ЮЛ-25-16613,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ЦА-38-ЮЛ-25-16649,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ЦА-38-ЮЛ-25-16788,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ЦА-38-ЮЛ-25-16907,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t>
  </si>
  <si>
    <t>По результатам рассмотрения материалов дела об административном правонарушении № ЦА-38-ЮЛ-25-17499, возбужденного за совершение административного правонарушения, ответственность за которое предусмотрена частью 6 статьи 15.29 КоАП РФ, Акционерному обществу «Управляющая компания «Первая» назначено административное наказание в виде штрафа в размере 700 000 рублей. Постановление вступило в законную силу 11.11.2025.</t>
  </si>
  <si>
    <t>По результатам рассмотрения материалов дела об административном правонарушении № ЦА-34-Гр-25-16635, возбужденного за совершение административного правонарушения, ответственность за которое предусмотрена статьей 15.30 КоАП РФ, Бурыкину Ивану Терентьевичу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13.10.2025 № 25-16635/3110-1 вступило в законную силу 01.11.2025.</t>
  </si>
  <si>
    <t>По результатам рассмотрения материалов дела об административном правонарушении № ЦА-34-Гр-25-16604, возбужденного за совершение административного правонарушения, ответственность за которое предусмотрена статьей 15.30 КоАП РФ, Глазковой Екатерине Николаевне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13.10.2025 № 25-16604/3110-1 вступило в законную силу 08.11.2025.</t>
  </si>
  <si>
    <t>По результатам рассмотрения материалов дела об административном правонарушении № ЦА-34-Гр-25-16599, возбужденного за совершение административного правонарушения, ответственность за которое предусмотрена статьей 15.30 КоАП РФ, Глазкову Алексею Геннадьевичу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13.10.2025 № 25-16599/3110-1 вступило в законную силу 08.11.2025.</t>
  </si>
  <si>
    <t>По результатам рассмотрения материалов дела об административном правонарушении № ЦА-34-Гр-25-16138, возбужденного за совершение административного правонарушения, ответственность за которое предусмотрена статьей 15.30 КоАП РФ, Ювженко Александру Витальевичу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07.10.2025 № 25-16138/3110-1 вступило в законную силу 08.11.2025.</t>
  </si>
  <si>
    <t>По результатам рассмотрения материалов дела об административном правонарушении № ЦА-34-ЮЛ-25-17312, возбужденного за совершение административного правонарушения, ответственность за которое предусмотрена частью 1 статьи 19.7.3 КоАП РФ, акционерному обществу «Инвестиционная компания «РИКОМ-ТРАСТ» назначено административное наказание в виде штрафа размером 700 000 (семьсот тысяч) рублей. Постановление от 23.10.2025 № 25-17312/3110-1 о назначении административного наказания вступило в законную силу 07.11.2025.</t>
  </si>
  <si>
    <t>По результатам рассмотрения материалов дела об административном правонарушении № ЦА-34-Гр-25-15992, возбужденного за совершение административного правонарушения, ответственность за которое предусмотрена статьей 15.30 КоАП РФ, Сулеймановой Танье Нурмухаметовне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06.10.2025 № 25-15992/3110-1 вступило в законную силу 07.11.2025.</t>
  </si>
  <si>
    <t>По результатам рассмотрения материалов дела об административном правонарушении № ЦА-34-Гр-25-15973, возбужденного за совершение административного правонарушения, ответственность за которое предусмотрена статьей 15.30 КоАП РФ, Кемайкину Григорию Владимировичу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06.10.2025 № 25-15973/3110-1 вступило в законную силу 07.11.2025.</t>
  </si>
  <si>
    <t>По результатам рассмотрения материалов дела об административном правонарушении № ЦА-34-Гр-25-15478, возбужденного за совершение административного правонарушения, ответственность за которое предусмотрена статьей 15.30 КоАП РФ, Яковлевой Надежде Александровне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30.09.2025 № 25-15478/3110-1 вступило в законную силу 07.11.2025.</t>
  </si>
  <si>
    <t>По результатам рассмотрения материалов дела об административном правонарушении № ЦА-34-Гр-25-15479, возбужденного за совершение административного правонарушения, ответственность за которое предусмотрена статьей 15.30 КоАП РФ, Яковлеву Алексею Владимировичу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30.09.2025 № 25-15479/3110-1 вступило в законную силу 07.11.2025.</t>
  </si>
  <si>
    <t>По результатам рассмотрения материалов дела об административном правонарушении № ЦА-44-ЮЛ-25-17465, возбужденного за совершение административного правонарушения, ответственность за которое предусмотрена статьей 14.30 КоАП РФ, акционерное общество «Национальное бюро кредитных историй» назначено административное наказание в виде штрафа в размере 10 000 рублей. Постановление о назначении административного наказания вступило в законную силу 07.11.2025.</t>
  </si>
  <si>
    <t>По результатам рассмотрения материалов дела об административном правонарушении № ЦА-34-Гр-25-16223, возбужденного за совершение административного правонарушения, ответственность за которое предусмотрена статьей 15.30 КоАП РФ, Горячеву Дмитрию Александровичу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08.10.2025 № 25-16223/3110-1 вступило в законную силу 06.11.2025.</t>
  </si>
  <si>
    <t>По результатам рассмотрения материалов дела об административном правонарушении № ЦА-34-Гр-25-15993, возбужденного за совершение административного правонарушения, ответственность за которое предусмотрена статьей 15.30 КоАП РФ, Сулейманову Алмазу Рафиковичу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06.10.2025 № 25-15993/3110-1 вступило в законную силу 06.11.2025.</t>
  </si>
  <si>
    <t>По результатам рассмотрения материалов дела об административном правонарушении № ЦА-34-Гр-25-15518, возбужденного за совершение административного правонарушения, ответственность за которое предусмотрена статьей 15.30 КоАП РФ, Плахуте Михаилу Сергеевичу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30.09.2025 № 25-15518/3110-1 вступило в законную силу 06.11.2025.</t>
  </si>
  <si>
    <t>По результатам рассмотрения материалов дела об административном правонарушении № ЦА-34-Гр-25-15437, возбужденного за совершение административного правонарушения, ответственность за которое предусмотрена статьей 15.30 КоАП РФ, Шиловой Елене Михайловне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29.09.2025 № 25-15437/3110-1 вступило в законную силу 02.11.2025.</t>
  </si>
  <si>
    <t>По результатам рассмотрения материалов дела об административном правонарушении № ЦА-34-Гр-25-15433, возбужденного за совершение административного правонарушения, ответственность за которое предусмотрена статьей 15.30 КоАП РФ, Шилову Дмитрию Игоревичу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29.09.2025 № 25-15433/3110-1 вступило в законную силу 02.11.2025.</t>
  </si>
  <si>
    <t>По результатам рассмотрения материалов дела об административном правонарушении № ЦА-34-Гр-25-15976, возбужденного за совершение административного правонарушения, ответственность за которое предусмотрена статьей 15.30 КоАП РФ, Кемайкиной Юлии Александровне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06.10.2025 № 25-15976/3110-1 вступило в законную силу 02.11.2025.</t>
  </si>
  <si>
    <t>По результатам рассмотрения материалов дела об административном правонарушении № ЦА-38-ЮЛ-25-16488 возбужденного за совершение административного правонарушения, ответственность за которое предусмотрена частью 9 статьи 15.29 КоАП РФ, ООО «ИК «Титульный Брокер» назначено административное наказание в виде предупреждения. Постановление № ЦА-38-ЮЛ-25-16488/3120-1 вступило в законную силу 02.11.2025.</t>
  </si>
  <si>
    <t>По результатам рассмотрения материалов дела об административном правонарушении № ЦА-34-Гр-25-15672, возбужденного за совершение административного правонарушения, ответственность за которое предусмотрена статьей 15.30 КоАП РФ, Трефиловой Марии Сергеевне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01.10.2025 № 25-15672/3110-1 вступило в законную силу 01.11.2025.</t>
  </si>
  <si>
    <t>По результатам рассмотрения материалов дела об административном правонарушении № ЦА-34-Гр-25-15776, возбужденного за совершение административного правонарушения, ответственность за которое предусмотрена статьей 15.30 КоАП РФ, Янковской Марине Владимировне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02.10.2025 № 25-15776/3110-1 вступило в законную силу 28.10.2025.</t>
  </si>
  <si>
    <t>По результатам рассмотрения материалов дела об административном правонарушении № ЦА-34-Гр-25-15773, возбужденного за совершение административного правонарушения, ответственность за которое предусмотрена статьей 15.30 КоАП РФ, Янковскому Сергею Борисовичу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02.10.2025 № 25-15773/3110-1 вступило в законную силу 28.10.2025.</t>
  </si>
  <si>
    <t>По результатам рассмотрения материалов дела об административном правонарушении № ЦА-34-Гр-25-15800, возбужденного за совершение административного правонарушения, ответственность за которое предусмотрена статьей 15.30 КоАП РФ, Громовому Дмитрию Леонидовичу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02.10.2025 № 25-15800/3110-1 вступило в законную силу 25.10.2025.</t>
  </si>
  <si>
    <t>По результатам рассмотрения материалов дела об административном правонарушении № ЦА-34-Гр-25-15405, возбужденного за совершение административного правонарушения, ответственность за которое предусмотрена статьей 15.30 КоАП РФ, Никитину Никите Геннадьевичу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29.09.2025 № 25-15405/3110-1 вступило в законную силу 31.10.2025.</t>
  </si>
  <si>
    <t>По результатам рассмотрения материалов дела об административном правонарушении № ЦА-34-Гр-25-15528, возбужденного за совершение административного правонарушения, ответственность за которое предусмотрена статьей 15.30 КоАП РФ, Плахуте Эмилии Сергеевне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30.09.2025 № 25-15528/3110-1 вступило в законную силу 31.10.2025.</t>
  </si>
  <si>
    <t>По результатам рассмотрения материалов дела об административном правонарушении № ЦА-34-Гр-25-15875, возбужденного за совершение административного правонарушения, ответственность за которое предусмотрена статьей 15.30 КоАП РФ, Третьякову Александру Евгеньевичу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01.10.2025 № 25-15875/3110-1 вступило в законную силу 31.10.2025.</t>
  </si>
  <si>
    <t>Акционерное общество «Бюро кредитных историй «Скоринг Бюро»</t>
  </si>
  <si>
    <t>По результатам рассмотрения материалов дела об административном правонарушении № ЦА-44-ЮЛ-25-16925, возбужденного за совершение административного правонарушения, ответственность за которое предусмотрена частью 1 статьи 19.7.3 КоАП РФ, акционерному обществу «Бюро кредитных историй «Скоринг Бюро» назначено административное наказание в виде штрафа в размере 500 000 рублей. Постановление о назначении административного наказания вступило в законную силу 28.10.2025</t>
  </si>
  <si>
    <t>По результатам рассмотрения материалов дела об административном правонарушении № ЦА-34-ЮЛ-25-319,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коммерческому банку "Ситибанк" назначено административное наказание в виде предупреждения. Постановление от 11.02.2025 № ЦА-34-ЮЛ-25-319/3120-1 о назначении административного наказания вступило в законную силу 25.02.2025.</t>
  </si>
  <si>
    <t>По результатам рассмотрения материалов дела об административном правонарушении № ЦА-34-ЮЛ-24-10897, возбужденного за совершение административного правонарушения, ответственность за которое предусмотрена частью 9 статьи 15.29 КоАП РФ, акционерному обществу «Сбербанк КИБ» назначено административное наказание в виде предупреждения. Постановление от 14.10.2024 № ЦА-34-ЮЛ-24-10897/3120-1 о назначении административного наказания вступило в законную силу 26.10.2024.</t>
  </si>
  <si>
    <t>По результатам рассмотрения материалов дела об административном правонарушении № ЦА-34-ЮЛ-25-13848, возбужденного за совершение административного правонарушения, ответственность за которое предусмотрена частью 1 статьи 19.7.3 КоАП РФ, обществу с ограниченной ответственностью «МКБ Инвестиции» назначено административное наказание в виде предупреждения. Постановление от 04.09.2025 № ЦА-34-ЮЛ-25-13848/3120-1 о назначении административного наказания вступило в законную силу 19.09.2025.</t>
  </si>
  <si>
    <t>По результатам рассмотрения материалов дела об административном правонарушении № ЦА-38-ЮЛ-25-16300,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«Управляющая компания «Альфа-Капитал» назначено административное наказание в виде штрафа в размере 300 000 рублей. Постановление вступило в законную силу 28.10.2025.</t>
  </si>
  <si>
    <t>По результатам рассмотрения материалов дела об административном правонарушении № ЦА-34-Гр-25-15527,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Масловой Елене Евгеньевне назначено административное наказание в виде штрафа в размере 3 000 рублей. Постановление от 30.09.2025 № 25-15527/3110-1 о назначении административного наказания вступило в законную силу 23.10.2025.</t>
  </si>
  <si>
    <t>По результатам рассмотрения материалов дела об административном правонарушении № ЦА-34-Гр-25-15526,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Маслову Никите Ивановичу назначено административное наказание в виде штрафа в размере 3 000 рублей. Постановление от 30.09.2025 № 25-15526/3110-1 о назначении административного наказания вступило в законную силу 23.10.2025.</t>
  </si>
  <si>
    <t>По результатам рассмотрения материалов дела об административном правонарушении № ЦА-34-Гр-25-15315,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Подкоморной Анастасии Петровне назначено административное наказание в виде штрафа в размере 3 000 рублей. Постановление от 25.09.2025 № 25-15315/3110-1 о назначении административного наказания вступило в законную силу 28.10.2025.</t>
  </si>
  <si>
    <t>По результатам рассмотрения материалов дела об административном правонарушении № ЦА-38-ЮЛ-25-16472,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Инвестиционной компании «Прайвет Капитал» назначено административное наказание в виде штрафа в размере 250 000 рублей. Постановление вступило в законную силу 28.10.2025.</t>
  </si>
  <si>
    <t>По результатам рассмотрения материалов дела об административном правонарушении № ЦА-34-ЮЛ-25-16716,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«ФИНИН-К» назначено административное наказание в виде штрафа в размере 300 000 (триста тысяч) рублей. Постановление о наложении штрафа по делу об административном правонарушении от 09.10.2025 № 25-16716/3110-1 вступило в законную силу 24.10.2025.</t>
  </si>
  <si>
    <t>По результатам рассмотрения материалов дела об административном правонарушении № ЦА-34-ЮЛ-25-15380,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«Поток.Диджитал» назначено административное наказание в виде предупреждения. Постановление о назначении предупреждения по делу об административном правонарушении от 25.09.2025 № ЦА-34-ЮЛ-25-15380/3120-1 вступило в законную силу 13.10.2025.</t>
  </si>
  <si>
    <t>По результатам рассмотрения материалов дела об административном правонарушении № ЦА-34-ЮЛ-25-6071,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«СмартИнвест» назначено административное наказание в виде предупреждения. Постановление о назначении предупреждения по делу об административном правонарушении от 02.06.2025 № ЦА-34-ЮЛ-25-6071/3120-1  вступило в законную силу 17.06.2025.</t>
  </si>
  <si>
    <t>По результатам рассмотрения материалов дела об административном правонарушении № ЦА-34-Гр-25-15093,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Прокопенко Андрею Владимировичу назначено административное наказание в виде штрафа в размере 3 000 рублей. Постановление от 24.09.2025 № 25-15093/3110-1 о назначении административного наказания вступило в законную силу 22.10.2025.</t>
  </si>
  <si>
    <t>По результатам рассмотрения материалов дела об административном правонарушении № ЦА-34-Гр-25-15403,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Никитину Денису Геннадиевичу назначено административное наказание в виде штрафа в размере 3 000 рублей. Постановление от 29.09.2025 № 25-15403/3110-1 о назначении административного наказания вступило в законную силу 22.10.2025.</t>
  </si>
  <si>
    <t>По результатам рассмотрения материалов дела об административном правонарушении № ЦА-38-ЮЛ-25-15659,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«Контрада Капитал» назначено административное наказание в виде штрафа в размере 150 000 рублей. Постановление вступило в законную силу 25.10.2025.</t>
  </si>
  <si>
    <t>По результатам рассмотрения материалов дела об административном правонарушении № ЦА-34-Гр-25-15669,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Трефилову Дмитрию Владимировичу назначено административное наказание в виде штрафа в размере 3 000 рублей. Постановление от 01.10.2025 № 25-15669/3110-1 о назначении административного наказания вступило в законную силу 22.10.2025.</t>
  </si>
  <si>
    <t>По результатам рассмотрения материалов дела об административном правонарушении № ЦА-34-Гр-25-15312,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Дроковой Нине Михайловне назначено административное наказание в виде штрафа в размере 3 000 рублей. Постановление от 25.09.2025 № 25-15312/3110-1 о назначении административного наказания вступило в законную силу 25.10.2025.</t>
  </si>
  <si>
    <t>По результатам рассмотрения материалов дела об административном правонарушении № ЦА-34-Гр-25-15094,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Прокопенко Татьяне Александровне назначено административное наказание в виде штрафа в размере 3 000 рублей. Постановление от 24.09.2025 № 25-15094/3110-1 о назначении административного наказания вступило в законную силу 18.10.2025.</t>
  </si>
  <si>
    <t>По результатам рассмотрения материалов дела об административном правонарушении № ЦА-34-Гр-25-15314,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Воробьеву Кириллу Александровичу назначено административное наказание в виде штрафа в размере 3 000 рублей. Постановление от 25.09.2025 № 25-15314/3110-1 о назначении административного наказания вступило в законную силу 18.10.2025.</t>
  </si>
  <si>
    <t>По результатам рассмотрения материалов дела об административном правонарушении № ЦА-34-Гр-25-15311,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Колмакову Алексею Анатольевичу назначено административное наказание в виде штрафа в размере 3 000 рублей. Постановление от 25.09.2025 № 25-15311/3110-1 о назначении административного наказания вступило в законную силу 24.10.2025.</t>
  </si>
  <si>
    <t>По результатам рассмотрения материалов дела об административном правонарушении № ЦА-34-Гр-25-15235,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Данилову  Сергею Вениаминовичу назначено административное наказание в виде штрафа в размере 3 000 рублей. Постановление от 23.09.2025 № 25-15235/3110-1 о назначении административного наказания вступило в законную силу 15.10.2025.</t>
  </si>
  <si>
    <t>По результатам рассмотрения материалов дела об административном правонарушении № ЦА-34-Гр-25-15236,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Даниловой Татьяне Владимировне назначено административное наказание в виде штрафа в размере 3 000 рублей. Постановление от 23.09.2025 № 25-15236/3110-1 о назначении административного наказания вступило в законную силу 15.10.2025.</t>
  </si>
  <si>
    <t>По результатам рассмотрения материалов дела об административном правонарушении № ЦА-44-ЮЛ-25-14968, возбужденного за совершение административного правонарушения, ответственность за которое предусмотрена частью 1 статьи 5.54 КоАП РФ, акционерное общество «Объединенное Кредитное Бюро» назначено административное наказание в виде штрафа в размере 20 000 рублей. Постановление о назначении административного наказания вступило в законную силу 21.10.2025.По результатам рассмотрения материалов дела об административном правонарушении № ЦА-44-ЮЛ-25-14969, возбужденного за совершение административного правонарушения, ответственность за которое предусмотрена частью 1 статьи 5.54 КоАП РФ, акционерное общество «Объединенное Кредитное Бюро» назначено административное наказание в виде штрафа в размере 20 000 рублей. Постановление о назначении административного наказания вступило в законную силу 21.10.2025.</t>
  </si>
  <si>
    <t>По результатам рассмотрения материалов дела об административном правонарушении № ЦА-34-Гр-25-14293,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Стародубцеву Олегу Александровичу назначено административное наказание в виде штрафа в размере 3 000 рублей. Постановление от 11.09.2025 № 25-14293/3110-1 о назначении административного наказания вступило в законную силу 18.10.2025.</t>
  </si>
  <si>
    <t>По результатам рассмотрения материалов дела об административном правонарушении № ЦА-34-ЮЛ-25-15419,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«Райффайзенбанк» назначено административное наказание в виде штрафа размером 300 000 (триста тысяч) рублей. Постановление от 02.10.2025 № 25-15419/3110-1 о назначении административного наказания вступило в законную силу 17.10.2025.</t>
  </si>
  <si>
    <t>По результатам рассмотрения материалов дела об административном правонарушении № ЦА-38-ЮЛ-25-15445, возбужденного за совершение административного правонарушения, ответственность за которое предусмотрена частью 2 статьи 15.29 КоАП РФ, Обществу с ограниченной ответственностью «СПЭК ИНВЕСТМЕНТ» назначено административное наказание в виде предупреждения. Постановление вступило в законную силу 17.10.2025.По результатам рассмотрения материалов дела об административном правонарушении № ЦА-38-ЮЛ-25-15446, возбужденного за совершение административного правонарушения, ответственность за которое предусмотрена частью 2 статьи 15.29 КоАП РФ, Обществу с ограниченной ответственностью «СПЭК ИНВЕСТМЕНТ» назначено административное наказание в виде предупреждения. Постановление вступило в законную силу 17.10.2025.</t>
  </si>
  <si>
    <t>По результатам рассмотрения материалов дела об административном правонарушении № ЦА-34-Гр-25-14960,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Переверзеву Игорю Леонидовичу назначено административное наказание в виде штрафа в размере 3 000 рублей. Постановление от 19.09.2025 № 25-14960/3110-1 о назначении административного наказания вступило в законную силу 14.10.2025.</t>
  </si>
  <si>
    <t>По результатам рассмотрения материалов дела об административном правонарушении № ЦА-34-Гр-25-15238,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Короленко Евгению Александровичу назначено административное наказание в виде штрафа в размере 3 000 рублей. Постановление от 23.09.2025 № 25-15238/3110-1 о назначении административного наказания вступило в законную силу 14.10.2025.</t>
  </si>
  <si>
    <t>По результатам рассмотрения материалов дела об административном правонарушении № ЦА-34-Гр-25-14290,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Гараевой Лейле Валерьевне назначено административное наказание в виде штрафа в размере 3 000 рублей. Постановление от 11.09.2025 № 25-14290/3110-1 о назначении административного наказания вступило в законную силу 17.10.2025.</t>
  </si>
  <si>
    <t>По результатам рассмотрения материалов дела об административном правонарушении № ЦА-34-Гр-25-14959,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Переверзевой Марине Анатольевне назначено административное наказание в виде штрафа в размере 3 000 рублей. Постановление от 19.09.2025 № 25-14959/3110-1 о назначении административного наказания вступило в законную силу 10.10.2025.</t>
  </si>
  <si>
    <t>По результатам рассмотрения материалов дела об административном правонарушении № ЦА-38-ЮЛ-25-15531,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Управляющей компании «Движение капитала» назначено административное наказание в виде предупреждения. Постановление вступило в законную силу 14.10.2025.</t>
  </si>
  <si>
    <t>По результатам рассмотрения материалов дела об административном правонарушении № ЦА-34-Гр-25-13764,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Шушкиной Светлане Алексеевне назначено административное наказание в виде штрафа в размере 3 000 рублей. Постановление от 04.09.2025 № 25-13764/3110-1 о назначении административного наказания вступило в законную силу 10.10.2025.</t>
  </si>
  <si>
    <t>По результатам рассмотрения материалов дела об административном правонарушении № ЦА-34-Гр-25-13936,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Черепухиной Виктории Борисовне назначено административное наказание в виде штрафа в размере 3 000 рублей. Постановление от 08.09.2025 № 25-13936/3110-1 о назначении административного наказания вступило в законную силу 10.10.2025.</t>
  </si>
  <si>
    <t>По результатам рассмотрения материалов дела об административном правонарушении № ЦА-34-Гр-25-13935,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Черепухину Константину Валерьевичу назначено административное наказание в виде штрафа в размере 3 000 рублей. Постановление от 08.09.2025 № 25-13935/3110-1 о назначении административного наказания вступило в законную силу 10.10.2025.</t>
  </si>
  <si>
    <t>По результатам рассмотрения материалов дела об административном правонарушении № ЦА-44-ЮЛ-25-15385, возбужденного за совершение административного правонарушения, ответственность за которое предусмотрена частью 1 статьи 5.54 КоАП РФ, акционерное общество «Объединенное Кредитное Бюро» назначено административное наказание в виде штрафа в размере 20 000 рублей. Постановление о назначении административного наказания вступило в законную силу 10.10.2025.</t>
  </si>
  <si>
    <t>По результатам рассмотрения материалов дела об административном правонарушении № ЦА-34-Гр-25-13066,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Ковтуну Илье Николаевичу назначено административное наказание в виде штрафа в размере 3 000 рублей. Постановление от 27.08.2025 № 25-13066/3110-1 о назначении административного наказания вступило в законную силу 04.10.2025.</t>
  </si>
  <si>
    <t>По результатам рассмотрения материалов дела об административном правонарушении № ЦА-34-Гр-25-13063,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Ковтун Ларисе Николаевне назначено административное наказание в виде штрафа в размере 3 000 рублей. Постановление от 27.08.2025 № 25-13063/3110-1 о назначении административного наказания вступило в законную силу 03.10.2025.</t>
  </si>
  <si>
    <t>По результатам рассмотрения материалов дела об административном правонарушении № ЦА-34-Гр-25-13667,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Цуканову Игорю Юрьевичу назначено административное наказание в виде штрафа в размере 3 000 рублей. Постановление от 03.09.2025 № 25-13667/3110-1 о назначении административного наказания вступило в законную силу 07.10.2025.</t>
  </si>
  <si>
    <t>По результатам рассмотрения материалов дела об административном правонарушении № ЦА-34-Гр-25-13668,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Цукановой Галине Николаевне назначено административное наказание в виде штрафа в размере 3 000 рублей. Постановление от 03.09.2025 № 25-13668/3110-1 о назначении административного наказания вступило в законную силу 07.10.2025.</t>
  </si>
  <si>
    <t>По результатам рассмотрения материалов дела об административном правонарушении № ЦА-34-Гр-25-13759,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Шушкину Денису Вячеславовичу назначено административное наказание в виде штрафа в размере 3 000 рублей. Постановление от 04.09.2025 № 25-13759/3110-1 о назначении административного наказания вступило в законную силу 07.10.2025.</t>
  </si>
  <si>
    <t>По результатам рассмотрения материалов дела об административном правонарушении № ЦА-34-Гр-25-13503, возбужденного за совершение административного правонарушения, ответственность за которое предусмотрена статьей 15.30 КоАП РФ, Циркову Игорю Сергеевичу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02.09.2025 № 25-13503/3110-1 вступило в законную силу 03.10.2025.</t>
  </si>
  <si>
    <t>По результатам рассмотрения материалов дела об административном правонарушении № ЦА-34-Гр-25-13207, возбужденного за совершение административного правонарушения, ответственность за которое предусмотрена статьей 15.30 КоАП РФ, Бушиной Ольге Валерьевне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28.08.2025 № 25-13207/3110-1 вступило в законную силу 03.10.2025.</t>
  </si>
  <si>
    <t>По результатам рассмотрения материалов дела об административном правонарушении № ЦА-34-Гр-25-13202, возбужденного за совершение административного правонарушения, ответственность за которое предусмотрена статьей 15.30 КоАП РФ, Бушиной Любови Александровне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28.08.2025 № 25-13202/3110-1 вступило в законную силу 03.10.2025.</t>
  </si>
  <si>
    <t>По результатам рассмотрения материалов дела об административном правонарушении № ЦА-34-Гр-25-13205, возбужденного за совершение административного правонарушения, ответственность за которое предусмотрена статьей 15.30 КоАП РФ, Бушину Андриану Валерьевичу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28.08.2025 № 25-13205/3110-1 вступило в законную силу 03.10.2025.</t>
  </si>
  <si>
    <t>По результатам рассмотрения материалов дела об административном правонарушении № ЦА-34-Гр-25-13018, возбужденного за совершение административного правонарушения, ответственность за которое предусмотрена статьей 15.30 КоАП РФ, Литвиновой Ольге Борисовне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27.08.2025 № 25-13018/3110-1 вступило в законную силу 30.09.2025.</t>
  </si>
  <si>
    <t>По результатам рассмотрения материалов дела об административном правонарушении № ЦА-38-ЮЛ-25-14281,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Инвестиционно-финансовой компании «Солид» назначено административное наказание в виде штрафа в размере 700 000 рублей. Постановление вступило в законную силу 30.09.2025.</t>
  </si>
  <si>
    <t>По результатам рассмотрения материалов дела об административном правонарушении № ЦА-34-ЮЛ-25-14800,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«Национальное Рейтинговое Агентство»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16.09.2025 № 25-14800/3110-1 вступило в законную силу 30.09.2025.</t>
  </si>
  <si>
    <t>По результатам рассмотрения материалов дела об административном правонарушении № ЦА-34-Гр-25-13032, возбужденного за совершение административного правонарушения, ответственность за которое предусмотрена статьей 15.30 КоАП РФ, Литвинову Андрею Александровичу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27.08.2025 № 25-13032/3110-1 вступило в законную силу 30.09.2025.</t>
  </si>
  <si>
    <t>Акционерное общество «Негосударственный пенсионный фонд «Т-Пенсия»</t>
  </si>
  <si>
    <t>По результатам рассмотрения материалов дела об административном правонарушении № ЦА-38-ЮЛ-25-14386 возбужденного за совершение административного правонарушения, ответственность за которое предусмотрена частью 10 статьи 15.29 КоАП РФ, АО «НПФ «Т-Пенсия» назначено административное наказание в виде предупреждения. Постановление вступило в законную силу 30.09.2025</t>
  </si>
  <si>
    <t>По результатам рассмотрения материалов дела об административном правонарушении № ЦА-34-ЮЛ-25-14508,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Акционерному обществу «Ремани»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10.09.2025 № 25-14508/3110-1 вступило в законную силу 26.09.2025.</t>
  </si>
  <si>
    <t>По результатам рассмотрения материалов дела об административном правонарушении № ЦА-34-ЮЛ-25-14152ДСП, возбужденного за совершение административного правонарушения, ответственность за которое предусмотрена частью 4 статьи 15.35 Кодекса Российской Федерации об административных правонарушениях, Акционерному обществу «Москва Сити Секьюритиз» назначено административное наказание в виде штрафа в размере 300 000 рублей. Постановление от 10.09.2025 № 25-14152/3110-1ДСП о назначении административного наказания вступило в законную силу 23.09.2025._x000D_
По результатам рассмотрения материалов дела об административном правонарушении № ЦА-34-ЮЛ-25-14149ДСП, возбужденного за совершение административного правонарушения, ответственность за которое предусмотрена частью 2 статьи 15.35 Кодекса Российской Федерации об административных правонарушениях, Акционерному обществу «Москва Сити Секьюритиз» назначено административное наказание в виде предупреждения. Постановление от 10.09.2025 № 25-14149/3120-1ДСП о назначении административного наказания вступило в законную силу 23.09.2025.</t>
  </si>
  <si>
    <t>По результатам рассмотрения материалов дела об административном правонарушении № ЦА-34-Гр-25-13506,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Цирковой Любови Ивановне назначено административное наказание в виде штрафа в размере 3 000 рублей. Постановление от 02.09.2025 № 25-13506/3110-1 о назначении административного наказания вступило в законную силу 23.09.2025.</t>
  </si>
  <si>
    <t>По результатам рассмотрения материалов дела об административном правонарушении № ЦА-34-ЮЛ-25-14496,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«Каркаул.ру» назначено административное наказание в виде штрафа в размере 350 000 (триста пятьдесят тысяч) рублей. Постановление о наложении штрафа по делу об административном правонарушении от 10.09.2025 № 25-14496/3110-1 вступило в законную силу 26.09.2025.</t>
  </si>
  <si>
    <t>По результатам рассмотрения материалов дела об административном правонарушении № ЦА-44-ЮЛ-25-14245, возбужденного за совершение административного правонарушения, ответственность за которое предусмотрена частью 1 статьи 5.54 КоАП РФ, АО «Объединенное Кредитное Бюро» назначено административное наказание в виде штрафа в размере 20 000 рублей. Постановление о назначении административного наказания вступило в законную силу 23.09.2025.</t>
  </si>
  <si>
    <t>По результатам рассмотрения материалов дела об административном правонарушении № ЦА-38-ЮЛ-25-13601, возбужденного за совершение административного правонарушения, ответственность за которое предусмотрена частью 9 статьи 15.29 КоАП РФ, Акционерному обществу «Москва Сити Секьюритиз» назначено административное наказание в виде штрафа в размере 700 000 рублей. Постановление вступило в законную силу 23.09.2025._x000D_
По результатам рассмотрения материалов дела об административном правонарушении № ЦА-38-ЮЛ-25-13644, возбужденного за совершение административного правонарушения, ответственность за которое предусмотрена частью 2 статьи 15.29 КоАП РФ, Акционерному обществу «Москва Сити Секьюритиз» назначено административное наказание в виде штрафа в размере 500 000 рублей. Постановление вступило в законную силу 23.09.2025.</t>
  </si>
  <si>
    <t>По результатам рассмотрения материалов дела об административном правонарушении № ЦА-38-ЮЛ-25-13781,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«БКС Управление Благосостоянием» назначено административное наказание в виде штрафа в размере 150 000 рублей. Постановление вступило в законную силу 23.09.2025.</t>
  </si>
  <si>
    <t>По результатам рассмотрения материалов дела об административном правонарушении № ЦА-34-ЮЛ-25-13578, возбужденного за совершение административного правонарушения, ответственность за которое предусмотрена частью 7 статьи 14.24 КоАП РФ, Публичному акционерному обществу «Московская Биржа ММВБ-РТС» назначено административное наказание в виде предупреждения. Постановление о назначении административного наказания от 03.09.2025 № ЦА-34-ЮЛ-25-13578/3120-1 вступило в законную силу 20.09.2025.</t>
  </si>
  <si>
    <t>По результатам рассмотрения материалов дела об административном правонарушении № ЦА-44-ЮЛ-25-14213, возбужденного за совершение административного правонарушения, ответственность за которое предусмотрена частью 1 статьи 19.7.3 КоАП РФ, акционерному обществу «Объединенное Кредитное Бюро» назначено административное наказание в виде штрафа в размере 700 000 рублей. Постановление о назначении административного наказания вступило в законную силу 19.09.2025</t>
  </si>
  <si>
    <t>По результатам рассмотрения материалов дела об административном правонарушении № ЦА-34-ЮЛ-25-13854,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«Специализированный депозитарий «ИНФИНИТУМ» назначено административное наказание в виде штрафа размером 300 000 (триста тысяч) рублей. Постановление от 03.09.2025 № 25-13854/3110-1 о назначении административного наказания вступило в законную силу 19.09.2025.</t>
  </si>
  <si>
    <t>По результатам рассмотрения материалов дела об административном правонарушении № ЦА-38-ЮЛ-25-13234,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Управляющей компании «Эра Инвестиций» назначено административное наказание в виде предупреждения. Постановление вступило в законную силу 16.09.2025.</t>
  </si>
  <si>
    <t>По результатам рассмотрения материалов дела об административном правонарушении № ЦА-38-ЮЛ-25-11426,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«РСХБ Управление Активами» назначено административное наказание в виде штрафа в размере 300 000 рублей. Постановление вступило в законную силу 16.09.2025.</t>
  </si>
  <si>
    <t>По результатам рассмотрения материалов дела об административном правонарушении № ЦА-34-Гр-25-10461,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Гребенниковой Татьяне Витальевне  назначено административное наказание в виде штрафа в размере 3 000 рублей. Постановление от 29.07.2025 № 25-10461/3110-1 о назначении административного наказания вступило в законную силу 09.09.2025.</t>
  </si>
  <si>
    <t>По результатам рассмотрения материалов дела об административном правонарушении № ЦА-34-Гр-25-10644,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Гуревичу Вадиму Александровичу назначено административное наказание в виде штрафа в размере 3 000 рублей. Постановление от 30.07.2025 № 25-10644/3110-1 о назначении административного наказания вступило в законную силу 06.09.2025.</t>
  </si>
  <si>
    <t>По результатам рассмотрения материалов дела об административном правонарушении № ЦА-34-Гр-25-10646,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Гуревич Иветте Абрамовне назначено административное наказание в виде штрафа в размере 3 000 рублей. Постановление от 30.07.2025 № 25-10646/3110-1 о назначении административного наказания вступило в законную силу 06.09.2025.</t>
  </si>
  <si>
    <t>По результатам рассмотрения материалов дела об административном правонарушении № ЦА-44-ЮЛ-25-13209, возбужденного за совершение административного правонарушения, ответственность за которое предусмотрена частью 1 статьи 5.54 КоАП РФ, АО «Объединенное Кредитное Бюро» назначено административное наказание в виде штрафа в размере 20 000 рублей. Постановление о назначении административного наказания вступило в законную силу 09.09.2025.</t>
  </si>
  <si>
    <t>По результатам рассмотрения материалов дела об административном правонарушении № ЦА-38-ЮЛ-25-13091 возбужденного за совершение административного правонарушения, ответственность за которое предусмотрена частью 12 статьи 15.29 КоАП РФ, АО НПФ ВТБ Пенсионный фонд назначено административное наказание в виде штрафа в размере 300 000 (триста тысяч) рублей. Постановление вступило в законную силу 09.09.2025</t>
  </si>
  <si>
    <t>05.09.2025</t>
  </si>
  <si>
    <t>Общество с ограниченной ответственностью "Управляющая компания "Восток-запад"</t>
  </si>
  <si>
    <t>По результатам рассмотрения материалов дела об административном правонарушении № ЦА-38-ЮЛ-25-12572, возбужденного за совершение административного правонарушения, ответственность за которое предусмотрена частью 5 статьи 15.29 КоАП РФ, Обществу с ограниченной ответственностью "Управляющая компания "Восток-запад" назначено административное наказание в виде предупреждения. Постановление вступило в законную силу 05.09.2025По результатам рассмотрения материалов дела об административном правонарушении № ЦА-38-ЮЛ-25-12211,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"Управляющая компания "Восток-запад" назначено административное наказание в виде предупреждения. Постановление вступило в законную силу 05.09.2025</t>
  </si>
  <si>
    <t>По результатам рассмотрения материалов дела об административном правонарушении № ЦА-38-ЮЛ-25-12384, возбужденного за совершение административного правонарушения, ответственность за которое предусмотрена частью 2 статьи 15.29 КоАП РФ, Акционерному обществу «Инвестиционная компания «Ай Ти Инвест» назначено административное наказание в виде штрафа в размере 500 000 рублей. Постановление вступило в законную силу 02.09.2025.</t>
  </si>
  <si>
    <t>По результатам рассмотрения материалов дела об административном правонарушении № ЦА-38-ЮЛ-25-12386,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Управляющей компании «Надежное управление»  назначено административное наказание в виде штрафа в размере 150 000  рублей. Постановление вступило в законную силу 02.09.2025.</t>
  </si>
  <si>
    <t>По результатам рассмотрения материалов дела об административном правонарушении № ЦА-34-ЮЛ-25-12555,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«ИНВЕСТИРУЙ В» назначено административное наказание в виде штрафа в размере 350 000 (триста пятьдесят тысяч) рублей. Постановление о наложении штрафа по делу об административном правонарушении от 20.08.2025 № 25-12555/3110-1 вступило в законную силу 02.09.2025.</t>
  </si>
  <si>
    <t>По результатам рассмотрения материалов дела об административном правонарушении № ЦА-44-ЮЛ-25-11891, возбужденного за совершение административного правонарушения, ответственность за которое предусмотрена частью 1 статьи 5.54 КоАП РФ, АО «Объединенное Кредитное Бюро» назначено административное наказание в виде штрафа в размере 20 000 рублей. Постановление о назначении административного наказания вступило в законную силу 29.08.2025.</t>
  </si>
  <si>
    <t>По результатам рассмотрения материалов дела об административном правонарушении № ЦА-34-ГР-25-10458,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Гребенникову Александру Александровичу назначено административное наказание в виде штрафа в размере 5 000 рублей. Постановление от 29.07.2025 № 25-10458/3110-1 о назначении административного наказания вступило в законную силу 27.08.2025.</t>
  </si>
  <si>
    <t>По результатам рассмотрения материалов дела об административном правонарушении _x000D_
№ ЦА-38-ЮЛ-25-10924, возбужденного за совершение административного правонарушения, ответственность за которое предусмотрена частью 9 статьи 15.29 КоАП РФ, Акционерному обществу «Инвестиционная компания «РИКОМ-ТРАСТ» назначено административное наказание в виде штрафа в размере 700 000 рублей. Постановление вступило в законную силу 26.08.2025.</t>
  </si>
  <si>
    <t>По результатам рассмотрения материалов дела об административном правонарушении № ЦА-38-ЮЛ-25-11527, возбужденного за совершение административного правонарушения, ответственность за которое предусмотрена частью 2 статьи 15.29 КоАП РФ, Обществу с ограниченной ответственностью «Т-Инвест Лаб» назначено административное наказание в виде штрафа в размере 500 000 рублей. Постановление вступило в законную силу 23.08.2025.</t>
  </si>
  <si>
    <t>По результатам рассмотрения материалов дела об административном правонарушении № ЦА-38-ЮЛ-25-11455,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«Управляющая компания «Атон-менеджмент» назначено административное наказание в виде штрафа в размере 350 000 рублей. Постановление вступило в законную силу 23.08.2025.</t>
  </si>
  <si>
    <t>По результатам рассмотрения материалов дела об административном правонарушении № ЦА-38-ЮЛ-25-10238 возбужденного за совершение административного правонарушения, ответственность за которое предусмотрена частью 12 статьи 15.29 КоАП РФ, АО «МНПФ «АКВИЛОН» назначено административное наказание в виде предупреждения. Постановление вступило в законную силу 22.08.2025.</t>
  </si>
  <si>
    <t>По результатам рассмотрения материалов дела об административном правонарушении № ЦА-34-Гр-25-1089, возбужденного за совершение административного правонарушения, ответственность за которое предусмотрена статьей 15.30 КоАП РФ, Баринову Илье Игоревичу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05.03.2025 № 25-1089/3110-1 вступило в законную силу 19.08.2025.</t>
  </si>
  <si>
    <t>По результатам рассмотрения материалов дела об административном правонарушении № ЦА-38-ЮЛ-25-10483,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«ВИМ Инвестиции» назначено административное наказание в виде штрафа в размере 300 000 рублей. Постановление вступило в законную силу 19.08.2025.</t>
  </si>
  <si>
    <t>По результатам рассмотрения материалов дела об административном правонарушении № ЦА-38-ЮЛ-25-11163, возбужденного за совершение административного правонарушения, ответственность за которое предусмотрена частью 2 статьи 15.19 КоАП РФ, Обществу с ограниченной ответственностью «Управляющая компания «Терра Эссет Менеджмент» назначено административное наказание в виде штрафа в размере 350 000 рублей. Постановление вступило в законную силу 19.08.2025.</t>
  </si>
  <si>
    <t>По результатам рассмотрения материалов дела об административном правонарушении № ЦА-38-ЮЛ-25-8974, возбужденного за совершение административного правонарушения, ответственность за которое предусмотрена частью 2 статьи 15.29 КоАП РФ, Обществу с ограниченной ответственностью «Цифра Брокер» назначено административное наказание в виде предупреждения. Постановление вступило в законную силу 19.08.2025.</t>
  </si>
  <si>
    <t>По результатам рассмотрения материалов дела об административном правонарушении № ЦА-38-ЮЛ-25-10637,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«ИВА Партнерс» назначено административное наказание в виде штрафа в размере 700 000 рублей. Постановление вступило в законную силу 16.08.2025.</t>
  </si>
  <si>
    <t>По результатам рассмотрения материалов дела об административном правонарушении № ЦА-38-ЮЛ-25-9942,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«ТуОушен Капитал» назначено административное наказание в виде предупреждения. Постановление вступило в законную силу 16.08.2025.</t>
  </si>
  <si>
    <t>По результатам рассмотрения материалов дела об административном правонарушении № ЦА-34-ЮЛ-25-10757,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«СЕЛЕКТ МАНИ»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30.07.2025 № 25-10757/3110-1 вступило в законную силу 12.08.2025.</t>
  </si>
  <si>
    <t>По результатам рассмотрения материалов дела об административном правонарушении № ЦА-34-ЮЛ-25-11368,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«ФЕИР ФИНАНС»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31.07.2025 № 25-11368/3110-1 вступило в законную силу 15.08.2025.</t>
  </si>
  <si>
    <t>По результатам рассмотрения материалов дела об административном правонарушении № ЦА-34-ЮЛ-25-11274, возбужденного за совершение административного правонарушения, ответственность за которое предусмотрена частью 12 статьи 15.29 КоАП РФ, закрытому акционерному обществу «Первый специализированный депозитарий» назначено административное наказание в виде штрафа размером 300 000 (триста тысяч) рублей. Постановление от 31.07.2025 № 25-11274/3110-1 о назначении административного наказания вступило в законную силу 12.08.2025.</t>
  </si>
  <si>
    <t>По результатам рассмотрения материалов дела об административном правонарушении № ЦА-34-ДЛ-25-10466, возбужденного за совершение административного правонарушения, ответственность за которое предусмотрена статьей 15.21 Кодекса Российской Федерации об административных правонарушениях, Папкину Михаилу Владимировичу назначено административное наказание в виде штрафа в размере 30 000 рублей. Постановление от 28.07.2025 № 25-10466/3110-1 о назначении административного наказания вступило в законную силу 12.08.2025.</t>
  </si>
  <si>
    <t>По результатам рассмотрения материалов дела об административном правонарушении № ЦА-34-Гр-25-6546,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Шигапову Радику Муллануровичу назначено административное наказание в виде штрафа в размере 3 000 рублей. Постановление от 10.06.2025 № 25-6546/3110-1 о назначении административного наказания вступило в законную силу 12.08.2025.</t>
  </si>
  <si>
    <t>По результатам рассмотрения материалов дела об административном правонарушении № ЦА-38-ЮЛ-25-9417,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ограниченной_x000D_
ответственностью «Управляющая компания_x000D_
«Формула инвестиций» назначено административное наказание в виде штрафа в размере 150 000 рублей. Постановление вступило в законную силу 12.08.2025.</t>
  </si>
  <si>
    <t>По результатам рассмотрения материалов дела об административном правонарушении № ЦА-38-ЮЛ-25-9943,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«Инвестиционная компания «РИКОМ-ТРАСТ» назначено административное наказание в виде штрафа в размере 700 000 рублей. Постановление вступило в законную силу 12.08.2025.</t>
  </si>
  <si>
    <t>По результатам рассмотрения материалов дела об административном правонарушении № ЦА-38-ЮЛ-25-10330 возбужденного за совершение административного правонарушения, ответственность за которое предусмотрена частью 2 статьи 15.29 КоАП РФ, Акционерному обществу «Москва Сити Секьюритиз» назначено административное наказание в виде предупреждения. Постановление вступило в законную силу 12.08.2025.</t>
  </si>
  <si>
    <t>По результатам рассмотрения материалов дела об административном правонарушении № ЦА-34-Гр-25-7403,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Дрожжину Антону Михайловичу назначено административное наказание в виде штрафа в размере 3 000 рублей. Постановление от 23.06.2025 № 25-7403/3110-1 о назначении административного наказания вступило в законную силу 08.08.2025.</t>
  </si>
  <si>
    <t>По результатам рассмотрения материалов дела об административном правонарушении № ЦА-34-Гр-25-7633,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Фроловой Ксении Владимировне назначено административное наказание в виде штрафа в размере 3 000 рублей. Постановление от 25.06.2025 № 25-7633/3110-1 о назначении административного наказания вступило в законную силу 08.08.2025.</t>
  </si>
  <si>
    <t>По результатам рассмотрения материалов дела об административном правонарушении № ЦА-38-ЮЛ-25-10088,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«ЮниКредит Банк» назначено административное наказание в виде предупреждения. Постановление вступило в законную силу 08.08.2025.</t>
  </si>
  <si>
    <t>По результатам рассмотрения материалов дела об административном правонарушении № ЦА-38-ЮЛ-25-9262,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«РТ-Инвест» назначено административное наказание в виде предупреждения. Постановление вступило в законную силу 08.08.2025.</t>
  </si>
  <si>
    <t>По результатам рассмотрения материалов дела об административном правонарушении № ЦА-34-Гр-25-7625,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Фролову Михаилу Сергеевичу назначено административное наказание в виде штрафа в размере 3 000 рублей. Постановление от 25.06.2025 № 25-7625/3110-1 о назначении административного наказания вступило в законную силу 05.08.2025.</t>
  </si>
  <si>
    <t>По результатам рассмотрения материалов дела об административном правонарушении № ЦА-38-ЮЛ-25-9592, возбужденного за совершение административного правонарушения, ответственность за которое предусмотрена частью 12 статьи 15.29 КоАП РФ, Открытому акционерному обществу «РОНИН Траст» назначено административное наказание в виде предупреждения. Постановление вступило в законную силу 05.08.2025.</t>
  </si>
  <si>
    <t>По результатам рассмотрения материалов дела об административном правонарушении № ЦА-38-ЮЛ-25-9395, возбужденного за совершение административного правонарушения, ответственность за которое предусмотрена частью 6 статьи 15.29 КоАП РФ, Акционерному обществу «Управляющая компания «Первая» назначено административное наказание в виде штрафа в размере 700 000 рублей. Постановление вступило в законную силу 05.08.2025.По результатам рассмотрения материалов дела об административном правонарушении № ЦА-38-ЮЛ-25-9401,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«Управляющая компания «Первая» назначено административное наказание в виде штрафа в размере 300 000 рублей. Постановление вступило в законную силу 05.08.2025.</t>
  </si>
  <si>
    <t>По результатам рассмотрения материалов дела об административном правонарушении № ЦА-38-ЮЛ-25-8795, возбужденного за совершение административного правонарушения, ответственность за которое предусмотрена частью 2 статьи 15.29 КоАП РФ, Акционерному обществу УК «Доверительная» назначено административное наказание в виде предупреждения. Постановление вступило в законную силу 05.08.2025.</t>
  </si>
  <si>
    <t>По результатам рассмотрения материалов дела об административном правонарушении № ЦА-34-ЮЛ-25-10426,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«ИНВЕСТИРУЙ В» назначено административное наказание в виде штрафа в размере 350 000 (триста пятьдесят тысяч) рублей. Постановление о наложении штрафа по делу об административном правонарушении от 23.07.2025 № 25-10426/3110-1 вступило в законную силу 05.08.2025.</t>
  </si>
  <si>
    <t>По результатам рассмотрения материалов дела об административном правонарушении № ЦА-34-Гр-25-5769,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Кушниру Андрею Николаевичу назначено административное наказание в виде штрафа в размере 3 000 рублей. Постановление от 29.05.2025 № 25-5769/3110-1 о назначении административного наказания вступило в законную силу 02.08.2025.</t>
  </si>
  <si>
    <t>По результатам рассмотрения материалов дела об административном правонарушении № ЦА-34-Гр-25-6630,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Хрусталеву Ивану Дмитриевичу назначено административное наказание в виде штрафа в размере 3 000 рублей. Постановление от 10.06.2025 № 25-6630/3110-1 о назначении административного наказания вступило в законную силу 29.07.2025.</t>
  </si>
  <si>
    <t>По результатам рассмотрения материалов дела об административном правонарушении № ЦА-34-Гр-25-6631,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Хрусталевой Альбине Дмитриевне назначено административное наказание в виде штрафа в размере 3 000 рублей. Постановление от 10.06.2025 № 25-6631/3110-1 о назначении административного наказания вступило в законную силу 29.07.2025.</t>
  </si>
  <si>
    <t>По результатам рассмотрения материалов дела об административном правонарушении № ЦА-44-ЮЛ-25-9185, возбужденного за совершение административного правонарушения, ответственность за которое предусмотрена статьей 5.55 КоАП РФ, АО «Объединенное Кредитное Бюро» назначено административное наказание в виде штрафа в размере 50 000 рублей. Постановление о назначении административного наказания вступило в законную силу 29.07.2025.</t>
  </si>
  <si>
    <t>По результатам рассмотрения материалов дела об административном правонарушении № ЦА-38-ЮЛ-25-8198,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«Управляющей компании «АЛЬФА-КАПИТАЛ» назначено административное наказание в виде штрафа в размере 350 000 рублей. Постановление вступило в законную силу 26.07.2025.</t>
  </si>
  <si>
    <t>По результатам рассмотрения материалов дела об административном правонарушении № ЦА-44-ЮЛ-25-8509, возбужденного за совершение административного правонарушения, ответственность за которое предусмотрена статьей 14.30 КоАП РФ, АО «Национальное бюро кредитных историй» назначено административное наказание в виде штрафа в размере 10 000 рублей. Постановление о назначении административного наказания вступило в законную силу 22.07.2025.</t>
  </si>
  <si>
    <t>По результатам рассмотрения материалов дела об административном правонарушении № ЦА-34-Гр-25-5655,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Пашнину Михаилу Анатольевичу назначено административное наказание в виде штрафа в размере 3 000 рублей. Постановление от 28.05.2025 № 25-5655/3110-1 о назначении административного наказания вступило в законную силу 22.07.2025.</t>
  </si>
  <si>
    <t>По результатам рассмотрения материалов дела об административном правонарушении № ЦА-34-ЮЛ-25-9026,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«СМАРТИНВЕСТ»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09.07.2025 № 25-9026/3110-1 вступило в законную силу 22.07.2025.</t>
  </si>
  <si>
    <t>По результатам рассмотрения материалов дела об административном правонарушении № ЦА-38-ЮЛ-25-7998, возбужденного за совершение административного правонарушения, ответственность за которое предусмотрена частью 2 статьи 15.19 КоАП РФ, Обществу с ограниченной ответственностью «РСХБ Управление Активами» назначено административное наказание в виде штрафа в размере 700 000 рублей. Постановление вступило в законную силу 22.07.2025.</t>
  </si>
  <si>
    <t>По результатам рассмотрения материалов дела об административном правонарушении № ЦА-38-ЮЛ-25-8294,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«АКЦЕНТ УПРАВЛЕНИЕ АКТИВАМИ» назначено административное наказание в виде предупреждения. Постановление вступило в законную силу 22.07.2025.</t>
  </si>
  <si>
    <t>По результатам рассмотрения материалов дела об административном правонарушении № ЦА-34-ДЛ-25-6089,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Маленко Артему Анатольевичу назначено административное наказание в виде штрафа в размере 30 000 рублей. Постановление от 03.06.2025 № 25-6089/3110-1 о назначении административного наказания вступило в законную силу 18.07.2025.</t>
  </si>
  <si>
    <t>По результатам рассмотрения материалов дела об административном правонарушении № ЦА-34-Гр-25-6414,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Калинину Владимиру Анатольевичу назначено административное наказание в виде штрафа в размере 3 000 рублей. Постановление от 05.06.2025 № 25-6414/3110-1 о назначении административного наказания вступило в законную силу 18.07.2025.</t>
  </si>
  <si>
    <t>По результатам рассмотрения материалов дела об административном правонарушении № ЦА-34-Гр-25-6545,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Шигаповой Кадрие Хисамовне назначено административное наказание в виде штрафа в размере 3 000 рублей. Постановление от 10.06.2025 № 25-6545/3110-1 о назначении административного наказания вступило в законную силу 18.07.2025.</t>
  </si>
  <si>
    <t>По результатам рассмотрения материалов дела об административном правонарушении № ЦА-34-ЮЛ-25-8644,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«ИНВЕСТИРУЙ В»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03.07.2025 № 25-8644/3110-1 вступило в законную силу 18.07.2025.</t>
  </si>
  <si>
    <t>По результатам рассмотрения материалов дела об административном правонарушении № ЦА-34-ЮЛ-25-8054,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«ПФЛ Новые Инвестиции» назначено административное наказание в виде штрафа в размере 350 000 (триста пятьдесят тысяч) рублей. Постановление о наложении штрафа по делу об административном правонарушении от 03.07.2025 № 25-8054/3110-1 вступило в законную силу 18.07.2025.</t>
  </si>
  <si>
    <t>По результатам рассмотрения материалов дела об административном правонарушении № ЦА-38-ЮЛ-25-7788, возбужденного за совершение административного правонарушения, ответственность за которое предусмотрена частью 10 статьи 15.29 КоАП РФ, Акционерному обществу «Негосударственный пенсионный фонд «ВЭФ.Жизнь» назначено административное наказание в виде предупреждения. Постановление вступило в законную силу 15.07.2025.</t>
  </si>
  <si>
    <t>По результатам рассмотрения материалов дела об административном правонарушении № ЦА-34-ЮЛ-25-8172,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«Капитализация»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30.06.2025 № 25-8172/3110-1 вступило в законную силу 15.07.2025.</t>
  </si>
  <si>
    <t>Нугманова Ляйля Равилевна</t>
  </si>
  <si>
    <t>По результатам рассмотрения материалов дела об административном правонарушении № ЦА-34-Гр-25-6420,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Нугмановой Ляйле Равилевне назначено административное наказание в виде штрафа в размере 3 000 рублей. Постановление от 05.06.2025 № 25-6420/3110-1 о назначении административного наказания вступило в законную силу 11.07.2025</t>
  </si>
  <si>
    <t>По результатам рассмотрения материалов дела об административном правонарушении № ЦА-38-ЮЛ-25-6542,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Управляющая компания «Финанс Трейд Эссет Менеджмент» назначено административное наказание в виде предупреждения. Постановление вступило в законную силу 11.07.2025.</t>
  </si>
  <si>
    <t>Нугманов Нияз Ильдусович</t>
  </si>
  <si>
    <t>По результатам рассмотрения материалов дела об административном правонарушении № ЦА-34-Гр-25-6418,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Нугманову Ниязу Ильдусовичу назначено административное наказание в виде штрафа в размере 3 000 рублей. Постановление от 05.06.2025 № 25-6418/3110-1 о назначении административного наказания вступило в законную силу 08.07.2025</t>
  </si>
  <si>
    <t>По результатам рассмотрения материалов дела об административном правонарушении № ЦА-34-Гр-25-5498,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Тимофеевой Дарье Сергеевне назначено административное наказание в виде штрафа в размере 3 000 рублей. Постановление от 16.06.2025 № 25-5498/3110-1 о назначении административного наказания вступило в законную силу 08.07.2025.</t>
  </si>
  <si>
    <t>По результатам рассмотрения материалов дела об административном правонарушении № ЦА-34-Гр-25-5033,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Борисовой Анне Владимировне назначено административное наказание в виде штрафа в размере 3 000 рублей. Постановление от 15.05.2025 № 25-5033/3110-1 о назначении административного наказания вступило в законную силу 08.07.2025.</t>
  </si>
  <si>
    <t>По результатам рассмотрения материалов дела об административном правонарушении № ЦА-34-Гр-25-5494,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Тимофееву Александру Николаевичу назначено административное наказание в виде штрафа в размере 3 000 рублей. Постановление от 16.06.2025 № 25-5494/3110-1 о назначении административного наказания вступило в законную силу 08.07.2025.</t>
  </si>
  <si>
    <t>По результатам рассмотрения материалов дела об административном правонарушении № ЦА-34-Гр-25-7153,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Железнову Андрею Юрьевичу назначено административное наказание в виде штрафа в размере 3 000 рублей. Постановление от 16.06.2025 № 25-7153/3110-1 о назначении административного наказания вступило в законную силу 08.07.2025.</t>
  </si>
  <si>
    <t>По результатам рассмотрения материалов дела об административном правонарушении № ЦА-34-Гр-25-7156,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Просовой Елене Игоревне назначено административное наказание в виде штрафа в размере 3 000 рублей. Постановление от 16.06.2025 № 25-7156/3110-1 о назначении административного наказания вступило в законную силу 08.07.2025.</t>
  </si>
  <si>
    <t>По результатам рассмотрения материалов дела об административном правонарушении № ЦА-34-Гр-25-5011,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Варанкиной Евгении Владимировне назначено административное наказание в виде штрафа в размере 3 000 рублей. Постановление от 19.05.2025 № 25-5011/3110-1 о назначении административного наказания вступило в законную силу 08.07.2025.</t>
  </si>
  <si>
    <t>По результатам рассмотрения материалов дела об административном правонарушении № ЦА-34-ЮЛ-25-7366,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«ДжетЛенд»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25.06.2025 № 25-7366/3110-1 вступило в законную силу 08.07.2025.</t>
  </si>
  <si>
    <t>По результатам рассмотрения материалов дела об административном правонарушении № ЦА-38-ЮЛ-25-7324, возбужденного за совершение административного правонарушения, ответственность за которое предусмотрена частью 6 статьи 15.29 КоАП РФ, Обществу с ограниченной ответственностью «РСХБ Управление Активами» назначено административное наказание в виде штрафа в размере 700 000 рублей. Постановление вступило в законную силу 08.07.2025.</t>
  </si>
  <si>
    <t>07.07.2025</t>
  </si>
  <si>
    <t>Земский Василий Николаевич</t>
  </si>
  <si>
    <t>По результатам рассмотрения материалов дела об административном правонарушении № ЦА-34-Гр-25-5659,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Земскому Василию Николаевичу назначено административное наказание в виде штрафа в размере 3 000 рублей. Постановление от 28.05.2025 № 25-5659/3110-1 о назначении административного наказания вступило в законную силу 05.07.2025</t>
  </si>
  <si>
    <t>Рублев Роман Викторович</t>
  </si>
  <si>
    <t>По результатам рассмотрения материалов дела об административном правонарушении № ЦА-34-Гр-25-5766,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Рублеву Роману Викторовичу назначено административное наказание в виде штрафа в размере 3 000 рублей. Постановление от 29.05.2025 № 25-5766/3110-1 о назначении административного наказания вступило в законную силу 05.07.2025</t>
  </si>
  <si>
    <t>Кратавичюс Игорь Вацловович</t>
  </si>
  <si>
    <t>По результатам рассмотрения материалов дела об административном правонарушении № ЦА-34-Гр-25-5378,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Кратавичюсу Игорю Вацлововичу назначено административное наказание в виде штрафа в размере 3 000 рублей. Постановление от 23.05.2025 № 25-5378/3110-1 о назначении административного наказания вступило в законную силу 04.07.2025</t>
  </si>
  <si>
    <t>По результатам рассмотрения материалов дела об административном правонарушении № ЦА-34-Гр-25-6165, возбужденного за совершение административного правонарушения, ответственность за которое предусмотрена статьей 15.30 КоАП РФ, Федорову Александру Вячеславовичу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04.06.2025 № 25-6165/3110-1 вступило в законную силу 04.07.2025.</t>
  </si>
  <si>
    <t>По результатам рассмотрения материалов дела об административном правонарушении № ЦА-44-ЮЛ-25-6909, возбужденного за совершение административного правонарушения, ответственность за которое предусмотрена статьей 5.55 КоАП РФ, обществу с ограниченной ответственностью «Спектрум кредитное бюро» назначено административное наказание в виде предупреждения. Постановление о назначении административного наказания вступило в законную силу 01.07.2025.</t>
  </si>
  <si>
    <t>По результатам рассмотрения материалов дела об административном правонарушении № ЦА-44-ЮЛ-25-7162, возбужденного за совершение административного правонарушения, ответственность за которое предусмотрена частью 1 статьи 19.7.3 КоАП РФ, акционерному обществу «Объединенное Кредитное Бюро» назначено административное наказание в виде штрафа в размере 700 000 рублей. Постановление о назначении административного наказания вступило в законную силу 01.07.2025.</t>
  </si>
  <si>
    <t>Вшивкова Виктория Валентиновна</t>
  </si>
  <si>
    <t>По результатам рассмотрения материалов дела об административном правонарушении № ЦА-34-Гр-25-6215,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Вшивковой Виктории Валентиновне назначено административное наказание в виде штрафа в размере 3 000 рублей. Постановление от 05.06.2025 № 25-6215/3110-1 о назначении административного наказания вступило в законную силу 01.07.2025</t>
  </si>
  <si>
    <t>Луканин Александр Иванович</t>
  </si>
  <si>
    <t>По результатам рассмотрения материалов дела об административном правонарушении № ЦА-34-Гр-25-6216,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Луканину Александру Ивановичу назначено административное наказание в виде штрафа в размере 3 000 рублей. Постановление от 05.06.2025 № 25-6216/3110-1 о назначении административного наказания вступило в законную силу 01.07.2025</t>
  </si>
  <si>
    <t>По результатам рассмотрения материалов дела об административном правонарушении № ЦА-34-ДЛ-25-5980, возбужденного за совершение административного правонарушения, ответственность за которое предусмотрена статьей 15.30 КоАП РФ, Байдакову Александру Владимировичу назначено административное наказание в виде штрафа в размере 30 000 рублей. Постановление о наложении штрафа по делу об административном правонарушении от 02.06.2025 № 25-5980/3110-1 вступило в законную силу 01.07.2025.</t>
  </si>
  <si>
    <t>Трухачев Дмитрий Владимирович</t>
  </si>
  <si>
    <t>По результатам рассмотрения материалов дела об административном правонарушении № ЦА-34-Гр-25-6484,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Трухачеву Дмитрию Владимировичу назначено административное наказание в виде штрафа в размере 3 000 рублей. Постановление от 09.06.2025 № 25-6484/3110-1 о назначении административного наказания вступило в законную силу 28.06.2025</t>
  </si>
  <si>
    <t>По результатам рассмотрения материалов дела об административном правонарушении № ЦА-34-ЮЛ-25-7134,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«КАПИТАЛИЗАЦИЯ»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16.06.2025 № 25-7134/3110-1 вступило в законную силу 28.06.2025.</t>
  </si>
  <si>
    <t>По результатам рассмотрения материалов дела об административном правонарушении № ЦА-38-ЮЛ-25-6450, возбужденного за совершение административного правонарушения, ответственность за которое предусмотрена частью 2 статьи 15.19 КоАП РФ, Обществу с ограниченной ответственностью «РСХБ Управление Активами» назначено административное наказание в виде штрафа в размере 700 000 рублей. Постановление вступило в законную силу 28.06.2025.</t>
  </si>
  <si>
    <t>27.06.2025</t>
  </si>
  <si>
    <t>Трухачев Дмитрий Дмитриевич</t>
  </si>
  <si>
    <t>По результатам рассмотрения материалов дела об административном правонарушении № ЦА-34-Гр-25-6508,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Трухачеву Дмитрию Дмитриевичу назначено административное наказание в виде штрафа в размере 3 000 рублей. Постановление от 09.06.2025 № 25-6508/3110-1 о назначении административного наказания вступило в законную силу 27.06.2025</t>
  </si>
  <si>
    <t>Костычев Павел Андреевич</t>
  </si>
  <si>
    <t>По результатам рассмотрения материалов дела об административном правонарушении № ЦА-34-Гр-25-5022,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Костычеву Павлу Андреевичу назначено административное наказание в виде штрафа в размере 3 000 рублей. Постановление от 19.05.2025 № 25-5022/3110-1 о назначении административного наказания вступило в законную силу 27.06.2025</t>
  </si>
  <si>
    <t>По результатам рассмотрения материалов дела об административном правонарушении № ЦА-34-Гр-25-5131,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Давтяну Давиду Михайловичу назначено административное наказание в виде штрафа в размере 3 000 рублей. Постановление от 20.05.2025 № 25-5131/3110-1 о назначении административного наказания вступило в законную силу 20.06.2025.</t>
  </si>
  <si>
    <t>По результатам рассмотрения материалов дела об административном правонарушении № ЦА-34-ДЛ-25-5983,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Волику Богдану Викторовичу назначено административное наказание в виде штрафа в размере 30 000 рублей. Постановление от 02.06.2025 № 25-5983/3110-1 о назначении административного наказания вступило в законную силу 18.06.2025.</t>
  </si>
  <si>
    <t>По результатам рассмотрения материалов дела об административном правонарушении № ЦА-34-ЮЛ-25-6249, возбужденного за совершение административного правонарушения, ответственность за которое предусмотрена частью 1 статьи 19.7.3 КоАП РФ, акционерному обществу «Инвестиционная компания «РИКОМ-ТРАСТ» назначено административное наказание в виде штрафа размером 500 000 (пятьсот тысяч) рублей. Постановление от 04.06.2025 № 25-6249/3110-1 о назначении административного наказания вступило в законную силу 17.06.2025.</t>
  </si>
  <si>
    <t>По результатам рассмотрения материалов дела об административном правонарушении № ЦА-34-ЮЛ-25-6067,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«СмартИнвест»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02.06.2025 № 25-6067/3110-1 вступило в законную силу 17.06.2025.</t>
  </si>
  <si>
    <t>По результатам рассмотрения материалов дела об административном правонарушении № ЦА-34-Гр-25-5137,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Цатурян Наринэ Егишевне назначено административное наказание в виде штрафа в размере 3 000 рублей. Постановление от 20.05.2025 № 25-5137/3110-1 о назначении административного наказания вступило в законную силу 17.06.2025.</t>
  </si>
  <si>
    <t>По результатам рассмотрения материалов дела об административном правонарушении № ЦА-34-Гр-25-5203,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Журавлевой Анастасии Андреевне назначено административное наказание в виде штрафа в размере 3 000 рублей. Постановление от 20.05.2025 № 25-5203/3110-1 о назначении административного наказания вступило в законную силу 17.06.2025.</t>
  </si>
  <si>
    <t>По результатам рассмотрения материалов дела об административном правонарушении № ЦА-34-Гр-25-5200,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Журавлеву Дмитрию Михайловичу назначено административное наказание в виде штрафа в размере 3 000 рублей. Постановление от 20.05.2025 № 25-5200/3110-1 о назначении административного наказания вступило в законную силу 17.06.2025.</t>
  </si>
  <si>
    <t>По результатам рассмотрения материалов дела об административном правонарушении № ЦА-34-ЮЛ-25-6004,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«Каркаул.ру» назначено административное наказание в виде штрафа в размере 350 000 (триста пятьдесят тысяч) рублей. Постановление о наложении штрафа по делу об административном правонарушении от 28.05.2025 № 25-6004/3110-1 вступило в законную силу 17.06.2025.</t>
  </si>
  <si>
    <t>По результатам рассмотрения материалов дела об административном правонарушении № ЦА-38-ЮЛ-25-5749, возбужденного за совершение административного правонарушения, ответственность за которое предусмотрена частью 2 статьи 15.29 КоАП РФ, Обществу с ограниченной ответственностью «Бенефорт» назначено административное наказание в виде штрафа в размере 250 000 рублей. Постановление вступило в законную силу 17.06.2025.</t>
  </si>
  <si>
    <t>По результатам рассмотрения материалов дела об административном правонарушении № ЦА-38-ЮЛ-25-5830 возбужденного за совершение административного правонарушения, ответственность за которое предусмотрена частью 9 статьи 15.29 КоАП РФ, АО «Национальный НПФ» назначено административное наказание в виде штрафа в размере 700 000 рублей. Постановление вступило в законную силу 10.06.2025.</t>
  </si>
  <si>
    <t>По результатам рассмотрения материалов дела об административном правонарушении № ЦА-34-ЮЛ-25-5989,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«ЛЭНДЭР-ИНВЕСТ»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28.05.2025 № 25-5989/3110-1 вступило в законную силу 10.06.2025.</t>
  </si>
  <si>
    <t>По результатам рассмотрения материалов дела об административном правонарушении № ЦА-34-Гр-25-3928, возбужденного за совершение административного правонарушения, ответственность за которое предусмотрена статьей 15.30 КоАП РФ, Павловой Марине Алексеевне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22.04.2025 № 25-3928/3110-1 вступило в законную силу 10.06.2025.</t>
  </si>
  <si>
    <t>По результатам рассмотрения материалов дела об административном правонарушении № ЦА-34-Гр-25-3927, возбужденного за совершение административного правонарушения, ответственность за которое предусмотрена статьей 15.30 КоАП РФ, Павлову Александру Владиславовичу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22.04.2025 № 25-3927/3110-1 вступило в законную силу 10.06.2025.</t>
  </si>
  <si>
    <t>По результатам рассмотрения материалов дела об административном правонарушении № ЦА-38-ЮЛ-25-5687, возбужденного за совершение административного правонарушения, ответственность за которое предусмотрена частью 6 статьи 15.29 КоАП РФ, Обществу с ограниченной ответственностью «Управляющая компания «Финам Менеджмент» назначено административное наказание в виде предупреждения. Постановление вступило в законную силу 10.06.2025.</t>
  </si>
  <si>
    <t>По результатам рассмотрения материалов дела об административном правонарушении № ЦА-38-ЮЛ-25-5215, возбужденного за совершение административного правонарушения, ответственность за которое предусмотрена частью 2 статьи 15.29 КоАП РФ, Акционерному обществу «Инвестиционная компания «Ай Ти Инвест» назначено административное наказание в виде штрафа в размере 500 000 рублей. Постановление вступило в законную силу 07.06.2025.</t>
  </si>
  <si>
    <t>По результатам рассмотрения материалов дела об административном правонарушении № ЦА-44-ЮЛ-25-4887, возбужденного за совершение административного правонарушения, ответственность за которое предусмотрена статьей 5.55 КоАП РФ, АО «Бюро кредитных историй «Скоринг Бюро» назначено административное наказание в виде предупреждения. Постановление от 28.05.2025 № ЦА-44-ЮЛ-25-4887/3120-1 о назначении предупреждения по делу об административном правонарушении вступило в законную силу 09.06.2025.</t>
  </si>
  <si>
    <t>По результатам рассмотрения материалов дела об административном правонарушении № ЦА-38-ЮЛ-25-5558,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«Т-Капитал» назначено административное наказание в виде штрафа в размере 300 000 рублей. Постановление вступило в законную силу 07.06.2025.</t>
  </si>
  <si>
    <t>По результатам рассмотрения материалов дела об административном правонарушении № ЦА-38-ЮЛ-25-5384, возбужденного за совершение административного правонарушения, ответственность за которое предусмотрена частью 2 статьи 15.29 КоАП РФ, Акционерному обществу Инвестиционно-финансовой компании «Солид» назначено административное наказание в виде штрафа в размере 500 000 рублей. Постановление вступило в законную силу 06.06.2025.</t>
  </si>
  <si>
    <t>По результатам рассмотрения материалов дела об административном правонарушении № ЦА-38-ЮЛ-25-4952, возбужденного за совершение административного правонарушения, ответственность за которое предусмотрена частью 5 статьи 15.29 КоАП РФ, Акционерному обществу «Управляющая компания «Первая» назначено административное наказание в виде штрафа в размере 500 000 рублей. Постановление вступило в законную силу 03.06.2025.По результатам рассмотрения материалов дела об административном правонарушении № ЦА-38-ЮЛ-25-5016,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«Управляющая компания «Первая» назначено административное наказание в виде штрафа в размере 300 000 рублей. Постановление вступило в законную силу 03.06.2025.</t>
  </si>
  <si>
    <t>30.05.2025</t>
  </si>
  <si>
    <t>Соломенников Алексей Александрович</t>
  </si>
  <si>
    <t>По результатам рассмотрения материалов дела об административном правонарушении № ЦА-34-Гр-25-3403,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Соломенникову Алексею Александровичу назначено административное наказание в виде штрафа в размере 3 000 рублей. Постановление от 10.04.2025 № 25-3403/3110-1 о назначении административного наказания вступило в законную силу 30.05.2025</t>
  </si>
  <si>
    <t>По результатам рассмотрения материалов дела об административном правонарушении № ЦА-38-ЮЛ-25-4728 возбужденного за совершение административного правонарушения, ответственность за которое предусмотрена частью 5 статьи 15.29 КоАП РФ, ООО УК «ГЕРОИ» назначено административное наказание в виде штрафа в размере 250 000 рублей. Постановление вступило в законную силу 27.05.2025.</t>
  </si>
  <si>
    <t>По результатам рассмотрения материалов дела об административном правонарушении № ЦА-44-ЮЛ-25-4877, возбужденного за совершение административного правонарушения, ответственность за которое предусмотрена частью 1 статьи 19.7.3 КоАП РФ, АО «Объединенное Кредитное Бюро» назначено административное наказание в виде штрафа в размере 700 000 рублей. Постановление о назначении административного наказания вступило в законную силу 27.05.2025.</t>
  </si>
  <si>
    <t>По результатам рассмотрения материалов дела об административном правонарушении № ЦА-38-ЮЛ-25-4886,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ВИМ Инвестиции  назначено административное наказание в виде штрафа в размере 300 000 рублей. Постановление вступило в законную силу 27.05.2025.</t>
  </si>
  <si>
    <t>По результатам рассмотрения материалов дела об административном правонарушении № ЦА-38-ЮЛ-25-4626,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Финансовая компания «Профит Хауз» назначено административное наказание в виде штрафа в размере 150 000 рублей. Постановление вступило в законную силу 24.05.2025.</t>
  </si>
  <si>
    <t>По результатам рассмотрения материалов дела об административном правонарушении № ЦА-38-ЮЛ-25-4468,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ВИМ Сбережения назначено административное наказание в виде предупреждения. Постановление вступило в законную силу 24.05.2025.</t>
  </si>
  <si>
    <t>По результатам рассмотрения материалов дела об административном правонарушении № ЦА-34-Гр-25-3402,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Нефедову Владимиру Сергеевичу назначено административное наказание в виде штрафа в размере 3 000 рублей. Постановление от 10.04.2025 № 25-3402/3110-1 о назначении административного наказания вступило в законную силу 23.05.2025.</t>
  </si>
  <si>
    <t>По результатам рассмотрения материалов дела об административном правонарушении № ЦА-34-Гр-25-3598,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Маликову Валерию Михайловичу назначено административное наказание в виде штрафа в размере 3 000 рублей. Постановление от 16.04.2025 № 25-3598/3110-1 о назначении административного наказания вступило в законную силу 20.05.2025.</t>
  </si>
  <si>
    <t>По результатам рассмотрения материалов дела об административном правонарушении № ЦА-34-Гр-25-3644,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Маликовой Майе Валерьевне назначено административное наказание в виде штрафа в размере 3 000 рублей. Постановление от 16.04.2025 № 25-3644/3110-1 о назначении административного наказания вступило в законную силу 20.05.2025.</t>
  </si>
  <si>
    <t>По результатам рассмотрения материалов дела об административном правонарушении № ЦА-34-Гр-25-3862,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Соловьеву Вадиму Сергеевичу назначено административное наказание в виде штрафа в размере 3 000 рублей. Постановление от 21.04.2025 № 25-3862/3110-1 о назначении административного наказания вступило в законную силу 16.05.2025.</t>
  </si>
  <si>
    <t>По результатам рассмотрения материалов дела об административном правонарушении № ЦА-34-Гр-25-3861,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Соловьевой Татьяне Владимировне назначено административное наказание в виде штрафа в размере 3 000 рублей. Постановление от 21.04.2025 № 25-3861/3110-1 о назначении административного наказания вступило в законную силу 16.05.2025.</t>
  </si>
  <si>
    <t>По результатам рассмотрения материалов дела об административном правонарушении № ЦА-34-ЮЛ-25-4497,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«Каркаул.ру» назначено административное наказание в виде штрафа в размере 350 000 (триста пятьдесят тысяч) рублей. Постановление о наложении штрафа по делу об административном правонарушении от 30.04.2025 № 25-4497/3110-1 вступило в законную силу 16.05.2025._x000D_
По результатам рассмотрения материалов дела об административном правонарушении № ЦА-34-ЮЛ-25-4589,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«Каркаул.ру»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30.04.2025 № 25-4589/3110-1 вступило в законную силу 16.05.2025.</t>
  </si>
  <si>
    <t>По результатам рассмотрения материалов дела об административном правонарушении № ЦА-38-ЮЛ-25-3788, возбужденного за совершение административного правонарушения, ответственность за которое предусмотрена частью 2 статьи 15.29 КоАП РФ, Обществу с ограниченной ответственностью «Московские партнеры» назначено административное наказание в виде штрафа в размере 500 000 рублей. Постановление вступило в законную силу 16.05.2025.</t>
  </si>
  <si>
    <t>По результатам рассмотрения материалов дела об административном правонарушении № ЦА-38-ЮЛ-25-4037,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«Управляющая компания РИГОРА» назначено административное наказание в виде предупреждения. Постановление вступило в законную силу 16.05.2025.</t>
  </si>
  <si>
    <t>По результатам рассмотрения материалов дела об административном правонарушении № ЦА-38-ЮЛ-25-4400,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Управляющей компании «НРК-Капитал (Эссет Менеджмент)» назначено административное наказание в виде предупреждения. Постановление вступило в законную силу 13.05.2025.</t>
  </si>
  <si>
    <t>По результатам рассмотрения материалов дела об административном правонарушении № ЦА-34-ЮЛ-25-4448, возбужденного за совершение административного правонарушения, ответственность за которое предусмотрена частью 7 статьи 14.24 КоАП РФ, Публичному акционерному обществу «СПБ Биржа» назначено административное наказание в виде предупреждения. Постановление о назначении административного наказания от 29.04.2025 № ЦА-34-ЮЛ-25-4448/3120-1 вступило в законную силу 13.05.2025.</t>
  </si>
  <si>
    <t>По результатам рассмотрения материалов дела об административном правонарушении № ЦА-38-ЮЛ-25-4357 возбужденного за совершение административного правонарушения, ответственность за которое предусмотрена частью 9 статьи 15.29 КоАП РФ, АО «НПФ «Ростех» назначено административное наказание в виде штрафа в размере 700 000 рублей. Постановление вступило в законную силу 13.05.2025.</t>
  </si>
  <si>
    <t>По результатам рассмотрения материалов дела об административном правонарушении № ЦА-34-Гр-25-3254,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Апарину Андрею Михайловичу назначено административное наказание в виде штрафа в размере 3 000 рублей. Постановление от 08.04.2025 № 25-3254/3110-1 о назначении административного наказания вступило в законную силу 13.05.2025.</t>
  </si>
  <si>
    <t>По результатам рассмотрения материалов дела об административном правонарушении № ЦА-38-ЮЛ-25-3879,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«ААА Управление Капиталом» назначено административное наказание в виде штрафа в размере 700 000 рублей. Постановление вступило в законную силу 13.05.2025._x000D_
По результатам рассмотрения материалов дела об административном правонарушении № ЦА-38-ЮЛ-25-3881,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«ААА Управление Капиталом» назначено административное наказание в виде штрафа в размере 300 000 рублей. Постановление вступило в законную силу 13.05.2025.</t>
  </si>
  <si>
    <t>По результатам рассмотрения материалов дела об административном правонарушении № ЦА-38-ЮЛ-25-3930,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Управляющей компании «Арикапитал» назначено административное наказание в виде предупреждения. Постановление вступило в законную силу 13.05.2025.</t>
  </si>
  <si>
    <t>По результатам рассмотрения материалов дела об административном правонарушении № ЦА-34-Гр-25-3558,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Быкову Денису Эдуардовичу назначено административное наказание в виде штрафа в размере 3 000 рублей. Постановление от 15.04.2025 № 25-3558/3110-1 о назначении административного наказания вступило в законную силу 07.05.2025.</t>
  </si>
  <si>
    <t>По результатам рассмотрения материалов дела об административном правонарушении № ЦА-34-Гр-25-3559,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Быкову Эдуарду Юрьевичу назначено административное наказание в виде штрафа в размере 3 000 рублей. Постановление от 15.04.2025 № 25-3559/3110-1 о назначении административного наказания вступило в законную силу 07.05.2025.</t>
  </si>
  <si>
    <t>По результатам рассмотрения материалов дела об административном правонарушении № ЦА-34-ЮЛ-25-761,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ООО "КАС КЭПИТАЛ" назначено административное наказание в виде штрафа в размере 350 000 рублей. Постановление от 09.04.2025 №25-761/3110-1 о назначении административного наказания вступило в законную силу 06.05.2025.</t>
  </si>
  <si>
    <t>По результатам рассмотрения материалов дела об административном правонарушении № ЦА-34-Гр-25-911,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Безменову Николаю Николаевичу назначено административное наказание в виде штрафа в размере 3 000 рублей. Постановление от 03.03.2025 № 25-911/3110-1 о назначении административного наказания вступило в законную силу 06.05.2025.</t>
  </si>
  <si>
    <t>По результатам рассмотрения материалов дела об административном правонарушении № ЦА-34-Гр-25-3079,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Пономаревой Наталье Александровне назначено административное наказание в виде штрафа в размере 3 000 рублей. Постановление от 03.04.2025 № 25-3079/3110-1 о назначении административного наказания вступило в законную силу 06.05.2025.</t>
  </si>
  <si>
    <t>По результатам рассмотрения материалов дела об административном правонарушении № ЦА-34-Гр-25-3195,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Мохову Никите Юрьевичу назначено административное наказание в виде штрафа в размере 3 000 рублей. Постановление от 07.04.2025 № 25-3195/3110-1 о назначении административного наказания вступило в законную силу 06.05.2025.</t>
  </si>
  <si>
    <t>По результатам рассмотрения материалов дела об административном правонарушении № ЦА-34-Гр-25-3400,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Микшину Денису Николаевичу назначено административное наказание в виде штрафа в размере 3 000 рублей. Постановление от 10.04.2025 № 25-3400/3110-1 о назначении административного наказания вступило в законную силу 06.05.2025.</t>
  </si>
  <si>
    <t>По результатам рассмотрения материалов дела об административном правонарушении № ЦА-34-Гр-25-3077,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Александровой Екатерине Павловне назначено административное наказание в виде штрафа в размере 3 000 рублей. Постановление от 03.04.2025 № 25-3077/3110-1 о назначении административного наказания вступило в законную силу 06.05.2025.</t>
  </si>
  <si>
    <t>По результатам рассмотрения материалов дела об административном правонарушении № ЦА-34-Гр-25-1964,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Дерюгину Андрею Викторовичу назначено административное наказание в виде штрафа в размере 3 000 рублей. Постановление от 18.03.2025 № 25-1964/3110-1 о назначении административного наказания вступило в законную силу 06.05.2025.</t>
  </si>
  <si>
    <t>По результатам рассмотрения материалов дела об административном правонарушении № ЦА-34-Гр-25-2426,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Князевой Людмиле Александровне назначено административное наказание в виде штрафа в размере 3 000 рублей. Постановление от 09.04.2025 № 25-2426/3110-1 о назначении административного наказания вступило в законную силу 06.05.2025.</t>
  </si>
  <si>
    <t>По результатам рассмотрения материалов дела об административном правонарушении № ЦА-44-ЮЛ-25-4098, возбужденного за совершение административного правонарушения, ответственность за которое предусмотрена частью 1 статьи 5.54 КоАП РФ, АО «Объединенное Кредитное Бюро» назначено административное наказание в виде штрафа в размере 20 000 рублей. Постановление о назначении административного наказания вступило в законную силу 06.05.2025.</t>
  </si>
  <si>
    <t>По результатам рассмотрения материалов дела об административном правонарушении № ЦА-38-ЮЛ-25-3351,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«Управляющая компания «Альфа-Капитал» назначено административное наказание в виде штрафа в размере 300 000 рублей. Постановление вступило в законную силу 06.05.2025.</t>
  </si>
  <si>
    <t>По результатам рассмотрения материалов дела об административном правонарушении № ЦА-38-ЮЛ-25-3367, возбужденного за совершение административного правонарушения, ответственность за которое предусмотрена частью 6 статьи 15.29 КоАП РФ, Акционерному обществу «Контрада Капитал» назначено административное наказание в виде предупреждения. Постановление вступило в законную силу 06.05.2025.По результатам рассмотрения материалов дела об административном правонарушении № ЦА-38-ЮЛ-25-3366, возбужденного за совершение административного правонарушения, ответственность за которое предусмотрена частью 5 статьи 15.29 КоАП РФ, Акционерному обществу «Контрада Капитал» назначено административное наказание в виде предупреждения. Постановление вступило в законную силу 06.05.2025.</t>
  </si>
  <si>
    <t>По результатам рассмотрения материалов дела об административном правонарушении № ЦА-34-Гр-25-3259,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Царику Дмитрию Сергеевичу назначено административное наказание в виде штрафа в размере 3 000 рублей. Постановление от 08.04.2025 № 25-3259/3110-1 о назначении административного наказания вступило в законную силу 01.05.2025.</t>
  </si>
  <si>
    <t>По результатам рассмотрения материалов дела об административном правонарушении № ЦА-34-ЮЛ-25-3727,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«КраудЮнит»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14.04.2025 № 25-3727/3110-1 вступило в законную силу 29.04.2025.</t>
  </si>
  <si>
    <t>По результатам рассмотрения материалов дела об административном правонарушении № ЦА-34-Гр-25-2179, возбужденного за совершение административного правонарушения, ответственность за которое предусмотрена статьей 15.21 Кодекса Российской Федерации об административных правонарушениях, Лазутиной Линде Леонидовне назначено административное наказание в виде штрафа в размере 3 000 рублей. Постановление от 02.04.2025 № 25-2179/3110-1 о назначении административного наказания вступило в законную силу 29.04.2025.</t>
  </si>
  <si>
    <t>По результатам рассмотрения материалов дела об административном правонарушении № ЦА-34-Гр-25-3206,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Чернышеву Даниилу Владимировичу назначено административное наказание в виде штрафа в размере 3 000 рублей. Постановление от 07.04.2025 № 25-3206/3110-1 о назначении административного наказания вступило в законную силу 29.04.2025.</t>
  </si>
  <si>
    <t>По результатам рассмотрения материалов дела об административном правонарушении № ЦА-34-Гр-25-2916,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Сасу Роману Ивановичу назначено административное наказание в виде штрафа в размере 3 000 рублей. Постановление от 01.04.2025 № 25-2916/3110-1 о назначении административного наказания вступило в законную силу 26.04.2025.</t>
  </si>
  <si>
    <t>По результатам рассмотрения материалов дела об административном правонарушении № ЦА-34-Гр-25-2913,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Сас Надежде Валериевне назначено административное наказание в виде штрафа в размере 3 000 рублей. Постановление от 01.04.2025 № 25-2913/3110-1 о назначении административного наказания вступило в законную силу 26.04.2025.</t>
  </si>
  <si>
    <t>По результатам рассмотрения материалов дела об административном правонарушении № ЦА-38-ЮЛ-25-3501, возбужденного за совершение административного правонарушения, ответственность за которое предусмотрена частью 9 статьи 15.29 КоАП РФ, Акционерному обществу «Инвестиционная компания «РИКОМ-ТРАСТ» назначено административное наказание в виде штрафа в размере 700 000 рублей. Постановление вступило в законную силу 26.04.2025.</t>
  </si>
  <si>
    <t>По результатам рассмотрения материалов дела об административном правонарушении № ЦА-34-ЮЛ-25-756,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ООО «Григорян Инвест» назначено административное наказание в виде штрафа в размере 700 000 рублей. Постановление от 09.04.2025 №25-756/3110-1 о назначении административного наказания вступило в законную силу 25.04.2025.</t>
  </si>
  <si>
    <t>По результатам рассмотрения материалов дела об административном правонарушении № ЦА-34-ЮЛ-25-3699,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«ФИНИН-К»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10.04.2025 № 25-3699/3110-1 вступило в законную силу 25.04.2025.</t>
  </si>
  <si>
    <t>По результатам рассмотрения материалов дела об административном правонарушении № ЦА-34-ЮЛ-25-3678,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«Селект мани»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10.04.2025 № 25-3678/3110-1 вступило в законную силу 25.04.2025.</t>
  </si>
  <si>
    <t>По результатам рассмотрения материалов дела об административном правонарушении № ЦА-34-Гр-25-2139,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Унеговскому Дмитрию Семеновичу назначено административное наказание в виде штрафа в размере 3 000 рублей. Постановление от 02.04.2025 № 25-2139/3110-1 о назначении административного наказания вступило в законную силу 22.04.2025.</t>
  </si>
  <si>
    <t>По результатам рассмотрения материалов дела об административном правонарушении № ЦА-38-ЮЛ-25-3083, возбужденного за совершение административного правонарушения, ответственность за которое предусмотрена частью 2 статьи 15.19 КоАП РФ, Обществу с ограниченной ответственностью «РСХБ Управление Активами» назначено административное наказание в виде штрафа в размере 700 000 рублей. Постановление вступило в законную силу 18.04.2025.</t>
  </si>
  <si>
    <t>По результатам рассмотрения материалов дела об административном правонарушении № ЦА-34-Гр-25-1837,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Егоровой Виктории Евгеньевне назначено административное наказание в виде штрафа в размере 3 000 рублей. Постановление от 17.03.2025 № 25-1837/3110-1 о назначении административного наказания вступило в законную силу 18.04.2025.</t>
  </si>
  <si>
    <t>По результатам рассмотрения материалов дела об административном правонарушении № ЦА-34-Гр-25-2689, возбужденного за совершение административного правонарушения, ответственность за которое предусмотрена статьей 15.30 КоАП РФ, Погосову Юрию Евгеньевичу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27.03.2025 № 25-2689/3110-1 вступило в законную силу 17.04.2025.</t>
  </si>
  <si>
    <t>По результатам рассмотрения материалов дела об административном правонарушении № ЦА-34-Гр-25-2694,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Погосовой Ольге Владимировне назначено административное наказание в виде штрафа в размере 3 000 рублей. Постановление от 27.03.2025 № 25-2694/3110-1 о назначении административного наказания вступило в законную силу 15.04.2025.</t>
  </si>
  <si>
    <t>По результатам рассмотрения материалов дела об административном правонарушении № ЦА-34-ЮЛ-25-3074,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«Селект мани»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01.04.2025 № 25-3074/3110-1 вступило в законную силу 15.04.2025.</t>
  </si>
  <si>
    <t>По результатам рассмотрения материалов дела об административном правонарушении № ЦА-38-ЮЛ-25-2975 возбужденного за совершение административного правонарушения, ответственность за которое предусмотрена частью 12 статьи 15.29 КоАП РФ, АО «УК ТФГ» назначено административное наказание в виде штрафа в размере 300 000 рублей. Постановление вступило в законную силу 15.04.2025.</t>
  </si>
  <si>
    <t>По результатам рассмотрения материалов дела об административном правонарушении № ЦА-38-ЮЛ-25-2940,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«Управляющая компания «АКРУКС КАПИТАЛ» назначено административное наказание в виде предупреждения. Постановление вступило в законную силу 15.04.2025.</t>
  </si>
  <si>
    <t>По результатам рассмотрения материалов дела об административном правонарушении № ЦА-38-ЮЛ-25-2794,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«БКС Управление благосостоянием» назначено административное наказание в виде предупреждения. Постановление вступило в законную силу 15.04.2025.По результатам рассмотрения материалов дела об административном правонарушении № ЦА-38-ЮЛ-25-2954,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«БКС Управление благосостоянием» назначено административное наказание в виде предупреждения. Постановление вступило в законную силу 15.04.2025.</t>
  </si>
  <si>
    <t>По результатам рассмотрения материалов дела об административном правонарушении № ЦА-38-ЮЛ-25-2528,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ВИМ Инвестиции назначено административное наказание в виде штрафа в размере 300 000 рублей. Постановление вступило в законную силу 12.04.2025.</t>
  </si>
  <si>
    <t>По результатам рассмотрения материалов дела об административном правонарушении № ЦА-34-Гр-25-2428,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Князеву Станиславу Юрьевичу назначено административное наказание в виде штрафа в размере 3 000 рублей. Постановление от 24.03.2025 № 25-2428/3110-1 о назначении административного наказания вступило в законную силу 12.04.2025.</t>
  </si>
  <si>
    <t>По результатам рассмотрения материалов дела об административном правонарушении № ЦА-34-Гр-25-1834,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Георгиевскому Даниилу Максимовичу назначено административное наказание в виде штрафа в размере 3 000 рублей. Постановление от 17.03.2025 № 25-1834/3110-1 о назначении административного наказания вступило в законную силу 12.04.2025.</t>
  </si>
  <si>
    <t>По результатам рассмотрения материалов дела об административном правонарушении № ЦА-34-ЮЛ-25-2878,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«Специализированный Депозитарий «ИНФИНИТУМ» назначено административное наказание в виде штрафа размером 300 000 (триста тысяч) рублей. Постановление от 27.03.2025 № 25-2878/3110-1 о назначении административного наказания вступило в законную силу 11.04.2025.</t>
  </si>
  <si>
    <t>По результатам рассмотрения материалов дела об административном правонарушении № ЦА-34-Гр-25-1974,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Дерюгиной Наталье Александровне назначено административное наказание в виде штрафа в размере 3 000 рублей. Постановление от 18.03.2025 № 25-1974/3110-1 о назначении административного наказания вступило в законную силу 11.04.2025.</t>
  </si>
  <si>
    <t>По результатам рассмотрения материалов дела об административном правонарушении № ЦА-34-ЮЛ-25-2740,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«РБРУ СД» назначено административное наказание в виде штрафа в размере 300 000 (триста тысяч) рублей. Постановление от 25.03.2025 № 25-2740/3110-1 о назначении административного наказания вступило в законную силу 08.04.2025.</t>
  </si>
  <si>
    <t>По результатам рассмотрения материалов дела об административном правонарушении  № ЦА-34-ЮЛ-25-2625, возбужденного за совершение административного правонарушения, ответственность за которое предусмотрена частью 1 статьи 19.7.3 КоАП РФ, Акционерному обществу «Инвестиционная компания «РИКОМ-ТРАСТ» назначено административное наказание в виде штрафа в размере 500 000 (пятьсот тысяч) рублей.  Постановление от 26.03.2025 № 25-2625/3110-1 вступило в законную силу 08.04.2025.</t>
  </si>
  <si>
    <t>По результатам рассмотрения материалов дела об административном правонарушении № ЦА-34-Гр-25-1527,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Пороховой Наталье Владимировне назначено административное наказание в виде штрафа в размере 3 000 рублей. Постановление от 12.03.2025 № 25-1527/3110-1 о назначении административного наказания вступило в законную силу 08.04.2025.</t>
  </si>
  <si>
    <t>По результатам рассмотрения материалов дела об административном правонарушении № ЦА-34-Гр-25-2143,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Унеговской Наталье Александровне назначено административное наказание в виде штрафа в размере 3 000 рублей. Постановление от 19.03.2025 № 25-2143/3110-1 о назначении административного наказания вступило в законную силу 08.04.2025.</t>
  </si>
  <si>
    <t>По результатам рассмотрения материалов дела об административном правонарушении № ЦА-34-Гр-25-1528,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Попову Алексею Александровичу назначено административное наказание в виде штрафа в размере 3 000 рублей. Постановление от 12.03.2025 № 25-1528/3110-1 о назначении административного наказания вступило в законную силу 08.04.2025.</t>
  </si>
  <si>
    <t>По результатам рассмотрения материалов дела об административном правонарушении № ЦА-38-ЮЛ-25-2171, возбужденного за совершение административного правонарушения, ответственность за которое предусмотрена частью 2 статьи 15.19 КоАП РФ, Обществу с ограниченной ответственностью «Управляющая компания «Атон-менеджмент» назначено административное наказание в виде штрафа в размере 700 000 рублей. Постановление вступило в законную силу 08.04.2025.</t>
  </si>
  <si>
    <t>По результатам рассмотрения материалов дела об административном правонарушении № ЦА-38-ЮЛ-25-2205,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Управляющей компании «РВМ Капитал» назначено административное наказание в виде предупреждения. Постановление вступило в законную силу 08.04.2025.</t>
  </si>
  <si>
    <t>По результатам рассмотрения материалов дела об административном правонарушении № ЦА-34-Гр-25-797,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Фединой Марине Александровне назначено административное наказание в виде штрафа в размере 3 000 рублей. Постановление от 24.02.2025 № 25-797/3110-1 о назначении административного наказания вступило в законную силу 04.04.2025.</t>
  </si>
  <si>
    <t>По результатам рассмотрения материалов дела об административном правонарушении № ЦА-34-Гр-25-1085,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Бариновой Анастасии Юрьевне назначено административное наказание в виде штрафа в размере 3 000 рублей. Постановление от 04.03.2025 № 25-1085/3110-1 о назначении административного наказания вступило в законную силу 01.04.2025.</t>
  </si>
  <si>
    <t>По результатам рассмотрения материалов дела об административном правонарушении № ЦА-44-ЮЛ-25-1526, возбужденного за совершение административного правонарушения, ответственность за которое предусмотрена статьей 14.29 КоАП РФ, АО «Национальное бюро кредитных историй» назначено административное наказание в виде штрафа в размере 30 000 рублей. Постановление о назначении административного наказания вступило в законную силу 28.03.2025.</t>
  </si>
  <si>
    <t>По результатам рассмотрения материалов дела об административном правонарушении № ЦА-34-Гр-25-796,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Федину Виталию Юрьевичу назначено административное наказание в виде штрафа в размере 3 000 рублей. Постановление от 24.02.2025 № 25-796/3110-1 о назначении административного наказания вступило в законную силу 28.03.2025.</t>
  </si>
  <si>
    <t>По результатам рассмотрения материалов дела об административном правонарушении № ЦА-34-Гр-25-789,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Юшкову Никите Константиновичу назначено административное наказание в виде штрафа в размере 3 000 рублей. Постановление от 24.02.2025 № 25-789/3110-1 о назначении административного наказания вступило в законную силу 25.03.2025.</t>
  </si>
  <si>
    <t>По результатам рассмотрения материалов дела об административном правонарушении № ЦА-34-Гр-25-786,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Юшкову Константину Михайловичу назначено административное наказание в виде штрафа в размере 3 000 рублей. Постановление от 24.02.2025 № 25-786/3110-1 о назначении административного наказания вступило в законную силу 25.03.2025.</t>
  </si>
  <si>
    <t>По результатам рассмотрения материалов дела об административном правонарушении № ЦА-34-Гр-25-1098,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Коростелеву Андрею Юрьевичу назначено административное наказание в виде штрафа в размере 3 000 рублей. Постановление от 05.03.2025 № 25-1098/3110-1 о назначении административного наказания вступило в законную силу 25.03.2025.</t>
  </si>
  <si>
    <t>По результатам рассмотрения материалов дела об административном правонарушении № ЦА-34-Гр-25-1099,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Коростелевой Марине Викторовне назначено административное наказание в виде штрафа в размере 3 000 рублей. Постановление от 05.03.2025 № 25-1099/3110-1 о назначении административного наказания вступило в законную силу 25.03.2025.</t>
  </si>
  <si>
    <t>По результатам рассмотрения материалов дела об административном правонарушении № ЦА-38-ЮЛ-25-1302,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«Управляющая компания «Первая» назначено административное наказание в виде штрафа в размере 300 000 рублей. Постановление вступило в законную силу 25.03.2025.</t>
  </si>
  <si>
    <t>По результатам рассмотрения материалов дела об административном правонарушении № ЦА-38-ЮЛ-25-1485, возбужденного за совершение административного правонарушения, ответственность за которое предусмотрена частью 2 статьи 15.29 КоАП РФ, КИТ Финанс (Акционерное общество) назначено административное наказание в виде предупреждения. Постановление вступило в законную силу 25.03.2025.По результатам рассмотрения материалов дела об административном правонарушении № ЦА-38-ЮЛ-25-1597, возбужденного за совершение административного правонарушения, ответственность за которое предусмотрена частью 4 статьи 15.19 КоАП РФ, КИТ Финанс (Акционерное общество) назначено административное наказание в виде предупреждения. Постановление вступило в законную силу 25.03.2025.</t>
  </si>
  <si>
    <t>По результатам рассмотрения материалов дела об административном правонарушении № ЦА-34-ЮЛ-25-1398,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«ПФЛ Новые инвестиции»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06.03.2025 № 25-1398/3110-1 вступило в законную силу 21.03.2025.</t>
  </si>
  <si>
    <t>По результатам рассмотрения материалов дела об административном правонарушении № ЦА-34-Гр-25-693, возбужденного за совершение административного правонарушения, ответственность за которое предусмотрена статьей 15.30 КоАП РФ, Черепанову Виталию Ильичу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24.02.2025 № 25-693/3110-1 вступило в законную силу 21.03.2025.</t>
  </si>
  <si>
    <t>По результатам рассмотрения материалов дела об административном правонарушении № ЦА-34-Гр-25-328, возбужденного за совершение административного правонарушения, ответственность за которое предусмотрена статьей 15.30 КоАП РФ, Полюбай Юлии Петровне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11.02.2025 № 25-328/3110-1 вступило в законную силу 21.03.2025.</t>
  </si>
  <si>
    <t>По результатам рассмотрения материалов дела об административном правонарушении № ЦА-34-Гр-25-324, возбужденного за совершение административного правонарушения, ответственность за которое предусмотрена статьей 15.30 КоАП РФ, Полюбаю Алексею Владимировичу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11.02.2025 № 25-324/3110-1 вступило в законную силу 21.03.2025.</t>
  </si>
  <si>
    <t>Черепанова Светлана Валентиновна</t>
  </si>
  <si>
    <t>По результатам рассмотрения дела об административном правонарушении № ЦА-34-Гр-25-696, возбужденного за совершение административного правонарушения, ответственность за совершение которого предусмотрена статьей 15.30 КоАП РФ, Черепановой Светлане Валентиновне назначено административное наказание в виде административного штрафа в размере 3000 рублей. Постановление о назначении административного наказания вступило в силу 18.03.2025.</t>
  </si>
  <si>
    <t>По результатам рассмотрения материалов дела об административном правонарушении № ЦА-34-ЮЛ-25-1189,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«Инвестиционная компания «Ай Ти Инвест» назначено административное наказание в виде штрафа размером 300 000 (триста тысяч) рублей. Постановление от 03.03.2025 № 25-1189/3110-1 о назначении административного наказания вступило в законную силу 18.03.2025.</t>
  </si>
  <si>
    <t>По результатам рассмотрения материалов дела об административном правонарушении № ЦА-38-ЮЛ-25-964, возбужденного за совершение административного правонарушения, ответственность за которое предусмотрена частью 9 статьи 15.29 КоАП РФ, акционерному обществу «Негосударственный пенсионный фонд «ВЭФ.Русские Фонды» назначено административное наказание в виде штрафа в размере 700 000 рублей. Постановление вступило в законную силу 18.03.2025.По результатам рассмотрения материалов дела об административном правонарушении № ЦА-38-ЮЛ-25-965, возбужденного за совершение административного правонарушения, ответственность за которое предусмотрена частью 9 статьи 15.29 КоАП РФ, акционерному обществу «Негосударственный пенсионный фонд «ВЭФ.Русские Фонды» назначено административное наказание в виде штрафа в размере 700 000 рублей. Постановление вступило в законную силу 18.03.2025.</t>
  </si>
  <si>
    <t>По результатам рассмотрения материалов дела об административном правонарушении № ЦА-38-ЮЛ-25-769, возбужденного за совершение административного правонарушения, ответственность за которое предусмотрена частью 2 статьи 15.29 КоАП РФ, Обществу с ограниченной ответственностью Инвестиционной компании «Тренд» назначено административное наказание в виде предупреждения. Постановление вступило в законную силу 18.03.2025.</t>
  </si>
  <si>
    <t>По результатам рассмотрения материалов дела об административном правонарушении № ЦА-38-ЮЛ-25-768,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«РУССКОЕ ИНВЕСТИЦИОННОЕ ОБЩЕСТВО» назначено административное наказание в виде предупреждения. Постановление вступило в законную силу 18.03.2025.</t>
  </si>
  <si>
    <t>По результатам рассмотрения материалов дела об административном правонарушении № ЦА-38-ЮЛ-25-1039, возбужденного за совершение административного правонарушения, ответственность за которое предусмотрена частью 12 статьи 15.29 КоАП РФ, АО "УК МКБ Инвестиции" назначено административное наказание в виде штрафа в размере 300 000 рублей. Постановление вступило в законную силу 18.03.2025.</t>
  </si>
  <si>
    <t>По результатам рассмотрения материалов дела об административном правонарушении № ЦА-38-ЮЛ-25-812, возбужденного за совершение административного правонарушения, ответственность за которое предусмотрена частью 2 статьи 15.29 КоАП РФ, Акционерному обществу «ИВА Партнерс» назначено административное наказание в виде штрафа в размере 500 000 рублей. Постановление вступило в законную силу 15.03.2025.По результатам рассмотрения материалов дела об административном правонарушении № ЦА-38-ЮЛ-25-813,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«ИВА Партнерс» назначено административное наказание в виде штрафа в размере 300 000 рублей. Постановление вступило в законную силу 15.03.2025.</t>
  </si>
  <si>
    <t>По результатам рассмотрения материалов дела об административном правонарушении № ЦА-34-Гр-25-195,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Мэй Луизе Алексеевне назначено административное наказание в виде штрафа в размере 3 000 рублей. Постановление от 03.02.2025 № 25-195/3110-1 о назначении административного наказания вступило в законную силу 14.03.2025.</t>
  </si>
  <si>
    <t>По результатам рассмотрения материалов дела об административном правонарушении № ЦА-34-Гр-25-395,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Смирнову Дмитрию Федоровичу назначено административное наказание в виде штрафа в размере 3 000 рублей. Постановление от 12.02.2025 № 25-395/3110-1 о назначении административного наказания вступило в законную силу 14.03.2025.</t>
  </si>
  <si>
    <t>По результатам рассмотрения материалов дела об административном правонарушении № ЦА-34-Гр-25-330,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Уланову Петру Петровичу назначено административное наказание в виде штрафа в размере 3 000 рублей. Постановление от 11.02.2025 № 25-330/3110-1 о назначении административного наказания вступило в законную силу 14.03.2025.</t>
  </si>
  <si>
    <t>По результатам рассмотрения материалов дела об административном правонарушении № ЦА-38-ЮЛ-25-400, возбужденного за совершение административного правонарушения, ответственность за которое предусмотрена частью 9 статьи 15.29 КоАП РФ, Акционерному обществу «Негосударственный пенсионный фонд «БЛАГОСОСТОЯНИЕ» назначено административное наказание в виде предупреждения. Постановление вступило в законную силу 14.03.2025.</t>
  </si>
  <si>
    <t>По результатам рассмотрения материалов дела об административном правонарушении № ЦА-34-Гр-25-563,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Оняновой Виктории Александровне назначено административное наказание в виде штрафа в размере 3 000 рублей. Постановление от 19.02.2025 № 25-563/3110-1 о назначении административного наказания вступило в законную силу 11.03.2025.</t>
  </si>
  <si>
    <t>По результатам рассмотрения материалов дела об административном правонарушении № ЦА-34-Гр-25-479,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Триголос Екатерине Александровне назначено административное наказание в виде штрафа в размере 3 000 рублей. Постановление от 18.02.2025 № 25-479/3110-1 о назначении административного наказания вступило в законную силу 11.03.2025.</t>
  </si>
  <si>
    <t>По результатам рассмотрения материалов дела об административном правонарушении № ЦА-34-Гр-25-475,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Триголосу Павлу Ивановичу назначено административное наказание в виде штрафа в размере 3 000 рублей. Постановление от 18.02.2025 № 25-475/3110-1 о назначении административного наказания вступило в законную силу 11.03.2025.</t>
  </si>
  <si>
    <t>По результатам рассмотрения материалов дела об административном правонарушении № ЦА-34-Гр-25-562,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Мясникову Александру Валерьевичу назначено административное наказание в виде штрафа в размере 3 000 рублей. Постановление от 19.02.2025 № 25-562/3110-1 о назначении административного наказания вступило в законную силу 08.03.2025.</t>
  </si>
  <si>
    <t>По результатам рассмотрения материалов дела об административном правонарушении № ЦА-38-ЮЛ-25-512,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«Управляющая компания «Формула инвестиций» назначено административное наказание в виде предупреждения. Постановление вступило в законную силу 08.03.2025.</t>
  </si>
  <si>
    <t>По результатам рассмотрения материалов дела об административном правонарушении № ЦА-38-ЮЛ-25-502, возбужденного за совершение административного правонарушения, ответственность за которое предусмотрена частью 1 статьи 13.25 КоАП РФ, Обществу с ограниченной ответственностью «Финплан» назначено административное наказание в виде штрафа в размере 100 000 рублей. Постановление вступило в законную силу 08.03.2025.</t>
  </si>
  <si>
    <t>По результатам рассмотрения материалов дела об административном правонарушении № ЦА-38-ЮЛ-25-510 возбужденного за совершение административного правонарушения, ответственность за которое предусмотрена частью 9 статьи 15.29 КоАП РФ, ООО "РОНИН" назначено административное наказание в виде предупреждения. Постановление вступило в законную силу 04.03.2025.</t>
  </si>
  <si>
    <t>По результатам рассмотрения материалов дела об административном правонарушении № ЦА-34-Гр-25-399,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Смирновой Ксении Евгеньевне назначено административное наказание в виде штрафа в размере 3 000 рублей. Постановление от 12.02.2025 № 25-399/3110-1 о назначении административного наказания вступило в законную силу 01.03.2025.</t>
  </si>
  <si>
    <t>По результатам рассмотрения материалов дела об административном правонарушении № ЦА-38-ЮЛ-25-288, возбужденного за совершение административного правонарушения, ответственность за которое предусмотрена частью 2 статьи 15.19 КоАП РФ, Обществу с ограниченной ответственностью «РСХБ Управление Активами» назначено административное наказание в виде штрафа в размере 700 000 рублей. Постановление вступило в законную силу 28.02.2025.</t>
  </si>
  <si>
    <t>По результатам рассмотрения материалов дела об административном правонарушении № ЦА-34-Гр-25-238, возбужденного за совершение административного правонарушения, ответственность за которое предусмотрена статьей 15.30 КоАП РФ, Лядову Василию Рюриковичу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05.02.2025 № 25-238/3110-1 вступило в законную силу 28.02.2025.</t>
  </si>
  <si>
    <t>По результатам рассмотрения материалов дела об административном правонарушении № ЦА-34-ЮЛ-25-496,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«ПФЛ НОВЫЕ ИНВЕСТИЦИИ»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11.02.2025 № 25-496/3110-1 вступило в законную силу 25.02.2025.</t>
  </si>
  <si>
    <t>По результатам рассмотрения материалов дела об административном правонарушении № ЦА-38-ЮЛ-25-340, возбужденного за совершение административного правонарушения, ответственность за которое предусмотрена частью 2 статьи 15.29 КоАП РФ, Обществу с ограниченной ответственностью «Инвестиционная компания «Айгенис» назначено административное наказание в виде предупреждения. Постановление вступило в законную силу 25.02.2025.</t>
  </si>
  <si>
    <t>По результатам рассмотрения материалов дела об административном правонарушении № ЦА-34-Гр-25-197,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Усакову Евгению Игоревичу назначено административное наказание в виде штрафа в размере 3 000 рублей. Постановление от 03.02.2025 № 25-197/3110-1 о назначении административного наказания вступило в законную силу 25.02.2025.</t>
  </si>
  <si>
    <t>По результатам рассмотрения материалов дела об административном правонарушении № ЦА-38-ЮЛ-25-358,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«Управляющая компания «АЛЬФА-КАПИТАЛ» назначено административное наказание в виде штрафа в размере 300 000 рублей. Постановление вступило в законную силу 25.02.2025.</t>
  </si>
  <si>
    <t>По результатам рассмотрения материалов дела об административном правонарушении № ЦА-38-ЮЛ-25-256, возбужденного за совершение административного правонарушения, ответственность за которое предусмотрена частью 2 статьи 15.19 КоАП РФ, обществу с ограниченной ответственностью «Т-Капитал» назначено административное наказание в виде штрафа в размере 700 000 рублей. Постановление вступило в законную силу 22.02.2025.</t>
  </si>
  <si>
    <t>По результатам рассмотрения материалов дела об административном правонарушении № ЦА-38-ЮЛ-25-216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«Управляющая компания «ТРАНСФИНГРУП» назначено административное наказание в виде штрафа в размере 300 000 рублей. Постановление вступило в законную силу 22.02.2025.</t>
  </si>
  <si>
    <t>По результатам рассмотрения материалов дела об административном правонарушении № ЦА-34-ЮЛ-25-292,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«ЛЭНДЭР-ИНВЕСТ»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06.02.2025 № 25-292/3110-1 вступило в законную силу 21.02.2025.</t>
  </si>
  <si>
    <t>По результатам рассмотрения материалов дела об административном правонарушении № ЦА-34-Гр-25-240,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Перетрухиной Элине Владимировне назначено административное наказание в виде штрафа в размере 3 000 рублей. Постановление от 05.02.2025 № 25-240/3110-1 о назначении административного наказания вступило в законную силу 21.02.2025.</t>
  </si>
  <si>
    <t>По результатам рассмотрения материалов дела об административном правонарушении № ЦА-34-ЮЛ-25-252, возбужденного за совершение административного правонарушения, ответственность за которое предусмотрена частью 7 статьи 15.29 КоАП РФ, закрытому акционерному обществу «Первый Специализированный Депозитарий» назначено административное наказание в виде штрафа размером 500 000 (пятьсот тысяч) рублей. Постановление от 04.02.2025 № 25-252/3110-1 о назначении административного наказания вступило в законную силу 18.02.2025.</t>
  </si>
  <si>
    <t>По результатам рассмотрения материалов дела об административном правонарушении № ЦА-38-ЮЛ-25-17, возбужденного за совершение административного правонарушения, ответственность за которое предусмотрена частью 5 статьи 15.29 КоАП РФ, Обществу с ограниченной ответственностью «РСХБ Управление Активами» назначено административное наказание в виде штрафа в размере 500 000 рублей. Постановление вступило в законную силу 18.02.2025.По результатам рассмотрения материалов дела об административном правонарушении № ЦА-38-ЮЛ-25-30,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«РСХБ Управление Активами» назначено административное наказание в виде штрафа в размере 700 000 рублей. Постановление вступило в законную силу 18.02.2025.</t>
  </si>
  <si>
    <t>По результатам рассмотрения материалов дела об административном правонарушении № ЦА-38-ЮЛ-25-182, возбужденного за совершение административного правонарушения, ответственность за которое предусмотрена частью 12 статьи 15.29 КоАП РФ, «Газпромбанк» (Акционерное общество) назначено административное наказание в виде штрафа в размере 300 000 рублей. Постановление вступило в законную силу 18.02.2025.</t>
  </si>
  <si>
    <t>По результатам рассмотрения материалов дела об административном правонарушении № ЦА-34-ЮЛ-25-227,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«АЛОР +» назначено административное наказание в виде штрафа размером 300 000 (триста тысяч) рублей. Постановление от 31.01.2025 № 25-227/3110-1 о назначении административного наказания вступило в законную силу 15.02.2025.</t>
  </si>
  <si>
    <t>По результатам рассмотрения материалов дела об административном правонарушении № ЦА-34-Гр-25-121,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Тимиргалину Марату Рамильевичу назначено административное наказание в виде штрафа в размере 3 000 рублей. Постановление от 27.01.2025 № 25-121/3110-1 о назначении административного наказания вступило в законную силу 14.02.2025.</t>
  </si>
  <si>
    <t>По результатам рассмотрения материалов дела об административном правонарушении № ЦА-34-Гр-25-122, возбужденного за совершение административного правонарушения, ответственность за которое предусмотрена статьей 15.30 КоАП РФ, Борисовой Лидии Ивановне назначено административное наказание в виде штрафа в размере 3 000 рублей. Постановление о назначении административного наказания от 27.01.2025 № 25-122/3110-1 вступило в законную силу 11.02.2025.</t>
  </si>
  <si>
    <t>По результатам рассмотрения материалов дела об административном правонарушении № ЦА-38-ЮЛ-25-31, возбужденного за совершение административного правонарушения, ответственность за которое предусмотрена частью 2 статьи 15.19 КоАП РФ, Обществу с ограниченной ответственностью «Управляющая компания «Терра Эссет Менеджмент» назначено административное наказание в виде штрафа в размере 350 000 рублей. Постановление вступило в законную силу 11.02.2025.</t>
  </si>
  <si>
    <t>По результатам рассмотрения материалов дела об административном правонарушении № ЦА-34-Гр-24-14596,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Новокрещеновой Ангелине Станиславовне назначено административное наказание в виде штрафа в размере 3 000 рублей. Постановление от 24.12.2024 № 24-14596/3110-1 о назначении административного наказания вступило в законную силу 08.02.2025.</t>
  </si>
  <si>
    <t>По результатам рассмотрения материалов дела об административном правонарушении № ЦА-38-ЮЛ-25-12, возбужденного за совершение административного правонарушения, ответственность за которое предусмотрена частью 2 статьи 15.29 КоАП РФ, обществу с ограниченной ответственностью Концерну «ДЖЕНЕРАЛ-ИНВЕСТ» назначено административное наказание в виде предупреждения. Постановление вступило в законную силу 08.02.2025.</t>
  </si>
  <si>
    <t>По результатам рассмотрения материалов дела об административном правонарушении № ЦА-34-Гр-24-14523,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Меленковой Ирине Евгеньевне назначено административное наказание в виде штрафа в размере 3 000 рублей. Постановление от 24.12.2024 № 24-14523/3110-1 о назначении административного наказания вступило в законную силу 28.01.2025.</t>
  </si>
  <si>
    <t>По результатам рассмотрения материалов дела об административном правонарушении № ЦА-38-ДЛ-24-14739, возбужденного за совершение административного правонарушения, ответственность за которое предусмотрена частью 12 статьи 15.29 КоАП РФ, заместителю генерального директора – контролеру общества с ограниченной ответственностью «Управляющая компания «Джи Пи Ай» Воропаеву Александру Андреевичу назначено административное наказание в виде предупреждения. Постановление вступило в законную силу 25.01.2025.</t>
  </si>
  <si>
    <t>По результатам рассмотрения материалов дела об административном правонарушении № ЦА-38-ЮЛ-24-14737,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«Управляющая компания «Джи Пи Ай» назначено административное наказание в виде штрафа в размере 150 000 рублей. Постановление вступило в законную силу 25.01.2025.</t>
  </si>
  <si>
    <t>По результатам рассмотрения материалов дела об административном правонарушении № ЦА-34-Гр-24-14521,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Меленковой Валентине Андреевне назначено административное наказание в виде штрафа в размере 3 000 рублей. Постановление от 24.12.2024 № 24-14521/3110-1 о назначении административного наказания вступило в законную силу 21.01.2025.</t>
  </si>
  <si>
    <t>По результатам рассмотрения материалов дела об административном правонарушении № ЦА-38-ЮЛ-24-14467, возбужденного за совершение административного правонарушения, ответственность за которое предусмотрена частью 9 статьи 15.29 КоАП РФ, Акционерному обществу «Инвестиционная компания «РИКОМ-ТРАСТ» назначено административное наказание в виде штрафа в размере 700 000 рублей. Постановление вступило в законную силу 10.01.2025.По результатам рассмотрения материалов дела об административном правонарушении № ЦА-38-ЮЛ-24-14468, возбужденного за совершение административного правонарушения, ответственность за которое предусмотрена частью 9 статьи 15.29 КоАП РФ, Акционерному обществу «Инвестиционная компания «РИКОМ-ТРАСТ» назначено административное наказание в виде штрафа в размере 700 000 рублей. Постановление вступило в законную силу 10.01.2025.</t>
  </si>
  <si>
    <t>По результатам рассмотрения материалов дела об административном правонарушении № ЦА-38-ЮЛ-24-14556 возбужденного за совершение административного правонарушения, ответственность за которое предусмотрена частью 2 статьи 15.19 КоАП РФ, АО УК «Первая» назначено административное наказание в виде штрафа в размере 700 000 рублей. Постановление вступило в законную силу 10.01.2025.</t>
  </si>
  <si>
    <t>По результатам рассмотрения материалов дела об административном правонарушении № ЦА-38-ЮЛ-24-14620, возбужденного за совершение административного правонарушения, ответственность за которое предусмотрена частью 6 статьи 15.29 КоАП РФ, Обществу с ограниченной ответственностью «РСХБ Управление Активами» назначено административное наказание в виде штрафа в размере 700 000 рублей. Постановление вступило в законную силу 10.01.2025.По результатам рассмотрения материалов дела об административном правонарушении № ЦА-38-ЮЛ-24-14719,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«РСХБ Управление Активами» назначено административное наказание в виде штрафа в размере 300 000 рублей. Постановление вступило в законную силу 10.01.2025.</t>
  </si>
  <si>
    <t>По результатам рассмотрения материалов дела об административном правонарушении № ЦА-38-ЮЛ-24-14561, возбужденного за совершение административного правонарушения, ответственность за которое предусмотрена частью 2 статьи 15.29 КоАП РФ, Акционерному обществу «Инвестиционная компания «Ай Ти Инвест» назначено административное наказание в виде штрафа в размере 500 000 рублей. Постановление вступило в законную силу 10.01.2025.</t>
  </si>
  <si>
    <t>По результатам рассмотрения материалов дела об административном правонарушении № ЦА-38-ЮЛ-24-14219, возбужденного за совершение административного правонарушения, ответственность за которое предусмотрена частью 2 статьи 15.29 КоАП РФ, Обществу с ограниченной ответственностью Инвестиционной компании «Айсберг Финанс» назначено административное наказание в виде предупреждения. Постановление вступило в законную силу 10.01.2025.</t>
  </si>
  <si>
    <t>По результатам рассмотрения материалов дела об административном правонарушении № ЦА-34-ЮЛ-24-14353, возбужденного за совершение административного правонарушения, ответственность за которое предусмотрена частью 1 статьи 19.7.3 КоАП РФ, Обществу с ограниченной ответственностью «ИНВЕСТИРУЙ В» назначено административное наказание в виде предупреждения. Постановление вступило в законную силу 31.12.2024.
По результатам рассмотрения материалов дела об административном правонарушении № ЦА-34-ЮЛ-24-14354, возбужденного за совершение административного правонарушения, ответственность за которое предусмотрена частью 9 статьи 19.5 КоАП РФ, Обществу с ограниченной ответственностью «ИНВЕСТИРУЙ В»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17.12.2024 № 24-14354/3110-1 вступило в законную силу 31.12.2024.</t>
  </si>
  <si>
    <t>По результатам рассмотрения материалов дела об административном правонарушении № ЦА-34-ЮЛ-24-14178,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"Т2 Мобайл" назначено административное наказание в виде предупреждения. Постановление от 16.12.2024 № ЦА-34-ЮЛ-24-14178/3120-1 о назначении административного наказания вступило в законную силу 03.01.2025.</t>
  </si>
  <si>
    <t>По результатам рассмотрения материалов дела об административном правонарушении № ЦА-34-Гр-24-13419,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Юшкову Никите Константиновичу назначено административное наказание в виде штрафа в размере 3 000 рублей. Постановление от 02.12.2024 № 24-13419/3110-1 о назначении административного наказания вступило в законную силу 03.01.2025.</t>
  </si>
  <si>
    <t>По результатам рассмотрения материалов дела об административном правонарушении № ЦА-34-Гр-24-13418,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Юшкову Константину Михайловичу назначено административное наказание в виде штрафа в размере 3 000 рублей. Постановление от 02.12.2024 № 24-13418/3110-1 о назначении административного наказания вступило в законную силу 03.01.2025.</t>
  </si>
  <si>
    <t>По результатам рассмотрения материалов дела об административном правонарушении № ЦА-38-ЮЛ-24-14076 возбужденного за совершение административного правонарушения, ответственность за которое предусмотрена частью 12 статьи 15.29 КоАП РФ, АО УК «Первая» назначено административное наказание в виде штрафа в размере 300 000 рублей. Постановление вступило в законную силу 29.12.2024.</t>
  </si>
  <si>
    <t>Номер случая</t>
  </si>
  <si>
    <t>15.29</t>
  </si>
  <si>
    <t>15.19</t>
  </si>
  <si>
    <t>15.35</t>
  </si>
  <si>
    <t>14.24</t>
  </si>
  <si>
    <t>15.30</t>
  </si>
  <si>
    <t>14.30</t>
  </si>
  <si>
    <t>15.21</t>
  </si>
  <si>
    <t>14.29</t>
  </si>
  <si>
    <t>13.25</t>
  </si>
  <si>
    <t xml:space="preserve"> 5.55</t>
  </si>
  <si>
    <t xml:space="preserve"> 5.54</t>
  </si>
  <si>
    <t>19,7,3</t>
  </si>
  <si>
    <t>статья</t>
  </si>
  <si>
    <t>содержание</t>
  </si>
  <si>
    <t>ссылка</t>
  </si>
  <si>
    <t>Тип лица</t>
  </si>
  <si>
    <t>Юридическое лицо</t>
  </si>
  <si>
    <t>Гражданин</t>
  </si>
  <si>
    <t>Должностное лицо</t>
  </si>
  <si>
    <t>Статья</t>
  </si>
  <si>
    <t>Мин штраф</t>
  </si>
  <si>
    <t>Макс штраф</t>
  </si>
  <si>
    <t>в размере суммы излишнего дохода… но не менее 700 000 рублей</t>
  </si>
  <si>
    <t>мин</t>
  </si>
  <si>
    <t>макс</t>
  </si>
  <si>
    <t>Штраф факт</t>
  </si>
  <si>
    <t>Превышышение над мин размером %/min</t>
  </si>
  <si>
    <t>Названия строк</t>
  </si>
  <si>
    <t>Общий итог</t>
  </si>
  <si>
    <t>Воспрепятствование профессиональным участником рынка ценных бумаг,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проведению Банком России проверок либо неисполнение или ненадлежащее исполнение предписаний Банка России</t>
  </si>
  <si>
    <t xml:space="preserve">Нарушение управляющей компанией акционерного инвестиционного фонда или паевого инвестиционного фонда предусмотренных федеральными законами и иными нормативными правовыми актами Российской Федерации ограничений ее деятельности -
</t>
  </si>
  <si>
    <t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t>
  </si>
  <si>
    <t xml:space="preserve">Нарушение установленных нормативными правовыми актами Российской Федерации и инвестиционной декларацией акционерного инвестиционного фонда или паевого инвестиционного фонда требований к составу активов акционерных инвестиционных фондов или паевых инвестиционных фондов либо неустранение нарушений в структуре активов акционерных инвестиционных фондов или паевых инвестиционных фондов -
</t>
  </si>
  <si>
    <t>Манипулирование рынком, если это действие не содержит уголовно наказуемого деяния</t>
  </si>
  <si>
    <t xml:space="preserve">9. Невыполнение в установленный срок законного предписания Банка России, за исключением случаев, предусмотренных частью 9.1 настоящей статьи, -
</t>
  </si>
  <si>
    <t xml:space="preserve">
1. Непредставление или нарушение порядка либо сроков представления в Банк России отчетов, уведомлений и иной информации, предусмотренной законодательством и (или) необходимой для осуществления этим органом (должностным лицом) его законной деятельности, либо представление информации не в полном объеме и (или) недостоверной информации, за исключением случаев, если в соответствии со страховым законодательством, законодательством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Банком России дается законное предписание об устранении нарушения страхового законодательства, законодательства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и случаев, указанных в части 2 настоящей статьи, если эти действия (бездействие) не содержат признаков уголовно наказуемого деяния</t>
  </si>
  <si>
    <t>2. Нераскрытие или нарушение эмитентом, профессиональным участником рынка ценных бумаг, клиринговой организацией, акционерным инвестиционным фондом, управляющей компанией акционерного инвестиционного фонда, паевого инвестиционного фонда или негосударственного пенсионного фонда, специализированным депозитарием акционерного инвестиционного фонда, паевого инвестиционного фонда или негосударственного пенсионного фонда либо лицом, оказывающим услуги по публичному представлению раскрываемой информации, порядка и сроков раскрытия информации, предусмотренной федеральными законами и принятыми в соответствии с ними иными нормативными правовыми актами, а равно раскрытие информации не в полном объеме, и (или) недостоверной информации, и (или) вводящей в заблуждение информации</t>
  </si>
  <si>
    <t>Нарушение профессиональным участником рынка ценных бумаг, осуществляющим брокерскую или дилерскую деятельность либо деятельность по управлению ценными бумагами, установленных нормативными правовыми актами Российской Федерации правил ведения учета и составления отчетности</t>
  </si>
  <si>
    <t xml:space="preserve"> Неисполнение или ненадлежащее исполнение специализированным депозитарием акционерного инвестиционного фонда, паевого инвестиционного фонда или негосударственного пенсионного фонда установленных федеральными законами и иными нормативными правовыми актами Российской Федерации обязанностей по учету и хранению имущества, а также по осуществлению контроля за распоряжением имуществом, за исключением случая, предусмотренного частью 8 настоящей статьи</t>
  </si>
  <si>
    <t>Нарушение бюро кредитных историй установленного порядка сбора, хранения, защиты и обработки сведений, составляющих кредитную историю</t>
  </si>
  <si>
    <t>2. Незаконный отказ бюро кредитных историй в исправлении недостоверной информации или неисполнение обязанности по исправлению недостоверной информации, содержащейся в кредитной истории (кредитном отчете)</t>
  </si>
  <si>
    <t>1. Непроведение проверки или несвоевременное проведение по требованию субъекта кредитной истории проверки бюро кредитных историй информации, содержащейся в кредитной истории (кредитном отчете)</t>
  </si>
  <si>
    <t>4. Неисполнение или ненадлежащее исполнение лицом обязанностей по принятию установленных законодательством мер, направленных на предотвращение, выявление и пресечение злоупотреблений на финансовых и товарных рынках</t>
  </si>
  <si>
    <t>2. Неисполнение или ненадлежащее исполнение лицами, обязанными вести список инсайдеров, обязанностей по ведению списка инсайдеров и уведомлению лиц, включенных в список инсайдеров.</t>
  </si>
  <si>
    <t>7. Нарушение организатором торговли правил организованных торгов, зарегистрированных в установленном законодательством об организованных торгах порядке</t>
  </si>
  <si>
    <t>Неправомерное использование инсайдерской информации, если это действие не содержит уголовно наказуемого деяния</t>
  </si>
  <si>
    <t>Непредоставление бюро кредитных историй кредитного отчета, предоставление неполного или недостоверного кредитного отчета, а также несвоевременное предоставление кредитного отчета в случаях, если такое предоставление осуществляется или должно осуществляться в соответствии с Федеральным законом "О кредитных историях"</t>
  </si>
  <si>
    <t xml:space="preserve"> Нарушение негосударственным пенсионным фондом состава активов, в которые размещены пенсионные резервы (инвестированы пенсионные накопления), структуры пенсионных резервов (активов, в которые инвестированы пенсионные накопления) или требований к формированию и использованию страхового резерва негосударственного пенсионного фонда, несоблюдение норматива страхового резерва, нецелевое использование средств пенсионных резервов (средств пенсионных накоплений) либо просрочка выплат пенсий или выплат правопреемникам (в том числе неправильное исчисление выплат)</t>
  </si>
  <si>
    <t>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t>
  </si>
  <si>
    <t>4. Нарушение стороной заключенного не на организованных торгах договора репо, договора, являющегося производным финансовым инструментом, договора иного вида, предусмотренного нормативными актами Банка России, установленных федеральным законом и (или) нормативными актами Банка России порядка и (или) сроков предоставления информации об указанных договорах и (или) генеральном соглашении (едином договоре) в репозитарий или Банк России либо предоставление неполной и (или) недостоверной информации</t>
  </si>
  <si>
    <t>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t>
  </si>
  <si>
    <t>Описание статьи</t>
  </si>
  <si>
    <t>(несколько элементов)</t>
  </si>
  <si>
    <t>(Все)</t>
  </si>
  <si>
    <t>Среднее по полю Превышышение над мин размером %/min</t>
  </si>
  <si>
    <t>Количество по полю Штраф факт</t>
  </si>
  <si>
    <t>2025</t>
  </si>
  <si>
    <t>янв</t>
  </si>
  <si>
    <t>февр</t>
  </si>
  <si>
    <t>март</t>
  </si>
  <si>
    <t>апр</t>
  </si>
  <si>
    <t>май</t>
  </si>
  <si>
    <t>июнь</t>
  </si>
  <si>
    <t>июль</t>
  </si>
  <si>
    <t>авг</t>
  </si>
  <si>
    <t>сент</t>
  </si>
  <si>
    <t>окт</t>
  </si>
  <si>
    <t>нояб</t>
  </si>
  <si>
    <t>дек</t>
  </si>
  <si>
    <t>Сумма по полю Штраф факт</t>
  </si>
  <si>
    <t>Среднее по полю мин</t>
  </si>
  <si>
    <t>Среднее по полю макс</t>
  </si>
  <si>
    <t>сделать в виде круговой диаграммы с количеством случаев по категориям : Предупреждения, мин, макс и в диапозоне</t>
  </si>
  <si>
    <t>Круговая, доля выплат юриков среди всех админок</t>
  </si>
  <si>
    <t>объеденить самые нечастые и указать что их доля крайне мала, тоже круговая</t>
  </si>
  <si>
    <t>указать год, проблема с объединением янв 2025 и 2026 года</t>
  </si>
  <si>
    <t>2026</t>
  </si>
  <si>
    <t>вид штрафа</t>
  </si>
  <si>
    <t>Количество по полю вид штрафа</t>
  </si>
  <si>
    <t>В диапазоне</t>
  </si>
  <si>
    <t>Минимум</t>
  </si>
  <si>
    <t>Ниже минимума</t>
  </si>
  <si>
    <t>Предупреждение</t>
  </si>
  <si>
    <t>Максимум</t>
  </si>
  <si>
    <t xml:space="preserve">Прочие ≤10 </t>
  </si>
  <si>
    <t>Выше максимума</t>
  </si>
  <si>
    <t>Содержание статьи</t>
  </si>
  <si>
    <t>в прочие входят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</si>
</sst>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7" x14ac:knownFonts="1">
    <font>
      <sz val="11"/>
      <color theme="1"/>
      <name val="Calibri"/>
      <family val="2"/>
      <scheme val="minor"/>
    </font>
    <font>
      <b/>
      <sz val="11"/>
      <name val="Calibri"/>
      <family val="2"/>
    </font>
    <font>
      <sz val="11"/>
      <color theme="1"/>
      <name val="Calibri"/>
      <family val="2"/>
      <scheme val="minor"/>
    </font>
    <font>
      <u/>
      <sz val="11"/>
      <color theme="10"/>
      <name val="Calibri"/>
      <family val="2"/>
      <scheme val="minor"/>
    </font>
    <font>
      <sz val="8"/>
      <name val="Calibri"/>
      <family val="2"/>
      <scheme val="minor"/>
    </font>
    <font>
      <b/>
      <sz val="11"/>
      <color theme="1"/>
      <name val="Calibri"/>
      <family val="2"/>
      <scheme val="minor"/>
    </font>
    <font>
      <sz val="11"/>
      <color rgb="FFFF0000"/>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s>
  <cellStyleXfs count="3">
    <xf numFmtId="0" fontId="0" fillId="0" borderId="0"/>
    <xf numFmtId="9" fontId="2" fillId="0" borderId="0" applyFont="0" applyFill="0" applyBorder="0" applyAlignment="0" applyProtection="0"/>
    <xf numFmtId="0" fontId="3" fillId="0" borderId="0" applyNumberFormat="0" applyFill="0" applyBorder="0" applyAlignment="0" applyProtection="0"/>
  </cellStyleXfs>
  <cellXfs count="31">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0" xfId="0" applyAlignment="1">
      <alignment vertical="center" wrapText="1"/>
    </xf>
    <xf numFmtId="0" fontId="0" fillId="0" borderId="0" xfId="0" applyAlignment="1">
      <alignment horizontal="left" vertical="center" wrapText="1"/>
    </xf>
    <xf numFmtId="0" fontId="1" fillId="0" borderId="1" xfId="0" applyFont="1" applyBorder="1" applyAlignment="1">
      <alignment horizontal="left" vertical="center" wrapText="1"/>
    </xf>
    <xf numFmtId="0" fontId="0" fillId="0" borderId="0" xfId="0" applyAlignment="1">
      <alignment horizontal="left" vertical="center"/>
    </xf>
    <xf numFmtId="0" fontId="3" fillId="0" borderId="0" xfId="2"/>
    <xf numFmtId="14" fontId="3" fillId="0" borderId="0" xfId="2" applyNumberFormat="1"/>
    <xf numFmtId="0" fontId="1" fillId="0" borderId="2" xfId="0" applyFont="1" applyBorder="1" applyAlignment="1">
      <alignment horizontal="center" vertical="top"/>
    </xf>
    <xf numFmtId="0" fontId="1" fillId="0" borderId="3" xfId="0" applyFont="1" applyBorder="1" applyAlignment="1">
      <alignment horizontal="center" vertical="top"/>
    </xf>
    <xf numFmtId="2" fontId="0" fillId="0" borderId="0" xfId="0" applyNumberFormat="1" applyAlignment="1">
      <alignment horizontal="left" vertical="center"/>
    </xf>
    <xf numFmtId="9" fontId="0" fillId="0" borderId="0" xfId="1" applyFont="1"/>
    <xf numFmtId="0" fontId="0" fillId="0" borderId="0" xfId="0" pivotButton="1"/>
    <xf numFmtId="0" fontId="0" fillId="0" borderId="0" xfId="0" applyAlignment="1">
      <alignment horizontal="left"/>
    </xf>
    <xf numFmtId="0" fontId="1" fillId="0" borderId="1" xfId="0" applyFont="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9" fontId="0" fillId="0" borderId="1" xfId="1" applyFont="1" applyBorder="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9" fontId="5" fillId="0" borderId="1" xfId="1" applyFont="1" applyBorder="1" applyAlignment="1">
      <alignment horizontal="center" vertical="center" wrapText="1"/>
    </xf>
    <xf numFmtId="0" fontId="5" fillId="0" borderId="1" xfId="0" applyFont="1" applyBorder="1" applyAlignment="1">
      <alignment horizontal="center" vertical="center"/>
    </xf>
    <xf numFmtId="0" fontId="6" fillId="0" borderId="0" xfId="0" applyFont="1"/>
    <xf numFmtId="164" fontId="0" fillId="0" borderId="0" xfId="0" applyNumberFormat="1"/>
    <xf numFmtId="0" fontId="0" fillId="0" borderId="0" xfId="0" applyAlignment="1">
      <alignment horizontal="left" indent="1"/>
    </xf>
    <xf numFmtId="2" fontId="0" fillId="0" borderId="1" xfId="0" applyNumberFormat="1" applyBorder="1" applyAlignment="1">
      <alignment horizontal="left" vertical="center"/>
    </xf>
    <xf numFmtId="0" fontId="0" fillId="0" borderId="0" xfId="0" applyAlignment="1">
      <alignment vertical="center"/>
    </xf>
    <xf numFmtId="9" fontId="5" fillId="0" borderId="1" xfId="1" applyFont="1" applyBorder="1" applyAlignment="1">
      <alignment horizontal="left" vertical="center" wrapText="1"/>
    </xf>
    <xf numFmtId="164" fontId="0" fillId="0" borderId="1" xfId="0" applyNumberFormat="1" applyBorder="1" applyAlignment="1">
      <alignment horizontal="left" vertical="center"/>
    </xf>
    <xf numFmtId="0" fontId="0" fillId="0" borderId="0" xfId="0" applyNumberFormat="1"/>
  </cellXfs>
  <cellStyles count="3">
    <cellStyle name="Гиперссылка" xfId="2" builtinId="8"/>
    <cellStyle name="Обычный" xfId="0" builtinId="0"/>
    <cellStyle name="Процентный" xfId="1" builtinId="5"/>
  </cellStyles>
  <dxfs count="6">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pivotSource>
    <c:name>[данные.xlsx]дашборды!Сводная таблица8</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ru-RU"/>
              <a:t>ДИНАМИКА АДМИН ДЕЛ ПО МЕСЯЦАМ</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ru-RU"/>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ru-RU"/>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дашборды!$B$5</c:f>
              <c:strCache>
                <c:ptCount val="1"/>
                <c:pt idx="0">
                  <c:v>Итог</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дашборды!$A$6:$A$22</c:f>
              <c:multiLvlStrCache>
                <c:ptCount val="14"/>
                <c:lvl>
                  <c:pt idx="0">
                    <c:v>янв</c:v>
                  </c:pt>
                  <c:pt idx="1">
                    <c:v>февр</c:v>
                  </c:pt>
                  <c:pt idx="2">
                    <c:v>март</c:v>
                  </c:pt>
                  <c:pt idx="3">
                    <c:v>апр</c:v>
                  </c:pt>
                  <c:pt idx="4">
                    <c:v>май</c:v>
                  </c:pt>
                  <c:pt idx="5">
                    <c:v>июнь</c:v>
                  </c:pt>
                  <c:pt idx="6">
                    <c:v>июль</c:v>
                  </c:pt>
                  <c:pt idx="7">
                    <c:v>авг</c:v>
                  </c:pt>
                  <c:pt idx="8">
                    <c:v>сент</c:v>
                  </c:pt>
                  <c:pt idx="9">
                    <c:v>окт</c:v>
                  </c:pt>
                  <c:pt idx="10">
                    <c:v>нояб</c:v>
                  </c:pt>
                  <c:pt idx="11">
                    <c:v>дек</c:v>
                  </c:pt>
                  <c:pt idx="12">
                    <c:v>янв</c:v>
                  </c:pt>
                  <c:pt idx="13">
                    <c:v>февр</c:v>
                  </c:pt>
                </c:lvl>
                <c:lvl>
                  <c:pt idx="0">
                    <c:v>2025</c:v>
                  </c:pt>
                  <c:pt idx="12">
                    <c:v>2026</c:v>
                  </c:pt>
                </c:lvl>
              </c:multiLvlStrCache>
            </c:multiLvlStrRef>
          </c:cat>
          <c:val>
            <c:numRef>
              <c:f>дашборды!$B$6:$B$22</c:f>
              <c:numCache>
                <c:formatCode>General</c:formatCode>
                <c:ptCount val="14"/>
                <c:pt idx="0">
                  <c:v>17</c:v>
                </c:pt>
                <c:pt idx="1">
                  <c:v>20</c:v>
                </c:pt>
                <c:pt idx="2">
                  <c:v>33</c:v>
                </c:pt>
                <c:pt idx="3">
                  <c:v>33</c:v>
                </c:pt>
                <c:pt idx="4">
                  <c:v>36</c:v>
                </c:pt>
                <c:pt idx="5">
                  <c:v>22</c:v>
                </c:pt>
                <c:pt idx="6">
                  <c:v>29</c:v>
                </c:pt>
                <c:pt idx="7">
                  <c:v>31</c:v>
                </c:pt>
                <c:pt idx="8">
                  <c:v>24</c:v>
                </c:pt>
                <c:pt idx="9">
                  <c:v>51</c:v>
                </c:pt>
                <c:pt idx="10">
                  <c:v>61</c:v>
                </c:pt>
                <c:pt idx="11">
                  <c:v>30</c:v>
                </c:pt>
                <c:pt idx="12">
                  <c:v>48</c:v>
                </c:pt>
                <c:pt idx="13">
                  <c:v>14</c:v>
                </c:pt>
              </c:numCache>
            </c:numRef>
          </c:val>
          <c:smooth val="0"/>
          <c:extLst>
            <c:ext xmlns:c16="http://schemas.microsoft.com/office/drawing/2014/chart" uri="{C3380CC4-5D6E-409C-BE32-E72D297353CC}">
              <c16:uniqueId val="{00000000-BB8F-0D41-AF1B-4992CAD59C51}"/>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06838911"/>
        <c:axId val="906203519"/>
      </c:lineChart>
      <c:catAx>
        <c:axId val="9068389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ru-RU"/>
          </a:p>
        </c:txPr>
        <c:crossAx val="906203519"/>
        <c:crosses val="autoZero"/>
        <c:auto val="1"/>
        <c:lblAlgn val="ctr"/>
        <c:lblOffset val="100"/>
        <c:noMultiLvlLbl val="0"/>
      </c:catAx>
      <c:valAx>
        <c:axId val="906203519"/>
        <c:scaling>
          <c:orientation val="minMax"/>
        </c:scaling>
        <c:delete val="1"/>
        <c:axPos val="l"/>
        <c:numFmt formatCode="General" sourceLinked="1"/>
        <c:majorTickMark val="none"/>
        <c:minorTickMark val="none"/>
        <c:tickLblPos val="nextTo"/>
        <c:crossAx val="906838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lt1">
          <a:lumMod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pivotSource>
    <c:name>[данные.xlsx]дашборды!Сводная таблица11</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ru-RU"/>
              <a:t>СУММА</a:t>
            </a:r>
            <a:r>
              <a:rPr lang="ru-RU" baseline="0"/>
              <a:t> ВЫПЛАТ ПО СТАТЬЯМ</a:t>
            </a:r>
            <a:endParaRPr lang="ru-RU"/>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ru-RU"/>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ru-RU"/>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дашборды!$B$58</c:f>
              <c:strCache>
                <c:ptCount val="1"/>
                <c:pt idx="0">
                  <c:v>Итог</c:v>
                </c:pt>
              </c:strCache>
            </c:strRef>
          </c:tx>
          <c:spPr>
            <a:pattFill prst="ltUpDiag">
              <a:fgClr>
                <a:schemeClr val="accent1"/>
              </a:fgClr>
              <a:bgClr>
                <a:schemeClr val="lt1"/>
              </a:bgClr>
            </a:pattFill>
            <a:ln>
              <a:noFill/>
            </a:ln>
            <a:effectLst/>
          </c:spPr>
          <c:invertIfNegative val="0"/>
          <c:dLbls>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дашборды!$A$59:$A$76</c:f>
              <c:strCache>
                <c:ptCount val="17"/>
                <c:pt idx="0">
                  <c:v>ч.9 ст.15.29 КоАП РФ</c:v>
                </c:pt>
                <c:pt idx="1">
                  <c:v>ч.2 ст.15.19 КоАП РФ</c:v>
                </c:pt>
                <c:pt idx="2">
                  <c:v>ч.12 ст.15.29 КоАП РФ</c:v>
                </c:pt>
                <c:pt idx="3">
                  <c:v>ч.1 ст.19.7.3 КоАП РФ</c:v>
                </c:pt>
                <c:pt idx="4">
                  <c:v>ч.2 ст.15.29 КоАП РФ</c:v>
                </c:pt>
                <c:pt idx="5">
                  <c:v>ч.9 ст.19.5 КоАП РФ</c:v>
                </c:pt>
                <c:pt idx="6">
                  <c:v>ч.6 ст.15.29 КоАП РФ</c:v>
                </c:pt>
                <c:pt idx="7">
                  <c:v>ст.15.30 КоАП РФ</c:v>
                </c:pt>
                <c:pt idx="8">
                  <c:v>ч.5 ст.15.29 КоАП РФ</c:v>
                </c:pt>
                <c:pt idx="9">
                  <c:v>ч.7 ст.15.29 КоАП РФ</c:v>
                </c:pt>
                <c:pt idx="10">
                  <c:v>ч.4 ст.15.35 КоАП РФ</c:v>
                </c:pt>
                <c:pt idx="11">
                  <c:v>ч.1 ст.5.54 КоАП РФ</c:v>
                </c:pt>
                <c:pt idx="12">
                  <c:v>ч.1 ст.13.25 КоАП РФ</c:v>
                </c:pt>
                <c:pt idx="13">
                  <c:v>ст.5.55 КоАП РФ</c:v>
                </c:pt>
                <c:pt idx="14">
                  <c:v>ч.2 ст.5.54 КоАП РФ</c:v>
                </c:pt>
                <c:pt idx="15">
                  <c:v>ст.14.29 КоАП РФ</c:v>
                </c:pt>
                <c:pt idx="16">
                  <c:v>ст.14.30 КоАП РФ</c:v>
                </c:pt>
              </c:strCache>
            </c:strRef>
          </c:cat>
          <c:val>
            <c:numRef>
              <c:f>дашборды!$B$59:$B$76</c:f>
              <c:numCache>
                <c:formatCode>General</c:formatCode>
                <c:ptCount val="17"/>
                <c:pt idx="0">
                  <c:v>15300000</c:v>
                </c:pt>
                <c:pt idx="1">
                  <c:v>11900000</c:v>
                </c:pt>
                <c:pt idx="2">
                  <c:v>11630000</c:v>
                </c:pt>
                <c:pt idx="3">
                  <c:v>9200000</c:v>
                </c:pt>
                <c:pt idx="4">
                  <c:v>5300000</c:v>
                </c:pt>
                <c:pt idx="5">
                  <c:v>5250000</c:v>
                </c:pt>
                <c:pt idx="6">
                  <c:v>4550000</c:v>
                </c:pt>
                <c:pt idx="7">
                  <c:v>2450000</c:v>
                </c:pt>
                <c:pt idx="8">
                  <c:v>1500000</c:v>
                </c:pt>
                <c:pt idx="9">
                  <c:v>1000000</c:v>
                </c:pt>
                <c:pt idx="10">
                  <c:v>300000</c:v>
                </c:pt>
                <c:pt idx="11">
                  <c:v>180000</c:v>
                </c:pt>
                <c:pt idx="12">
                  <c:v>100000</c:v>
                </c:pt>
                <c:pt idx="13">
                  <c:v>50000</c:v>
                </c:pt>
                <c:pt idx="14">
                  <c:v>50000</c:v>
                </c:pt>
                <c:pt idx="15">
                  <c:v>30000</c:v>
                </c:pt>
                <c:pt idx="16">
                  <c:v>30000</c:v>
                </c:pt>
              </c:numCache>
            </c:numRef>
          </c:val>
          <c:extLst>
            <c:ext xmlns:c16="http://schemas.microsoft.com/office/drawing/2014/chart" uri="{C3380CC4-5D6E-409C-BE32-E72D297353CC}">
              <c16:uniqueId val="{00000000-9404-EB43-8571-B6134BA66274}"/>
            </c:ext>
          </c:extLst>
        </c:ser>
        <c:dLbls>
          <c:dLblPos val="inEnd"/>
          <c:showLegendKey val="0"/>
          <c:showVal val="1"/>
          <c:showCatName val="0"/>
          <c:showSerName val="0"/>
          <c:showPercent val="0"/>
          <c:showBubbleSize val="0"/>
        </c:dLbls>
        <c:gapWidth val="269"/>
        <c:overlap val="-20"/>
        <c:axId val="1022036159"/>
        <c:axId val="959737215"/>
      </c:barChart>
      <c:catAx>
        <c:axId val="1022036159"/>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ru-RU"/>
          </a:p>
        </c:txPr>
        <c:crossAx val="959737215"/>
        <c:crosses val="autoZero"/>
        <c:auto val="1"/>
        <c:lblAlgn val="ctr"/>
        <c:lblOffset val="100"/>
        <c:noMultiLvlLbl val="0"/>
      </c:catAx>
      <c:valAx>
        <c:axId val="959737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ru-RU"/>
          </a:p>
        </c:txPr>
        <c:crossAx val="1022036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pivotSource>
    <c:name>[данные.xlsx]дашборды!Сводная таблица12</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ru-RU"/>
              <a:t>МИН И МАКС ПЛАТЕЖИ</a:t>
            </a:r>
            <a:r>
              <a:rPr lang="ru-RU" baseline="0"/>
              <a:t> ПО СТАТЬЯМ</a:t>
            </a:r>
            <a:endParaRPr lang="ru-RU"/>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ru-RU"/>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дашборды!$B$84</c:f>
              <c:strCache>
                <c:ptCount val="1"/>
                <c:pt idx="0">
                  <c:v>Среднее по полю мин</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дашборды!$A$85:$A$102</c:f>
              <c:strCache>
                <c:ptCount val="17"/>
                <c:pt idx="0">
                  <c:v>ст.14.29 КоАП РФ</c:v>
                </c:pt>
                <c:pt idx="1">
                  <c:v>ст.14.30 КоАП РФ</c:v>
                </c:pt>
                <c:pt idx="2">
                  <c:v>ст.15.30 КоАП РФ</c:v>
                </c:pt>
                <c:pt idx="3">
                  <c:v>ст.5.55 КоАП РФ</c:v>
                </c:pt>
                <c:pt idx="4">
                  <c:v>ч.1 ст.13.25 КоАП РФ</c:v>
                </c:pt>
                <c:pt idx="5">
                  <c:v>ч.1 ст.19.7.3 КоАП РФ</c:v>
                </c:pt>
                <c:pt idx="6">
                  <c:v>ч.1 ст.5.54 КоАП РФ</c:v>
                </c:pt>
                <c:pt idx="7">
                  <c:v>ч.12 ст.15.29 КоАП РФ</c:v>
                </c:pt>
                <c:pt idx="8">
                  <c:v>ч.2 ст.15.19 КоАП РФ</c:v>
                </c:pt>
                <c:pt idx="9">
                  <c:v>ч.2 ст.15.29 КоАП РФ</c:v>
                </c:pt>
                <c:pt idx="10">
                  <c:v>ч.2 ст.5.54 КоАП РФ</c:v>
                </c:pt>
                <c:pt idx="11">
                  <c:v>ч.4 ст.15.35 КоАП РФ</c:v>
                </c:pt>
                <c:pt idx="12">
                  <c:v>ч.5 ст.15.29 КоАП РФ</c:v>
                </c:pt>
                <c:pt idx="13">
                  <c:v>ч.6 ст.15.29 КоАП РФ</c:v>
                </c:pt>
                <c:pt idx="14">
                  <c:v>ч.7 ст.15.29 КоАП РФ</c:v>
                </c:pt>
                <c:pt idx="15">
                  <c:v>ч.9 ст.15.29 КоАП РФ</c:v>
                </c:pt>
                <c:pt idx="16">
                  <c:v>ч.9 ст.19.5 КоАП РФ</c:v>
                </c:pt>
              </c:strCache>
            </c:strRef>
          </c:cat>
          <c:val>
            <c:numRef>
              <c:f>дашборды!$B$85:$B$102</c:f>
              <c:numCache>
                <c:formatCode>General</c:formatCode>
                <c:ptCount val="17"/>
                <c:pt idx="0">
                  <c:v>30000</c:v>
                </c:pt>
                <c:pt idx="1">
                  <c:v>10000</c:v>
                </c:pt>
                <c:pt idx="2">
                  <c:v>700000</c:v>
                </c:pt>
                <c:pt idx="3">
                  <c:v>20000</c:v>
                </c:pt>
                <c:pt idx="4">
                  <c:v>200000</c:v>
                </c:pt>
                <c:pt idx="5">
                  <c:v>500000</c:v>
                </c:pt>
                <c:pt idx="6">
                  <c:v>10000</c:v>
                </c:pt>
                <c:pt idx="7">
                  <c:v>300000</c:v>
                </c:pt>
                <c:pt idx="8">
                  <c:v>700000</c:v>
                </c:pt>
                <c:pt idx="9">
                  <c:v>500000</c:v>
                </c:pt>
                <c:pt idx="10">
                  <c:v>30000</c:v>
                </c:pt>
                <c:pt idx="11">
                  <c:v>300000</c:v>
                </c:pt>
                <c:pt idx="12">
                  <c:v>500000</c:v>
                </c:pt>
                <c:pt idx="13">
                  <c:v>700000</c:v>
                </c:pt>
                <c:pt idx="14">
                  <c:v>500000</c:v>
                </c:pt>
                <c:pt idx="15">
                  <c:v>700000</c:v>
                </c:pt>
                <c:pt idx="16">
                  <c:v>500000</c:v>
                </c:pt>
              </c:numCache>
            </c:numRef>
          </c:val>
          <c:extLst>
            <c:ext xmlns:c16="http://schemas.microsoft.com/office/drawing/2014/chart" uri="{C3380CC4-5D6E-409C-BE32-E72D297353CC}">
              <c16:uniqueId val="{00000000-6A2B-CA4B-909A-37D1D4E03BF2}"/>
            </c:ext>
          </c:extLst>
        </c:ser>
        <c:ser>
          <c:idx val="1"/>
          <c:order val="1"/>
          <c:tx>
            <c:strRef>
              <c:f>дашборды!$C$84</c:f>
              <c:strCache>
                <c:ptCount val="1"/>
                <c:pt idx="0">
                  <c:v>Среднее по полю макс</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дашборды!$A$85:$A$102</c:f>
              <c:strCache>
                <c:ptCount val="17"/>
                <c:pt idx="0">
                  <c:v>ст.14.29 КоАП РФ</c:v>
                </c:pt>
                <c:pt idx="1">
                  <c:v>ст.14.30 КоАП РФ</c:v>
                </c:pt>
                <c:pt idx="2">
                  <c:v>ст.15.30 КоАП РФ</c:v>
                </c:pt>
                <c:pt idx="3">
                  <c:v>ст.5.55 КоАП РФ</c:v>
                </c:pt>
                <c:pt idx="4">
                  <c:v>ч.1 ст.13.25 КоАП РФ</c:v>
                </c:pt>
                <c:pt idx="5">
                  <c:v>ч.1 ст.19.7.3 КоАП РФ</c:v>
                </c:pt>
                <c:pt idx="6">
                  <c:v>ч.1 ст.5.54 КоАП РФ</c:v>
                </c:pt>
                <c:pt idx="7">
                  <c:v>ч.12 ст.15.29 КоАП РФ</c:v>
                </c:pt>
                <c:pt idx="8">
                  <c:v>ч.2 ст.15.19 КоАП РФ</c:v>
                </c:pt>
                <c:pt idx="9">
                  <c:v>ч.2 ст.15.29 КоАП РФ</c:v>
                </c:pt>
                <c:pt idx="10">
                  <c:v>ч.2 ст.5.54 КоАП РФ</c:v>
                </c:pt>
                <c:pt idx="11">
                  <c:v>ч.4 ст.15.35 КоАП РФ</c:v>
                </c:pt>
                <c:pt idx="12">
                  <c:v>ч.5 ст.15.29 КоАП РФ</c:v>
                </c:pt>
                <c:pt idx="13">
                  <c:v>ч.6 ст.15.29 КоАП РФ</c:v>
                </c:pt>
                <c:pt idx="14">
                  <c:v>ч.7 ст.15.29 КоАП РФ</c:v>
                </c:pt>
                <c:pt idx="15">
                  <c:v>ч.9 ст.15.29 КоАП РФ</c:v>
                </c:pt>
                <c:pt idx="16">
                  <c:v>ч.9 ст.19.5 КоАП РФ</c:v>
                </c:pt>
              </c:strCache>
            </c:strRef>
          </c:cat>
          <c:val>
            <c:numRef>
              <c:f>дашборды!$C$85:$C$102</c:f>
              <c:numCache>
                <c:formatCode>General</c:formatCode>
                <c:ptCount val="17"/>
                <c:pt idx="0">
                  <c:v>50000</c:v>
                </c:pt>
                <c:pt idx="1">
                  <c:v>20000</c:v>
                </c:pt>
                <c:pt idx="2">
                  <c:v>#N/A</c:v>
                </c:pt>
                <c:pt idx="3">
                  <c:v>50000</c:v>
                </c:pt>
                <c:pt idx="4">
                  <c:v>300000</c:v>
                </c:pt>
                <c:pt idx="5">
                  <c:v>700000</c:v>
                </c:pt>
                <c:pt idx="6">
                  <c:v>20000</c:v>
                </c:pt>
                <c:pt idx="7">
                  <c:v>500000</c:v>
                </c:pt>
                <c:pt idx="8">
                  <c:v>1000000</c:v>
                </c:pt>
                <c:pt idx="9">
                  <c:v>700000</c:v>
                </c:pt>
                <c:pt idx="10">
                  <c:v>50000</c:v>
                </c:pt>
                <c:pt idx="11">
                  <c:v>700000</c:v>
                </c:pt>
                <c:pt idx="12">
                  <c:v>700000</c:v>
                </c:pt>
                <c:pt idx="13">
                  <c:v>1000000</c:v>
                </c:pt>
                <c:pt idx="14">
                  <c:v>700000</c:v>
                </c:pt>
                <c:pt idx="15">
                  <c:v>1000000</c:v>
                </c:pt>
                <c:pt idx="16">
                  <c:v>700000</c:v>
                </c:pt>
              </c:numCache>
            </c:numRef>
          </c:val>
          <c:extLst>
            <c:ext xmlns:c16="http://schemas.microsoft.com/office/drawing/2014/chart" uri="{C3380CC4-5D6E-409C-BE32-E72D297353CC}">
              <c16:uniqueId val="{00000001-6A2B-CA4B-909A-37D1D4E03BF2}"/>
            </c:ext>
          </c:extLst>
        </c:ser>
        <c:dLbls>
          <c:showLegendKey val="0"/>
          <c:showVal val="1"/>
          <c:showCatName val="0"/>
          <c:showSerName val="0"/>
          <c:showPercent val="0"/>
          <c:showBubbleSize val="0"/>
        </c:dLbls>
        <c:gapWidth val="75"/>
        <c:axId val="1021852543"/>
        <c:axId val="995521215"/>
      </c:barChart>
      <c:catAx>
        <c:axId val="10218525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95521215"/>
        <c:crosses val="autoZero"/>
        <c:auto val="1"/>
        <c:lblAlgn val="ctr"/>
        <c:lblOffset val="100"/>
        <c:noMultiLvlLbl val="0"/>
      </c:catAx>
      <c:valAx>
        <c:axId val="995521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0218525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pivotSource>
    <c:name>[данные.xlsx]дашборды!Сводная таблица13</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ru-RU"/>
              <a:t>СРЕДНЕЕ ПРЕВЫШЕНИЕ</a:t>
            </a:r>
            <a:r>
              <a:rPr lang="ru-RU" baseline="0"/>
              <a:t> НАД МИН РАЗМЕРОМ </a:t>
            </a:r>
            <a:r>
              <a:rPr lang="en-US" baseline="0"/>
              <a:t>%/min</a:t>
            </a:r>
            <a:endParaRPr lang="ru-RU"/>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ru-RU"/>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дашборды!$B$109</c:f>
              <c:strCache>
                <c:ptCount val="1"/>
                <c:pt idx="0">
                  <c:v>Итог</c:v>
                </c:pt>
              </c:strCache>
            </c:strRef>
          </c:tx>
          <c:spPr>
            <a:pattFill prst="ltUpDiag">
              <a:fgClr>
                <a:schemeClr val="accent1"/>
              </a:fgClr>
              <a:bgClr>
                <a:schemeClr val="lt1"/>
              </a:bgClr>
            </a:pattFill>
            <a:ln>
              <a:noFill/>
            </a:ln>
            <a:effectLst/>
          </c:spPr>
          <c:invertIfNegative val="0"/>
          <c:cat>
            <c:strRef>
              <c:f>дашборды!$A$110:$A$127</c:f>
              <c:strCache>
                <c:ptCount val="17"/>
                <c:pt idx="0">
                  <c:v>ст.14.29 КоАП РФ</c:v>
                </c:pt>
                <c:pt idx="1">
                  <c:v>ст.14.30 КоАП РФ</c:v>
                </c:pt>
                <c:pt idx="2">
                  <c:v>ст.15.30 КоАП РФ</c:v>
                </c:pt>
                <c:pt idx="3">
                  <c:v>ст.5.55 КоАП РФ</c:v>
                </c:pt>
                <c:pt idx="4">
                  <c:v>ч.1 ст.13.25 КоАП РФ</c:v>
                </c:pt>
                <c:pt idx="5">
                  <c:v>ч.1 ст.19.7.3 КоАП РФ</c:v>
                </c:pt>
                <c:pt idx="6">
                  <c:v>ч.1 ст.5.54 КоАП РФ</c:v>
                </c:pt>
                <c:pt idx="7">
                  <c:v>ч.12 ст.15.29 КоАП РФ</c:v>
                </c:pt>
                <c:pt idx="8">
                  <c:v>ч.2 ст.15.19 КоАП РФ</c:v>
                </c:pt>
                <c:pt idx="9">
                  <c:v>ч.2 ст.15.29 КоАП РФ</c:v>
                </c:pt>
                <c:pt idx="10">
                  <c:v>ч.2 ст.5.54 КоАП РФ</c:v>
                </c:pt>
                <c:pt idx="11">
                  <c:v>ч.4 ст.15.35 КоАП РФ</c:v>
                </c:pt>
                <c:pt idx="12">
                  <c:v>ч.5 ст.15.29 КоАП РФ</c:v>
                </c:pt>
                <c:pt idx="13">
                  <c:v>ч.6 ст.15.29 КоАП РФ</c:v>
                </c:pt>
                <c:pt idx="14">
                  <c:v>ч.7 ст.15.29 КоАП РФ</c:v>
                </c:pt>
                <c:pt idx="15">
                  <c:v>ч.9 ст.15.29 КоАП РФ</c:v>
                </c:pt>
                <c:pt idx="16">
                  <c:v>ч.9 ст.19.5 КоАП РФ</c:v>
                </c:pt>
              </c:strCache>
            </c:strRef>
          </c:cat>
          <c:val>
            <c:numRef>
              <c:f>дашборды!$B$110:$B$127</c:f>
              <c:numCache>
                <c:formatCode>General</c:formatCode>
                <c:ptCount val="17"/>
                <c:pt idx="0">
                  <c:v>0</c:v>
                </c:pt>
                <c:pt idx="1">
                  <c:v>0</c:v>
                </c:pt>
                <c:pt idx="2">
                  <c:v>-0.3</c:v>
                </c:pt>
                <c:pt idx="3">
                  <c:v>1</c:v>
                </c:pt>
                <c:pt idx="4">
                  <c:v>-0.5</c:v>
                </c:pt>
                <c:pt idx="5">
                  <c:v>4.7619047619047609E-2</c:v>
                </c:pt>
                <c:pt idx="6">
                  <c:v>1</c:v>
                </c:pt>
                <c:pt idx="7">
                  <c:v>-9.8449612403100781E-2</c:v>
                </c:pt>
                <c:pt idx="8">
                  <c:v>-0.10526315789473684</c:v>
                </c:pt>
                <c:pt idx="9">
                  <c:v>-3.6363636363636369E-2</c:v>
                </c:pt>
                <c:pt idx="10">
                  <c:v>1</c:v>
                </c:pt>
                <c:pt idx="11">
                  <c:v>0</c:v>
                </c:pt>
                <c:pt idx="12">
                  <c:v>-0.25</c:v>
                </c:pt>
                <c:pt idx="13">
                  <c:v>-7.1428571428571425E-2</c:v>
                </c:pt>
                <c:pt idx="14">
                  <c:v>0</c:v>
                </c:pt>
                <c:pt idx="15">
                  <c:v>-0.08</c:v>
                </c:pt>
                <c:pt idx="16">
                  <c:v>-0.47500000000000009</c:v>
                </c:pt>
              </c:numCache>
            </c:numRef>
          </c:val>
          <c:extLst>
            <c:ext xmlns:c16="http://schemas.microsoft.com/office/drawing/2014/chart" uri="{C3380CC4-5D6E-409C-BE32-E72D297353CC}">
              <c16:uniqueId val="{00000000-65BB-B54D-AF39-D071970785A1}"/>
            </c:ext>
          </c:extLst>
        </c:ser>
        <c:dLbls>
          <c:showLegendKey val="0"/>
          <c:showVal val="0"/>
          <c:showCatName val="0"/>
          <c:showSerName val="0"/>
          <c:showPercent val="0"/>
          <c:showBubbleSize val="0"/>
        </c:dLbls>
        <c:gapWidth val="269"/>
        <c:overlap val="-20"/>
        <c:axId val="1045558399"/>
        <c:axId val="1064601791"/>
      </c:barChart>
      <c:catAx>
        <c:axId val="1045558399"/>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ru-RU"/>
          </a:p>
        </c:txPr>
        <c:crossAx val="1064601791"/>
        <c:crosses val="autoZero"/>
        <c:auto val="1"/>
        <c:lblAlgn val="ctr"/>
        <c:lblOffset val="100"/>
        <c:noMultiLvlLbl val="0"/>
      </c:catAx>
      <c:valAx>
        <c:axId val="1064601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ru-RU"/>
          </a:p>
        </c:txPr>
        <c:crossAx val="1045558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ru-RU"/>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3"/>
    </mc:Choice>
    <mc:Fallback>
      <c:style val="3"/>
    </mc:Fallback>
  </mc:AlternateContent>
  <c:pivotSource>
    <c:name>[данные.xlsx]дашборды!Сводная таблица3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ДОЛИ</a:t>
            </a:r>
            <a:r>
              <a:rPr lang="ru-RU" baseline="0"/>
              <a:t> СТАТЕЙ СРЕДИ ЮР ЛИЦ</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hade val="47000"/>
            </a:schemeClr>
          </a:solidFill>
          <a:ln w="19050">
            <a:solidFill>
              <a:schemeClr val="lt1"/>
            </a:solidFill>
          </a:ln>
          <a:effectLst/>
        </c:spPr>
      </c:pivotFmt>
      <c:pivotFmt>
        <c:idx val="2"/>
        <c:spPr>
          <a:solidFill>
            <a:schemeClr val="accent1">
              <a:shade val="65000"/>
            </a:schemeClr>
          </a:solidFill>
          <a:ln w="19050">
            <a:solidFill>
              <a:schemeClr val="lt1"/>
            </a:solidFill>
          </a:ln>
          <a:effectLst/>
        </c:spPr>
      </c:pivotFmt>
      <c:pivotFmt>
        <c:idx val="3"/>
        <c:spPr>
          <a:solidFill>
            <a:schemeClr val="accent1">
              <a:shade val="82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tint val="83000"/>
            </a:schemeClr>
          </a:solidFill>
          <a:ln w="19050">
            <a:solidFill>
              <a:schemeClr val="lt1"/>
            </a:solidFill>
          </a:ln>
          <a:effectLst/>
        </c:spPr>
      </c:pivotFmt>
      <c:pivotFmt>
        <c:idx val="6"/>
        <c:spPr>
          <a:solidFill>
            <a:schemeClr val="accent1">
              <a:tint val="65000"/>
            </a:schemeClr>
          </a:solidFill>
          <a:ln w="19050">
            <a:solidFill>
              <a:schemeClr val="lt1"/>
            </a:solidFill>
          </a:ln>
          <a:effectLst/>
        </c:spPr>
      </c:pivotFmt>
      <c:pivotFmt>
        <c:idx val="7"/>
        <c:spPr>
          <a:solidFill>
            <a:schemeClr val="accent1">
              <a:tint val="48000"/>
            </a:schemeClr>
          </a:solidFill>
          <a:ln w="19050">
            <a:solidFill>
              <a:schemeClr val="lt1"/>
            </a:solidFill>
          </a:ln>
          <a:effectLst/>
        </c:spPr>
      </c:pivotFmt>
      <c:pivotFmt>
        <c:idx val="8"/>
        <c:spPr>
          <a:solidFill>
            <a:schemeClr val="accent1">
              <a:shade val="47000"/>
            </a:schemeClr>
          </a:solidFill>
          <a:ln w="19050">
            <a:solidFill>
              <a:schemeClr val="lt1"/>
            </a:solidFill>
          </a:ln>
          <a:effectLst/>
        </c:spPr>
      </c:pivotFmt>
      <c:pivotFmt>
        <c:idx val="9"/>
        <c:spPr>
          <a:solidFill>
            <a:schemeClr val="accent1">
              <a:shade val="65000"/>
            </a:schemeClr>
          </a:solidFill>
          <a:ln w="19050">
            <a:solidFill>
              <a:schemeClr val="lt1"/>
            </a:solidFill>
          </a:ln>
          <a:effectLst/>
        </c:spPr>
      </c:pivotFmt>
      <c:pivotFmt>
        <c:idx val="10"/>
        <c:spPr>
          <a:solidFill>
            <a:schemeClr val="accent1">
              <a:shade val="82000"/>
            </a:schemeClr>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tint val="83000"/>
            </a:schemeClr>
          </a:solidFill>
          <a:ln w="19050">
            <a:solidFill>
              <a:schemeClr val="lt1"/>
            </a:solidFill>
          </a:ln>
          <a:effectLst/>
        </c:spPr>
      </c:pivotFmt>
      <c:pivotFmt>
        <c:idx val="13"/>
        <c:spPr>
          <a:solidFill>
            <a:schemeClr val="accent1">
              <a:tint val="65000"/>
            </a:schemeClr>
          </a:solidFill>
          <a:ln w="19050">
            <a:solidFill>
              <a:schemeClr val="lt1"/>
            </a:solidFill>
          </a:ln>
          <a:effectLst/>
        </c:spPr>
      </c:pivotFmt>
      <c:pivotFmt>
        <c:idx val="14"/>
        <c:spPr>
          <a:solidFill>
            <a:schemeClr val="accent1">
              <a:tint val="48000"/>
            </a:schemeClr>
          </a:solidFill>
          <a:ln w="19050">
            <a:solidFill>
              <a:schemeClr val="lt1"/>
            </a:solidFill>
          </a:ln>
          <a:effectLst/>
        </c:spPr>
      </c:pivotFmt>
    </c:pivotFmts>
    <c:plotArea>
      <c:layout/>
      <c:pieChart>
        <c:varyColors val="1"/>
        <c:ser>
          <c:idx val="0"/>
          <c:order val="0"/>
          <c:tx>
            <c:strRef>
              <c:f>дашборды!$O$26</c:f>
              <c:strCache>
                <c:ptCount val="1"/>
                <c:pt idx="0">
                  <c:v>Итог</c:v>
                </c:pt>
              </c:strCache>
            </c:strRef>
          </c:tx>
          <c:dPt>
            <c:idx val="0"/>
            <c:bubble3D val="0"/>
            <c:spPr>
              <a:solidFill>
                <a:schemeClr val="accent1">
                  <a:shade val="47000"/>
                </a:schemeClr>
              </a:solidFill>
              <a:ln w="19050">
                <a:solidFill>
                  <a:schemeClr val="lt1"/>
                </a:solidFill>
              </a:ln>
              <a:effectLst/>
            </c:spPr>
            <c:extLst>
              <c:ext xmlns:c16="http://schemas.microsoft.com/office/drawing/2014/chart" uri="{C3380CC4-5D6E-409C-BE32-E72D297353CC}">
                <c16:uniqueId val="{00000001-A42E-994B-AA47-462C71309CA6}"/>
              </c:ext>
            </c:extLst>
          </c:dPt>
          <c:dPt>
            <c:idx val="1"/>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3-A42E-994B-AA47-462C71309CA6}"/>
              </c:ext>
            </c:extLst>
          </c:dPt>
          <c:dPt>
            <c:idx val="2"/>
            <c:bubble3D val="0"/>
            <c:spPr>
              <a:solidFill>
                <a:schemeClr val="accent1">
                  <a:shade val="82000"/>
                </a:schemeClr>
              </a:solidFill>
              <a:ln w="19050">
                <a:solidFill>
                  <a:schemeClr val="lt1"/>
                </a:solidFill>
              </a:ln>
              <a:effectLst/>
            </c:spPr>
            <c:extLst>
              <c:ext xmlns:c16="http://schemas.microsoft.com/office/drawing/2014/chart" uri="{C3380CC4-5D6E-409C-BE32-E72D297353CC}">
                <c16:uniqueId val="{00000005-A42E-994B-AA47-462C71309CA6}"/>
              </c:ext>
            </c:extLst>
          </c:dPt>
          <c:dPt>
            <c:idx val="3"/>
            <c:bubble3D val="0"/>
            <c:spPr>
              <a:solidFill>
                <a:schemeClr val="accent1"/>
              </a:solidFill>
              <a:ln w="19050">
                <a:solidFill>
                  <a:schemeClr val="lt1"/>
                </a:solidFill>
              </a:ln>
              <a:effectLst/>
            </c:spPr>
            <c:extLst>
              <c:ext xmlns:c16="http://schemas.microsoft.com/office/drawing/2014/chart" uri="{C3380CC4-5D6E-409C-BE32-E72D297353CC}">
                <c16:uniqueId val="{00000007-A42E-994B-AA47-462C71309CA6}"/>
              </c:ext>
            </c:extLst>
          </c:dPt>
          <c:dPt>
            <c:idx val="4"/>
            <c:bubble3D val="0"/>
            <c:spPr>
              <a:solidFill>
                <a:schemeClr val="accent1">
                  <a:tint val="83000"/>
                </a:schemeClr>
              </a:solidFill>
              <a:ln w="19050">
                <a:solidFill>
                  <a:schemeClr val="lt1"/>
                </a:solidFill>
              </a:ln>
              <a:effectLst/>
            </c:spPr>
            <c:extLst>
              <c:ext xmlns:c16="http://schemas.microsoft.com/office/drawing/2014/chart" uri="{C3380CC4-5D6E-409C-BE32-E72D297353CC}">
                <c16:uniqueId val="{00000009-A42E-994B-AA47-462C71309CA6}"/>
              </c:ext>
            </c:extLst>
          </c:dPt>
          <c:dPt>
            <c:idx val="5"/>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B-A42E-994B-AA47-462C71309CA6}"/>
              </c:ext>
            </c:extLst>
          </c:dPt>
          <c:dPt>
            <c:idx val="6"/>
            <c:bubble3D val="0"/>
            <c:spPr>
              <a:solidFill>
                <a:schemeClr val="accent1">
                  <a:tint val="48000"/>
                </a:schemeClr>
              </a:solidFill>
              <a:ln w="19050">
                <a:solidFill>
                  <a:schemeClr val="lt1"/>
                </a:solidFill>
              </a:ln>
              <a:effectLst/>
            </c:spPr>
            <c:extLst>
              <c:ext xmlns:c16="http://schemas.microsoft.com/office/drawing/2014/chart" uri="{C3380CC4-5D6E-409C-BE32-E72D297353CC}">
                <c16:uniqueId val="{0000000D-A42E-994B-AA47-462C71309C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дашборды!$N$27:$N$34</c:f>
              <c:strCache>
                <c:ptCount val="7"/>
                <c:pt idx="0">
                  <c:v>ч.12 ст.15.29 КоАП РФ</c:v>
                </c:pt>
                <c:pt idx="1">
                  <c:v>Прочие ≤10 </c:v>
                </c:pt>
                <c:pt idx="2">
                  <c:v>ч.9 ст.15.29 КоАП РФ</c:v>
                </c:pt>
                <c:pt idx="3">
                  <c:v>ч.1 ст.19.7.3 КоАП РФ</c:v>
                </c:pt>
                <c:pt idx="4">
                  <c:v>ч.2 ст.15.19 КоАП РФ</c:v>
                </c:pt>
                <c:pt idx="5">
                  <c:v>ч.2 ст.15.29 КоАП РФ</c:v>
                </c:pt>
                <c:pt idx="6">
                  <c:v>ч.9 ст.19.5 КоАП РФ</c:v>
                </c:pt>
              </c:strCache>
            </c:strRef>
          </c:cat>
          <c:val>
            <c:numRef>
              <c:f>дашборды!$O$27:$O$34</c:f>
              <c:numCache>
                <c:formatCode>General</c:formatCode>
                <c:ptCount val="7"/>
                <c:pt idx="0">
                  <c:v>68</c:v>
                </c:pt>
                <c:pt idx="1">
                  <c:v>46</c:v>
                </c:pt>
                <c:pt idx="2">
                  <c:v>29</c:v>
                </c:pt>
                <c:pt idx="3">
                  <c:v>28</c:v>
                </c:pt>
                <c:pt idx="4">
                  <c:v>23</c:v>
                </c:pt>
                <c:pt idx="5">
                  <c:v>23</c:v>
                </c:pt>
                <c:pt idx="6">
                  <c:v>20</c:v>
                </c:pt>
              </c:numCache>
            </c:numRef>
          </c:val>
          <c:extLst>
            <c:ext xmlns:c16="http://schemas.microsoft.com/office/drawing/2014/chart" uri="{C3380CC4-5D6E-409C-BE32-E72D297353CC}">
              <c16:uniqueId val="{00000000-DD28-E042-9B96-E6ECFF206A0B}"/>
            </c:ext>
          </c:extLst>
        </c:ser>
        <c:dLbls>
          <c:showLegendKey val="0"/>
          <c:showVal val="0"/>
          <c:showCatName val="1"/>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3"/>
    </mc:Choice>
    <mc:Fallback>
      <c:style val="3"/>
    </mc:Fallback>
  </mc:AlternateContent>
  <c:pivotSource>
    <c:name>[данные.xlsx]дашборды!Сводная таблица6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Доли</a:t>
            </a:r>
            <a:r>
              <a:rPr lang="ru-RU" baseline="0"/>
              <a:t> видов решений по делам</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tint val="58000"/>
            </a:schemeClr>
          </a:solidFill>
          <a:ln w="19050">
            <a:solidFill>
              <a:schemeClr val="lt1"/>
            </a:solidFill>
          </a:ln>
          <a:effectLst/>
        </c:spPr>
        <c:dLbl>
          <c:idx val="0"/>
          <c:layout>
            <c:manualLayout>
              <c:x val="1.1305026300997968E-3"/>
              <c:y val="-0.142939398200224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1"/>
          <c:showCatName val="1"/>
          <c:showSerName val="0"/>
          <c:showPercent val="1"/>
          <c:showBubbleSize val="0"/>
          <c:extLst>
            <c:ext xmlns:c15="http://schemas.microsoft.com/office/drawing/2012/chart" uri="{CE6537A1-D6FC-4f65-9D91-7224C49458BB}">
              <c15:layout>
                <c:manualLayout>
                  <c:w val="0.34022896868492652"/>
                  <c:h val="0.16476343191329215"/>
                </c:manualLayout>
              </c15:layout>
            </c:ext>
          </c:extLst>
        </c:dLbl>
      </c:pivotFmt>
      <c:pivotFmt>
        <c:idx val="2"/>
        <c:spPr>
          <a:solidFill>
            <a:schemeClr val="accent1">
              <a:shade val="58000"/>
            </a:schemeClr>
          </a:solidFill>
          <a:ln w="19050">
            <a:solidFill>
              <a:schemeClr val="lt1"/>
            </a:solidFill>
          </a:ln>
          <a:effectLst/>
        </c:spPr>
        <c:dLbl>
          <c:idx val="0"/>
          <c:layout>
            <c:manualLayout>
              <c:x val="0.18633721528791783"/>
              <c:y val="1.62995641169853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1"/>
          <c:showCatName val="1"/>
          <c:showSerName val="0"/>
          <c:showPercent val="1"/>
          <c:showBubbleSize val="0"/>
          <c:extLst>
            <c:ext xmlns:c15="http://schemas.microsoft.com/office/drawing/2012/chart" uri="{CE6537A1-D6FC-4f65-9D91-7224C49458BB}">
              <c15:layout>
                <c:manualLayout>
                  <c:w val="0.28386758117319866"/>
                  <c:h val="0.11442465275948592"/>
                </c:manualLayout>
              </c15:layout>
            </c:ext>
          </c:extLst>
        </c:dLbl>
      </c:pivotFmt>
      <c:pivotFmt>
        <c:idx val="3"/>
        <c:spPr>
          <a:solidFill>
            <a:schemeClr val="accent1">
              <a:shade val="86000"/>
            </a:schemeClr>
          </a:solidFill>
          <a:ln w="19050">
            <a:solidFill>
              <a:schemeClr val="lt1"/>
            </a:solidFill>
          </a:ln>
          <a:effectLst/>
        </c:spPr>
        <c:dLbl>
          <c:idx val="0"/>
          <c:layout>
            <c:manualLayout>
              <c:x val="2.6601115483967201E-2"/>
              <c:y val="1.563529480533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1"/>
          <c:showCatName val="1"/>
          <c:showSerName val="0"/>
          <c:showPercent val="1"/>
          <c:showBubbleSize val="0"/>
          <c:extLst>
            <c:ext xmlns:c15="http://schemas.microsoft.com/office/drawing/2012/chart" uri="{CE6537A1-D6FC-4f65-9D91-7224C49458BB}">
              <c15:layout>
                <c:manualLayout>
                  <c:w val="0.23239337024424481"/>
                  <c:h val="0.11442465275948592"/>
                </c:manualLayout>
              </c15:layout>
            </c:ext>
          </c:extLst>
        </c:dLbl>
      </c:pivotFmt>
      <c:pivotFmt>
        <c:idx val="4"/>
        <c:spPr>
          <a:solidFill>
            <a:schemeClr val="accent1">
              <a:tint val="86000"/>
            </a:schemeClr>
          </a:solidFill>
          <a:ln w="19050">
            <a:solidFill>
              <a:schemeClr val="lt1"/>
            </a:solidFill>
          </a:ln>
          <a:effectLst/>
        </c:spPr>
        <c:dLbl>
          <c:idx val="0"/>
          <c:layout>
            <c:manualLayout>
              <c:x val="-0.11216202658970224"/>
              <c:y val="-3.31784308211473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1"/>
          <c:showCatName val="1"/>
          <c:showSerName val="0"/>
          <c:showPercent val="1"/>
          <c:showBubbleSize val="0"/>
          <c:extLst>
            <c:ext xmlns:c15="http://schemas.microsoft.com/office/drawing/2012/chart" uri="{CE6537A1-D6FC-4f65-9D91-7224C49458BB}">
              <c15:layout>
                <c:manualLayout>
                  <c:w val="0.27889708424848669"/>
                  <c:h val="0.16476343191329215"/>
                </c:manualLayout>
              </c15:layout>
            </c:ext>
          </c:extLst>
        </c:dLbl>
      </c:pivotFmt>
      <c:pivotFmt>
        <c:idx val="5"/>
        <c:spPr>
          <a:solidFill>
            <a:schemeClr val="accent1">
              <a:tint val="54000"/>
            </a:schemeClr>
          </a:solidFill>
          <a:ln w="19050">
            <a:solidFill>
              <a:schemeClr val="lt1"/>
            </a:solidFill>
          </a:ln>
          <a:effectLst/>
        </c:spPr>
      </c:pivotFmt>
    </c:pivotFmts>
    <c:plotArea>
      <c:layout/>
      <c:pieChart>
        <c:varyColors val="1"/>
        <c:ser>
          <c:idx val="0"/>
          <c:order val="0"/>
          <c:tx>
            <c:strRef>
              <c:f>дашборды!$R$73</c:f>
              <c:strCache>
                <c:ptCount val="1"/>
                <c:pt idx="0">
                  <c:v>Итог</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3-89A2-BC47-8C43-EEA8FBE9F905}"/>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4-89A2-BC47-8C43-EEA8FBE9F905}"/>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89A2-BC47-8C43-EEA8FBE9F905}"/>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2-89A2-BC47-8C43-EEA8FBE9F905}"/>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0310-5B44-ABF8-1CDA17861624}"/>
              </c:ext>
            </c:extLst>
          </c:dPt>
          <c:dLbls>
            <c:dLbl>
              <c:idx val="0"/>
              <c:layout>
                <c:manualLayout>
                  <c:x val="0.18633721528791783"/>
                  <c:y val="1.6299564116985375E-2"/>
                </c:manualLayout>
              </c:layout>
              <c:showLegendKey val="0"/>
              <c:showVal val="1"/>
              <c:showCatName val="1"/>
              <c:showSerName val="0"/>
              <c:showPercent val="1"/>
              <c:showBubbleSize val="0"/>
              <c:extLst>
                <c:ext xmlns:c15="http://schemas.microsoft.com/office/drawing/2012/chart" uri="{CE6537A1-D6FC-4f65-9D91-7224C49458BB}">
                  <c15:layout>
                    <c:manualLayout>
                      <c:w val="0.28386758117319866"/>
                      <c:h val="0.11442465275948592"/>
                    </c:manualLayout>
                  </c15:layout>
                </c:ext>
                <c:ext xmlns:c16="http://schemas.microsoft.com/office/drawing/2014/chart" uri="{C3380CC4-5D6E-409C-BE32-E72D297353CC}">
                  <c16:uniqueId val="{00000003-89A2-BC47-8C43-EEA8FBE9F905}"/>
                </c:ext>
              </c:extLst>
            </c:dLbl>
            <c:dLbl>
              <c:idx val="1"/>
              <c:layout>
                <c:manualLayout>
                  <c:x val="2.6601115483967201E-2"/>
                  <c:y val="1.56352948053382E-2"/>
                </c:manualLayout>
              </c:layout>
              <c:showLegendKey val="0"/>
              <c:showVal val="1"/>
              <c:showCatName val="1"/>
              <c:showSerName val="0"/>
              <c:showPercent val="1"/>
              <c:showBubbleSize val="0"/>
              <c:extLst>
                <c:ext xmlns:c15="http://schemas.microsoft.com/office/drawing/2012/chart" uri="{CE6537A1-D6FC-4f65-9D91-7224C49458BB}">
                  <c15:layout>
                    <c:manualLayout>
                      <c:w val="0.23239337024424481"/>
                      <c:h val="0.11442465275948592"/>
                    </c:manualLayout>
                  </c15:layout>
                </c:ext>
                <c:ext xmlns:c16="http://schemas.microsoft.com/office/drawing/2014/chart" uri="{C3380CC4-5D6E-409C-BE32-E72D297353CC}">
                  <c16:uniqueId val="{00000004-89A2-BC47-8C43-EEA8FBE9F905}"/>
                </c:ext>
              </c:extLst>
            </c:dLbl>
            <c:dLbl>
              <c:idx val="2"/>
              <c:layout>
                <c:manualLayout>
                  <c:x val="-0.11216202658970224"/>
                  <c:y val="-3.3178430821147353E-2"/>
                </c:manualLayout>
              </c:layout>
              <c:showLegendKey val="0"/>
              <c:showVal val="1"/>
              <c:showCatName val="1"/>
              <c:showSerName val="0"/>
              <c:showPercent val="1"/>
              <c:showBubbleSize val="0"/>
              <c:extLst>
                <c:ext xmlns:c15="http://schemas.microsoft.com/office/drawing/2012/chart" uri="{CE6537A1-D6FC-4f65-9D91-7224C49458BB}">
                  <c15:layout>
                    <c:manualLayout>
                      <c:w val="0.27889708424848669"/>
                      <c:h val="0.16476343191329215"/>
                    </c:manualLayout>
                  </c15:layout>
                </c:ext>
                <c:ext xmlns:c16="http://schemas.microsoft.com/office/drawing/2014/chart" uri="{C3380CC4-5D6E-409C-BE32-E72D297353CC}">
                  <c16:uniqueId val="{00000005-89A2-BC47-8C43-EEA8FBE9F905}"/>
                </c:ext>
              </c:extLst>
            </c:dLbl>
            <c:dLbl>
              <c:idx val="3"/>
              <c:layout>
                <c:manualLayout>
                  <c:x val="1.1305026300997968E-3"/>
                  <c:y val="-0.14293939820022497"/>
                </c:manualLayout>
              </c:layout>
              <c:showLegendKey val="0"/>
              <c:showVal val="1"/>
              <c:showCatName val="1"/>
              <c:showSerName val="0"/>
              <c:showPercent val="1"/>
              <c:showBubbleSize val="0"/>
              <c:extLst>
                <c:ext xmlns:c15="http://schemas.microsoft.com/office/drawing/2012/chart" uri="{CE6537A1-D6FC-4f65-9D91-7224C49458BB}">
                  <c15:layout>
                    <c:manualLayout>
                      <c:w val="0.34022896868492652"/>
                      <c:h val="0.16476343191329215"/>
                    </c:manualLayout>
                  </c15:layout>
                </c:ext>
                <c:ext xmlns:c16="http://schemas.microsoft.com/office/drawing/2014/chart" uri="{C3380CC4-5D6E-409C-BE32-E72D297353CC}">
                  <c16:uniqueId val="{00000002-89A2-BC47-8C43-EEA8FBE9F90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дашборды!$Q$74:$Q$79</c:f>
              <c:strCache>
                <c:ptCount val="5"/>
                <c:pt idx="0">
                  <c:v>В диапазоне</c:v>
                </c:pt>
                <c:pt idx="1">
                  <c:v>Минимум</c:v>
                </c:pt>
                <c:pt idx="2">
                  <c:v>Ниже минимума</c:v>
                </c:pt>
                <c:pt idx="3">
                  <c:v>Предупреждение</c:v>
                </c:pt>
                <c:pt idx="4">
                  <c:v>Максимум</c:v>
                </c:pt>
              </c:strCache>
            </c:strRef>
          </c:cat>
          <c:val>
            <c:numRef>
              <c:f>дашборды!$R$74:$R$79</c:f>
              <c:numCache>
                <c:formatCode>General</c:formatCode>
                <c:ptCount val="5"/>
                <c:pt idx="0">
                  <c:v>6</c:v>
                </c:pt>
                <c:pt idx="1">
                  <c:v>86</c:v>
                </c:pt>
                <c:pt idx="2">
                  <c:v>63</c:v>
                </c:pt>
                <c:pt idx="3">
                  <c:v>63</c:v>
                </c:pt>
                <c:pt idx="4">
                  <c:v>19</c:v>
                </c:pt>
              </c:numCache>
            </c:numRef>
          </c:val>
          <c:extLst>
            <c:ext xmlns:c16="http://schemas.microsoft.com/office/drawing/2014/chart" uri="{C3380CC4-5D6E-409C-BE32-E72D297353CC}">
              <c16:uniqueId val="{00000000-89A2-BC47-8C43-EEA8FBE9F905}"/>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3"/>
    </mc:Choice>
    <mc:Fallback>
      <c:style val="3"/>
    </mc:Fallback>
  </mc:AlternateContent>
  <c:pivotSource>
    <c:name>[данные.xlsx]дашборды!Сводная таблица1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Доли выплат штрафов по видам лиц (руб)</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65000"/>
            </a:schemeClr>
          </a:solidFill>
          <a:ln w="19050">
            <a:solidFill>
              <a:schemeClr val="lt1"/>
            </a:solidFill>
          </a:ln>
          <a:effectLst/>
        </c:spPr>
        <c:dLbl>
          <c:idx val="0"/>
          <c:layout>
            <c:manualLayout>
              <c:x val="0.11869344965296294"/>
              <c:y val="1.99998450847544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409978262202461"/>
              <c:y val="-1.56361121207696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tint val="6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bestFit"/>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дашборды!$O$45</c:f>
              <c:strCache>
                <c:ptCount val="1"/>
                <c:pt idx="0">
                  <c:v>Итог</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3-94C2-3640-BE89-D9020BF66CBF}"/>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2-94C2-3640-BE89-D9020BF66CBF}"/>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4-94C2-3640-BE89-D9020BF66CBF}"/>
              </c:ext>
            </c:extLst>
          </c:dPt>
          <c:dLbls>
            <c:dLbl>
              <c:idx val="0"/>
              <c:layout>
                <c:manualLayout>
                  <c:x val="0.11869344965296294"/>
                  <c:y val="1.9999845084754417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4C2-3640-BE89-D9020BF66CBF}"/>
                </c:ext>
              </c:extLst>
            </c:dLbl>
            <c:dLbl>
              <c:idx val="1"/>
              <c:layout>
                <c:manualLayout>
                  <c:x val="-0.10409978262202461"/>
                  <c:y val="-1.5636112120769631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4C2-3640-BE89-D9020BF66CBF}"/>
                </c:ext>
              </c:extLst>
            </c:dLbl>
            <c:dLbl>
              <c:idx val="2"/>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94C2-3640-BE89-D9020BF66CB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дашборды!$N$46:$N$49</c:f>
              <c:strCache>
                <c:ptCount val="3"/>
                <c:pt idx="0">
                  <c:v>Должностное лицо</c:v>
                </c:pt>
                <c:pt idx="1">
                  <c:v>Гражданин</c:v>
                </c:pt>
                <c:pt idx="2">
                  <c:v>Юридическое лицо</c:v>
                </c:pt>
              </c:strCache>
            </c:strRef>
          </c:cat>
          <c:val>
            <c:numRef>
              <c:f>дашборды!$O$46:$O$49</c:f>
              <c:numCache>
                <c:formatCode>General</c:formatCode>
                <c:ptCount val="3"/>
                <c:pt idx="0">
                  <c:v>30000</c:v>
                </c:pt>
                <c:pt idx="1">
                  <c:v>821000</c:v>
                </c:pt>
                <c:pt idx="2">
                  <c:v>68820000</c:v>
                </c:pt>
              </c:numCache>
            </c:numRef>
          </c:val>
          <c:extLst>
            <c:ext xmlns:c16="http://schemas.microsoft.com/office/drawing/2014/chart" uri="{C3380CC4-5D6E-409C-BE32-E72D297353CC}">
              <c16:uniqueId val="{00000000-94C2-3640-BE89-D9020BF66CBF}"/>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3"/>
    </mc:Choice>
    <mc:Fallback>
      <c:style val="3"/>
    </mc:Fallback>
  </mc:AlternateContent>
  <c:pivotSource>
    <c:name>[данные.xlsx]дашборды!Сводная таблица2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Доли</a:t>
            </a:r>
            <a:r>
              <a:rPr lang="ru-RU" baseline="0"/>
              <a:t> админ дел по видам лиц </a:t>
            </a:r>
            <a:endParaRPr lang="ru-R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tint val="65000"/>
            </a:schemeClr>
          </a:solidFill>
          <a:ln w="19050">
            <a:solidFill>
              <a:schemeClr val="lt1"/>
            </a:solidFill>
          </a:ln>
          <a:effectLst/>
        </c:spPr>
      </c:pivotFmt>
      <c:pivotFmt>
        <c:idx val="2"/>
        <c:spPr>
          <a:solidFill>
            <a:schemeClr val="accent1">
              <a:shade val="65000"/>
            </a:schemeClr>
          </a:solidFill>
          <a:ln w="19050">
            <a:solidFill>
              <a:schemeClr val="lt1"/>
            </a:solidFill>
          </a:ln>
          <a:effectLst/>
        </c:spPr>
      </c:pivotFmt>
    </c:pivotFmts>
    <c:plotArea>
      <c:layout/>
      <c:pieChart>
        <c:varyColors val="1"/>
        <c:ser>
          <c:idx val="0"/>
          <c:order val="0"/>
          <c:tx>
            <c:strRef>
              <c:f>дашборды!$R$87</c:f>
              <c:strCache>
                <c:ptCount val="1"/>
                <c:pt idx="0">
                  <c:v>Итог</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3-53E3-7941-A3CA-1E6A7439BB1F}"/>
              </c:ext>
            </c:extLst>
          </c:dPt>
          <c:dPt>
            <c:idx val="1"/>
            <c:bubble3D val="0"/>
            <c:spPr>
              <a:solidFill>
                <a:schemeClr val="accent1"/>
              </a:solidFill>
              <a:ln w="19050">
                <a:solidFill>
                  <a:schemeClr val="lt1"/>
                </a:solidFill>
              </a:ln>
              <a:effectLst/>
            </c:spPr>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2-53E3-7941-A3CA-1E6A7439BB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дашборды!$Q$88:$Q$91</c:f>
              <c:strCache>
                <c:ptCount val="3"/>
                <c:pt idx="0">
                  <c:v>Гражданин</c:v>
                </c:pt>
                <c:pt idx="1">
                  <c:v>Должностное лицо</c:v>
                </c:pt>
                <c:pt idx="2">
                  <c:v>Юридическое лицо</c:v>
                </c:pt>
              </c:strCache>
            </c:strRef>
          </c:cat>
          <c:val>
            <c:numRef>
              <c:f>дашборды!$R$88:$R$91</c:f>
              <c:numCache>
                <c:formatCode>General</c:formatCode>
                <c:ptCount val="3"/>
                <c:pt idx="0">
                  <c:v>211</c:v>
                </c:pt>
                <c:pt idx="1">
                  <c:v>1</c:v>
                </c:pt>
                <c:pt idx="2">
                  <c:v>237</c:v>
                </c:pt>
              </c:numCache>
            </c:numRef>
          </c:val>
          <c:extLst>
            <c:ext xmlns:c16="http://schemas.microsoft.com/office/drawing/2014/chart" uri="{C3380CC4-5D6E-409C-BE32-E72D297353CC}">
              <c16:uniqueId val="{00000000-53E3-7941-A3CA-1E6A7439BB1F}"/>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152400</xdr:colOff>
      <xdr:row>1</xdr:row>
      <xdr:rowOff>12700</xdr:rowOff>
    </xdr:from>
    <xdr:to>
      <xdr:col>13</xdr:col>
      <xdr:colOff>1003299</xdr:colOff>
      <xdr:row>8</xdr:row>
      <xdr:rowOff>2518</xdr:rowOff>
    </xdr:to>
    <mc:AlternateContent xmlns:mc="http://schemas.openxmlformats.org/markup-compatibility/2006" xmlns:tsle="http://schemas.microsoft.com/office/drawing/2012/timeslicer">
      <mc:Choice Requires="tsle">
        <xdr:graphicFrame macro="">
          <xdr:nvGraphicFramePr>
            <xdr:cNvPr id="2" name="Дата постановления">
              <a:extLst>
                <a:ext uri="{FF2B5EF4-FFF2-40B4-BE49-F238E27FC236}">
                  <a16:creationId xmlns:a16="http://schemas.microsoft.com/office/drawing/2014/main" id="{FC35C248-81F2-F9E5-5CE5-ED8C23A3672A}"/>
                </a:ext>
              </a:extLst>
            </xdr:cNvPr>
            <xdr:cNvGraphicFramePr/>
          </xdr:nvGraphicFramePr>
          <xdr:xfrm>
            <a:off x="0" y="0"/>
            <a:ext cx="0" cy="0"/>
          </xdr:xfrm>
          <a:graphic>
            <a:graphicData uri="http://schemas.microsoft.com/office/drawing/2012/timeslicer">
              <tsle:timeslicer name="Дата постановления"/>
            </a:graphicData>
          </a:graphic>
        </xdr:graphicFrame>
      </mc:Choice>
      <mc:Fallback xmlns="">
        <xdr:sp macro="" textlink="">
          <xdr:nvSpPr>
            <xdr:cNvPr id="0" name=""/>
            <xdr:cNvSpPr>
              <a:spLocks noTextEdit="1"/>
            </xdr:cNvSpPr>
          </xdr:nvSpPr>
          <xdr:spPr>
            <a:xfrm>
              <a:off x="20269200" y="198967"/>
              <a:ext cx="3357035" cy="1291166"/>
            </a:xfrm>
            <a:prstGeom prst="rect">
              <a:avLst/>
            </a:prstGeom>
            <a:solidFill>
              <a:prstClr val="white"/>
            </a:solidFill>
            <a:ln w="1">
              <a:solidFill>
                <a:prstClr val="green"/>
              </a:solidFill>
            </a:ln>
          </xdr:spPr>
          <xdr:txBody>
            <a:bodyPr vertOverflow="clip" horzOverflow="clip"/>
            <a:lstStyle/>
            <a:p>
              <a:r>
                <a:rPr lang="ru-RU" sz="1100"/>
                <a:t>Временная шкала: работает в Excel 2013 и более поздних версиях. Не перемещайте ее и не изменяйте ее размер.</a:t>
              </a:r>
            </a:p>
          </xdr:txBody>
        </xdr:sp>
      </mc:Fallback>
    </mc:AlternateContent>
    <xdr:clientData/>
  </xdr:twoCellAnchor>
  <xdr:twoCellAnchor>
    <xdr:from>
      <xdr:col>3</xdr:col>
      <xdr:colOff>241300</xdr:colOff>
      <xdr:row>0</xdr:row>
      <xdr:rowOff>184150</xdr:rowOff>
    </xdr:from>
    <xdr:to>
      <xdr:col>8</xdr:col>
      <xdr:colOff>685800</xdr:colOff>
      <xdr:row>15</xdr:row>
      <xdr:rowOff>69850</xdr:rowOff>
    </xdr:to>
    <xdr:graphicFrame macro="">
      <xdr:nvGraphicFramePr>
        <xdr:cNvPr id="3" name="Диаграмма 2">
          <a:extLst>
            <a:ext uri="{FF2B5EF4-FFF2-40B4-BE49-F238E27FC236}">
              <a16:creationId xmlns:a16="http://schemas.microsoft.com/office/drawing/2014/main" id="{BDBFE9E1-0495-D2DF-2F7C-4B49B581A8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800100</xdr:colOff>
      <xdr:row>8</xdr:row>
      <xdr:rowOff>139700</xdr:rowOff>
    </xdr:from>
    <xdr:to>
      <xdr:col>11</xdr:col>
      <xdr:colOff>584200</xdr:colOff>
      <xdr:row>21</xdr:row>
      <xdr:rowOff>92069</xdr:rowOff>
    </xdr:to>
    <mc:AlternateContent xmlns:mc="http://schemas.openxmlformats.org/markup-compatibility/2006" xmlns:a14="http://schemas.microsoft.com/office/drawing/2010/main">
      <mc:Choice Requires="a14">
        <xdr:graphicFrame macro="">
          <xdr:nvGraphicFramePr>
            <xdr:cNvPr id="4" name="Тип лица 1">
              <a:extLst>
                <a:ext uri="{FF2B5EF4-FFF2-40B4-BE49-F238E27FC236}">
                  <a16:creationId xmlns:a16="http://schemas.microsoft.com/office/drawing/2014/main" id="{A92FAD93-4F71-302D-F682-477C82D44CCD}"/>
                </a:ext>
              </a:extLst>
            </xdr:cNvPr>
            <xdr:cNvGraphicFramePr/>
          </xdr:nvGraphicFramePr>
          <xdr:xfrm>
            <a:off x="0" y="0"/>
            <a:ext cx="0" cy="0"/>
          </xdr:xfrm>
          <a:graphic>
            <a:graphicData uri="http://schemas.microsoft.com/office/drawing/2010/slicer">
              <sle:slicer xmlns:sle="http://schemas.microsoft.com/office/drawing/2010/slicer" name="Тип лица 1"/>
            </a:graphicData>
          </a:graphic>
        </xdr:graphicFrame>
      </mc:Choice>
      <mc:Fallback xmlns="">
        <xdr:sp macro="" textlink="">
          <xdr:nvSpPr>
            <xdr:cNvPr id="0" name=""/>
            <xdr:cNvSpPr>
              <a:spLocks noTextEdit="1"/>
            </xdr:cNvSpPr>
          </xdr:nvSpPr>
          <xdr:spPr>
            <a:xfrm>
              <a:off x="20112567" y="1629833"/>
              <a:ext cx="1841500" cy="2373836"/>
            </a:xfrm>
            <a:prstGeom prst="rect">
              <a:avLst/>
            </a:prstGeom>
            <a:solidFill>
              <a:prstClr val="white"/>
            </a:solidFill>
            <a:ln w="1">
              <a:solidFill>
                <a:prstClr val="green"/>
              </a:solidFill>
            </a:ln>
          </xdr:spPr>
          <xdr:txBody>
            <a:bodyPr vertOverflow="clip" horzOverflow="clip"/>
            <a:lstStyle/>
            <a:p>
              <a:r>
                <a:rPr lang="ru-RU" sz="1100"/>
                <a:t>Эта фигура представляет срез. Срезы поддерживаются только в Excel 2010 и более поздних версиях.
Если фигура была изменена в более ранней версии Excel или книга была сохранена в Excel 2003 или более ранней версии, использование среза невозможно.</a:t>
              </a:r>
            </a:p>
          </xdr:txBody>
        </xdr:sp>
      </mc:Fallback>
    </mc:AlternateContent>
    <xdr:clientData/>
  </xdr:twoCellAnchor>
  <xdr:twoCellAnchor editAs="oneCell">
    <xdr:from>
      <xdr:col>11</xdr:col>
      <xdr:colOff>190500</xdr:colOff>
      <xdr:row>8</xdr:row>
      <xdr:rowOff>139700</xdr:rowOff>
    </xdr:from>
    <xdr:to>
      <xdr:col>13</xdr:col>
      <xdr:colOff>774700</xdr:colOff>
      <xdr:row>21</xdr:row>
      <xdr:rowOff>92069</xdr:rowOff>
    </xdr:to>
    <mc:AlternateContent xmlns:mc="http://schemas.openxmlformats.org/markup-compatibility/2006" xmlns:a14="http://schemas.microsoft.com/office/drawing/2010/main">
      <mc:Choice Requires="a14">
        <xdr:graphicFrame macro="">
          <xdr:nvGraphicFramePr>
            <xdr:cNvPr id="5" name="Штраф факт 1">
              <a:extLst>
                <a:ext uri="{FF2B5EF4-FFF2-40B4-BE49-F238E27FC236}">
                  <a16:creationId xmlns:a16="http://schemas.microsoft.com/office/drawing/2014/main" id="{A962E24A-D619-E927-2E4B-15F98D4358BD}"/>
                </a:ext>
              </a:extLst>
            </xdr:cNvPr>
            <xdr:cNvGraphicFramePr/>
          </xdr:nvGraphicFramePr>
          <xdr:xfrm>
            <a:off x="0" y="0"/>
            <a:ext cx="0" cy="0"/>
          </xdr:xfrm>
          <a:graphic>
            <a:graphicData uri="http://schemas.microsoft.com/office/drawing/2010/slicer">
              <sle:slicer xmlns:sle="http://schemas.microsoft.com/office/drawing/2010/slicer" name="Штраф факт 1"/>
            </a:graphicData>
          </a:graphic>
        </xdr:graphicFrame>
      </mc:Choice>
      <mc:Fallback xmlns="">
        <xdr:sp macro="" textlink="">
          <xdr:nvSpPr>
            <xdr:cNvPr id="0" name=""/>
            <xdr:cNvSpPr>
              <a:spLocks noTextEdit="1"/>
            </xdr:cNvSpPr>
          </xdr:nvSpPr>
          <xdr:spPr>
            <a:xfrm>
              <a:off x="21560367" y="1629833"/>
              <a:ext cx="1837267" cy="2373836"/>
            </a:xfrm>
            <a:prstGeom prst="rect">
              <a:avLst/>
            </a:prstGeom>
            <a:solidFill>
              <a:prstClr val="white"/>
            </a:solidFill>
            <a:ln w="1">
              <a:solidFill>
                <a:prstClr val="green"/>
              </a:solidFill>
            </a:ln>
          </xdr:spPr>
          <xdr:txBody>
            <a:bodyPr vertOverflow="clip" horzOverflow="clip"/>
            <a:lstStyle/>
            <a:p>
              <a:r>
                <a:rPr lang="ru-RU" sz="1100"/>
                <a:t>Эта фигура представляет срез. Срезы поддерживаются только в Excel 2010 и более поздних версиях.
Если фигура была изменена в более ранней версии Excel или книга была сохранена в Excel 2003 или более ранней версии, использование среза невозможно.</a:t>
              </a:r>
            </a:p>
          </xdr:txBody>
        </xdr:sp>
      </mc:Fallback>
    </mc:AlternateContent>
    <xdr:clientData/>
  </xdr:twoCellAnchor>
  <xdr:twoCellAnchor>
    <xdr:from>
      <xdr:col>2</xdr:col>
      <xdr:colOff>1155987</xdr:colOff>
      <xdr:row>55</xdr:row>
      <xdr:rowOff>72159</xdr:rowOff>
    </xdr:from>
    <xdr:to>
      <xdr:col>4</xdr:col>
      <xdr:colOff>3894667</xdr:colOff>
      <xdr:row>76</xdr:row>
      <xdr:rowOff>15010</xdr:rowOff>
    </xdr:to>
    <xdr:graphicFrame macro="">
      <xdr:nvGraphicFramePr>
        <xdr:cNvPr id="10" name="Диаграмма 9">
          <a:extLst>
            <a:ext uri="{FF2B5EF4-FFF2-40B4-BE49-F238E27FC236}">
              <a16:creationId xmlns:a16="http://schemas.microsoft.com/office/drawing/2014/main" id="{BDEF378B-3788-093B-134B-977DC963B4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890489</xdr:colOff>
      <xdr:row>64</xdr:row>
      <xdr:rowOff>13419</xdr:rowOff>
    </xdr:from>
    <xdr:to>
      <xdr:col>6</xdr:col>
      <xdr:colOff>556739</xdr:colOff>
      <xdr:row>77</xdr:row>
      <xdr:rowOff>3311</xdr:rowOff>
    </xdr:to>
    <mc:AlternateContent xmlns:mc="http://schemas.openxmlformats.org/markup-compatibility/2006" xmlns:a14="http://schemas.microsoft.com/office/drawing/2010/main">
      <mc:Choice Requires="a14">
        <xdr:graphicFrame macro="">
          <xdr:nvGraphicFramePr>
            <xdr:cNvPr id="11" name="Статья КоАП 2">
              <a:extLst>
                <a:ext uri="{FF2B5EF4-FFF2-40B4-BE49-F238E27FC236}">
                  <a16:creationId xmlns:a16="http://schemas.microsoft.com/office/drawing/2014/main" id="{69C5006B-0429-B76B-D37C-E3D6DCA741AF}"/>
                </a:ext>
              </a:extLst>
            </xdr:cNvPr>
            <xdr:cNvGraphicFramePr/>
          </xdr:nvGraphicFramePr>
          <xdr:xfrm>
            <a:off x="0" y="0"/>
            <a:ext cx="0" cy="0"/>
          </xdr:xfrm>
          <a:graphic>
            <a:graphicData uri="http://schemas.microsoft.com/office/drawing/2010/slicer">
              <sle:slicer xmlns:sle="http://schemas.microsoft.com/office/drawing/2010/slicer" name="Статья КоАП 2"/>
            </a:graphicData>
          </a:graphic>
        </xdr:graphicFrame>
      </mc:Choice>
      <mc:Fallback xmlns="">
        <xdr:sp macro="" textlink="">
          <xdr:nvSpPr>
            <xdr:cNvPr id="0" name=""/>
            <xdr:cNvSpPr>
              <a:spLocks noTextEdit="1"/>
            </xdr:cNvSpPr>
          </xdr:nvSpPr>
          <xdr:spPr>
            <a:xfrm>
              <a:off x="16977156" y="11934486"/>
              <a:ext cx="1816782" cy="2411358"/>
            </a:xfrm>
            <a:prstGeom prst="rect">
              <a:avLst/>
            </a:prstGeom>
            <a:solidFill>
              <a:prstClr val="white"/>
            </a:solidFill>
            <a:ln w="1">
              <a:solidFill>
                <a:prstClr val="green"/>
              </a:solidFill>
            </a:ln>
          </xdr:spPr>
          <xdr:txBody>
            <a:bodyPr vertOverflow="clip" horzOverflow="clip"/>
            <a:lstStyle/>
            <a:p>
              <a:r>
                <a:rPr lang="ru-RU" sz="1100"/>
                <a:t>Эта фигура представляет срез. Срезы поддерживаются только в Excel 2010 и более поздних версиях.
Если фигура была изменена в более ранней версии Excel или книга была сохранена в Excel 2003 или более ранней версии, использование среза невозможно.</a:t>
              </a:r>
            </a:p>
          </xdr:txBody>
        </xdr:sp>
      </mc:Fallback>
    </mc:AlternateContent>
    <xdr:clientData/>
  </xdr:twoCellAnchor>
  <xdr:twoCellAnchor editAs="oneCell">
    <xdr:from>
      <xdr:col>5</xdr:col>
      <xdr:colOff>811068</xdr:colOff>
      <xdr:row>50</xdr:row>
      <xdr:rowOff>181072</xdr:rowOff>
    </xdr:from>
    <xdr:to>
      <xdr:col>6</xdr:col>
      <xdr:colOff>489336</xdr:colOff>
      <xdr:row>63</xdr:row>
      <xdr:rowOff>170963</xdr:rowOff>
    </xdr:to>
    <mc:AlternateContent xmlns:mc="http://schemas.openxmlformats.org/markup-compatibility/2006" xmlns:a14="http://schemas.microsoft.com/office/drawing/2010/main">
      <mc:Choice Requires="a14">
        <xdr:graphicFrame macro="">
          <xdr:nvGraphicFramePr>
            <xdr:cNvPr id="12" name="Штраф факт 3">
              <a:extLst>
                <a:ext uri="{FF2B5EF4-FFF2-40B4-BE49-F238E27FC236}">
                  <a16:creationId xmlns:a16="http://schemas.microsoft.com/office/drawing/2014/main" id="{E748BE34-7A96-9C96-CCF3-F7ECC2F8A9D0}"/>
                </a:ext>
              </a:extLst>
            </xdr:cNvPr>
            <xdr:cNvGraphicFramePr/>
          </xdr:nvGraphicFramePr>
          <xdr:xfrm>
            <a:off x="0" y="0"/>
            <a:ext cx="0" cy="0"/>
          </xdr:xfrm>
          <a:graphic>
            <a:graphicData uri="http://schemas.microsoft.com/office/drawing/2010/slicer">
              <sle:slicer xmlns:sle="http://schemas.microsoft.com/office/drawing/2010/slicer" name="Штраф факт 3"/>
            </a:graphicData>
          </a:graphic>
        </xdr:graphicFrame>
      </mc:Choice>
      <mc:Fallback xmlns="">
        <xdr:sp macro="" textlink="">
          <xdr:nvSpPr>
            <xdr:cNvPr id="0" name=""/>
            <xdr:cNvSpPr>
              <a:spLocks noTextEdit="1"/>
            </xdr:cNvSpPr>
          </xdr:nvSpPr>
          <xdr:spPr>
            <a:xfrm>
              <a:off x="16897735" y="9494405"/>
              <a:ext cx="1828800" cy="2411358"/>
            </a:xfrm>
            <a:prstGeom prst="rect">
              <a:avLst/>
            </a:prstGeom>
            <a:solidFill>
              <a:prstClr val="white"/>
            </a:solidFill>
            <a:ln w="1">
              <a:solidFill>
                <a:prstClr val="green"/>
              </a:solidFill>
            </a:ln>
          </xdr:spPr>
          <xdr:txBody>
            <a:bodyPr vertOverflow="clip" horzOverflow="clip"/>
            <a:lstStyle/>
            <a:p>
              <a:r>
                <a:rPr lang="ru-RU" sz="1100"/>
                <a:t>Эта фигура представляет срез. Срезы поддерживаются только в Excel 2010 и более поздних версиях.
Если фигура была изменена в более ранней версии Excel или книга была сохранена в Excel 2003 или более ранней версии, использование среза невозможно.</a:t>
              </a:r>
            </a:p>
          </xdr:txBody>
        </xdr:sp>
      </mc:Fallback>
    </mc:AlternateContent>
    <xdr:clientData/>
  </xdr:twoCellAnchor>
  <xdr:twoCellAnchor>
    <xdr:from>
      <xdr:col>4</xdr:col>
      <xdr:colOff>666911</xdr:colOff>
      <xdr:row>82</xdr:row>
      <xdr:rowOff>0</xdr:rowOff>
    </xdr:from>
    <xdr:to>
      <xdr:col>14</xdr:col>
      <xdr:colOff>248160</xdr:colOff>
      <xdr:row>102</xdr:row>
      <xdr:rowOff>141422</xdr:rowOff>
    </xdr:to>
    <xdr:graphicFrame macro="">
      <xdr:nvGraphicFramePr>
        <xdr:cNvPr id="13" name="Диаграмма 12">
          <a:extLst>
            <a:ext uri="{FF2B5EF4-FFF2-40B4-BE49-F238E27FC236}">
              <a16:creationId xmlns:a16="http://schemas.microsoft.com/office/drawing/2014/main" id="{E9BD94C1-7F6C-A559-9ACE-265F463304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2216553</xdr:colOff>
      <xdr:row>107</xdr:row>
      <xdr:rowOff>145820</xdr:rowOff>
    </xdr:from>
    <xdr:to>
      <xdr:col>12</xdr:col>
      <xdr:colOff>90948</xdr:colOff>
      <xdr:row>130</xdr:row>
      <xdr:rowOff>107336</xdr:rowOff>
    </xdr:to>
    <xdr:graphicFrame macro="">
      <xdr:nvGraphicFramePr>
        <xdr:cNvPr id="14" name="Диаграмма 13">
          <a:extLst>
            <a:ext uri="{FF2B5EF4-FFF2-40B4-BE49-F238E27FC236}">
              <a16:creationId xmlns:a16="http://schemas.microsoft.com/office/drawing/2014/main" id="{CB942FC1-7F3F-AD93-BC2E-5330449236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496836</xdr:colOff>
      <xdr:row>19</xdr:row>
      <xdr:rowOff>99298</xdr:rowOff>
    </xdr:from>
    <xdr:to>
      <xdr:col>21</xdr:col>
      <xdr:colOff>483097</xdr:colOff>
      <xdr:row>42</xdr:row>
      <xdr:rowOff>84667</xdr:rowOff>
    </xdr:to>
    <xdr:graphicFrame macro="">
      <xdr:nvGraphicFramePr>
        <xdr:cNvPr id="7" name="Диаграмма 6">
          <a:extLst>
            <a:ext uri="{FF2B5EF4-FFF2-40B4-BE49-F238E27FC236}">
              <a16:creationId xmlns:a16="http://schemas.microsoft.com/office/drawing/2014/main" id="{7435795A-22C8-0268-E9CD-E30D53921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406400</xdr:colOff>
      <xdr:row>68</xdr:row>
      <xdr:rowOff>50801</xdr:rowOff>
    </xdr:from>
    <xdr:to>
      <xdr:col>23</xdr:col>
      <xdr:colOff>338666</xdr:colOff>
      <xdr:row>83</xdr:row>
      <xdr:rowOff>1</xdr:rowOff>
    </xdr:to>
    <xdr:graphicFrame macro="">
      <xdr:nvGraphicFramePr>
        <xdr:cNvPr id="8" name="Диаграмма 7">
          <a:extLst>
            <a:ext uri="{FF2B5EF4-FFF2-40B4-BE49-F238E27FC236}">
              <a16:creationId xmlns:a16="http://schemas.microsoft.com/office/drawing/2014/main" id="{107BB1D4-E507-1BB9-4355-EEAC2C9C8E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605116</xdr:colOff>
      <xdr:row>47</xdr:row>
      <xdr:rowOff>29882</xdr:rowOff>
    </xdr:from>
    <xdr:to>
      <xdr:col>21</xdr:col>
      <xdr:colOff>418352</xdr:colOff>
      <xdr:row>65</xdr:row>
      <xdr:rowOff>86659</xdr:rowOff>
    </xdr:to>
    <xdr:graphicFrame macro="">
      <xdr:nvGraphicFramePr>
        <xdr:cNvPr id="9" name="Диаграмма 8">
          <a:extLst>
            <a:ext uri="{FF2B5EF4-FFF2-40B4-BE49-F238E27FC236}">
              <a16:creationId xmlns:a16="http://schemas.microsoft.com/office/drawing/2014/main" id="{75C9EA76-60AA-2EB6-8E22-D60763B627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283881</xdr:colOff>
      <xdr:row>86</xdr:row>
      <xdr:rowOff>14941</xdr:rowOff>
    </xdr:from>
    <xdr:to>
      <xdr:col>24</xdr:col>
      <xdr:colOff>732117</xdr:colOff>
      <xdr:row>100</xdr:row>
      <xdr:rowOff>131483</xdr:rowOff>
    </xdr:to>
    <xdr:graphicFrame macro="">
      <xdr:nvGraphicFramePr>
        <xdr:cNvPr id="6" name="Диаграмма 5">
          <a:extLst>
            <a:ext uri="{FF2B5EF4-FFF2-40B4-BE49-F238E27FC236}">
              <a16:creationId xmlns:a16="http://schemas.microsoft.com/office/drawing/2014/main" id="{FF0D45CC-6AD7-4010-2939-7ACBB01F6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83.623158680559" createdVersion="8" refreshedVersion="8" minRefreshableVersion="3" recordCount="449" xr:uid="{6304CFE9-DBE5-0248-B9DE-02F340721B2F}">
  <cacheSource type="worksheet">
    <worksheetSource ref="A1:H450" sheet="чистые данные"/>
  </cacheSource>
  <cacheFields count="10">
    <cacheField name="Номер случая" numFmtId="0">
      <sharedItems containsSemiMixedTypes="0" containsString="0" containsNumber="1" containsInteger="1" minValue="1" maxValue="437"/>
    </cacheField>
    <cacheField name="Дата постановления" numFmtId="164">
      <sharedItems containsSemiMixedTypes="0" containsNonDate="0" containsDate="1" containsString="0" minDate="2025-01-09T00:00:00" maxDate="2026-02-18T00:00:00" count="138">
        <d v="2026-02-17T00:00:00"/>
        <d v="2026-02-13T00:00:00"/>
        <d v="2026-02-10T00:00:00"/>
        <d v="2026-02-09T00:00:00"/>
        <d v="2026-02-06T00:00:00"/>
        <d v="2026-02-03T00:00:00"/>
        <d v="2026-01-30T00:00:00"/>
        <d v="2026-01-27T00:00:00"/>
        <d v="2026-01-26T00:00:00"/>
        <d v="2026-01-23T00:00:00"/>
        <d v="2026-01-19T00:00:00"/>
        <d v="2026-01-15T00:00:00"/>
        <d v="2026-01-13T00:00:00"/>
        <d v="2025-12-30T00:00:00"/>
        <d v="2025-12-29T00:00:00"/>
        <d v="2025-12-23T00:00:00"/>
        <d v="2025-12-19T00:00:00"/>
        <d v="2025-12-16T00:00:00"/>
        <d v="2025-12-15T00:00:00"/>
        <d v="2025-12-12T00:00:00"/>
        <d v="2025-12-11T00:00:00"/>
        <d v="2025-12-10T00:00:00"/>
        <d v="2025-12-09T00:00:00"/>
        <d v="2025-12-08T00:00:00"/>
        <d v="2025-12-05T00:00:00"/>
        <d v="2025-12-02T00:00:00"/>
        <d v="2025-11-28T00:00:00"/>
        <d v="2025-11-25T00:00:00"/>
        <d v="2025-11-24T00:00:00"/>
        <d v="2025-11-22T00:00:00"/>
        <d v="2025-11-21T00:00:00"/>
        <d v="2025-11-18T00:00:00"/>
        <d v="2025-11-14T00:00:00"/>
        <d v="2025-11-13T00:00:00"/>
        <d v="2025-11-12T00:00:00"/>
        <d v="2025-11-11T00:00:00"/>
        <d v="2025-11-10T00:00:00"/>
        <d v="2025-11-07T00:00:00"/>
        <d v="2025-11-06T00:00:00"/>
        <d v="2025-11-05T00:00:00"/>
        <d v="2025-11-01T00:00:00"/>
        <d v="2025-10-31T00:00:00"/>
        <d v="2025-10-28T00:00:00"/>
        <d v="2025-10-27T00:00:00"/>
        <d v="2025-10-24T00:00:00"/>
        <d v="2025-10-21T00:00:00"/>
        <d v="2025-10-20T00:00:00"/>
        <d v="2025-10-17T00:00:00"/>
        <d v="2025-10-16T00:00:00"/>
        <d v="2025-10-14T00:00:00"/>
        <d v="2025-10-10T00:00:00"/>
        <d v="2025-10-09T00:00:00"/>
        <d v="2025-10-08T00:00:00"/>
        <d v="2025-10-07T00:00:00"/>
        <d v="2025-10-03T00:00:00"/>
        <d v="2025-09-30T00:00:00"/>
        <d v="2025-09-26T00:00:00"/>
        <d v="2025-09-23T00:00:00"/>
        <d v="2025-09-22T00:00:00"/>
        <d v="2025-09-19T00:00:00"/>
        <d v="2025-09-16T00:00:00"/>
        <d v="2025-09-12T00:00:00"/>
        <d v="2025-09-09T00:00:00"/>
        <d v="2025-09-02T00:00:00"/>
        <d v="2025-08-29T00:00:00"/>
        <d v="2025-08-26T00:00:00"/>
        <d v="2025-08-25T00:00:00"/>
        <d v="2025-08-22T00:00:00"/>
        <d v="2025-08-19T00:00:00"/>
        <d v="2025-08-18T00:00:00"/>
        <d v="2025-08-15T00:00:00"/>
        <d v="2025-08-12T00:00:00"/>
        <d v="2025-08-08T00:00:00"/>
        <d v="2025-08-05T00:00:00"/>
        <d v="2025-08-04T00:00:00"/>
        <d v="2025-07-29T00:00:00"/>
        <d v="2025-07-28T00:00:00"/>
        <d v="2025-07-22T00:00:00"/>
        <d v="2025-07-18T00:00:00"/>
        <d v="2025-07-15T00:00:00"/>
        <d v="2025-07-11T00:00:00"/>
        <d v="2025-07-08T00:00:00"/>
        <d v="2025-07-04T00:00:00"/>
        <d v="2025-07-01T00:00:00"/>
        <d v="2025-06-30T00:00:00"/>
        <d v="2025-06-20T00:00:00"/>
        <d v="2025-06-18T00:00:00"/>
        <d v="2025-06-17T00:00:00"/>
        <d v="2025-06-10T00:00:00"/>
        <d v="2025-06-09T00:00:00"/>
        <d v="2025-06-06T00:00:00"/>
        <d v="2025-06-03T00:00:00"/>
        <d v="2025-05-27T00:00:00"/>
        <d v="2025-05-26T00:00:00"/>
        <d v="2025-05-23T00:00:00"/>
        <d v="2025-05-20T00:00:00"/>
        <d v="2025-05-16T00:00:00"/>
        <d v="2025-05-15T00:00:00"/>
        <d v="2025-05-13T00:00:00"/>
        <d v="2025-05-07T00:00:00"/>
        <d v="2025-05-06T00:00:00"/>
        <d v="2025-05-05T00:00:00"/>
        <d v="2025-04-29T00:00:00"/>
        <d v="2025-04-28T00:00:00"/>
        <d v="2025-04-25T00:00:00"/>
        <d v="2025-04-22T00:00:00"/>
        <d v="2025-04-18T00:00:00"/>
        <d v="2025-04-17T00:00:00"/>
        <d v="2025-04-15T00:00:00"/>
        <d v="2025-04-14T00:00:00"/>
        <d v="2025-04-11T00:00:00"/>
        <d v="2025-04-08T00:00:00"/>
        <d v="2025-04-04T00:00:00"/>
        <d v="2025-04-01T00:00:00"/>
        <d v="2025-03-28T00:00:00"/>
        <d v="2025-03-25T00:00:00"/>
        <d v="2025-03-21T00:00:00"/>
        <d v="2025-03-18T00:00:00"/>
        <d v="2025-03-17T00:00:00"/>
        <d v="2025-03-14T00:00:00"/>
        <d v="2025-03-11T00:00:00"/>
        <d v="2025-03-10T00:00:00"/>
        <d v="2025-03-04T00:00:00"/>
        <d v="2025-03-03T00:00:00"/>
        <d v="2025-02-28T00:00:00"/>
        <d v="2025-02-25T00:00:00"/>
        <d v="2025-02-24T00:00:00"/>
        <d v="2025-02-21T00:00:00"/>
        <d v="2025-02-18T00:00:00"/>
        <d v="2025-02-17T00:00:00"/>
        <d v="2025-02-14T00:00:00"/>
        <d v="2025-02-11T00:00:00"/>
        <d v="2025-02-10T00:00:00"/>
        <d v="2025-01-28T00:00:00"/>
        <d v="2025-01-27T00:00:00"/>
        <d v="2025-01-21T00:00:00"/>
        <d v="2025-01-10T00:00:00"/>
        <d v="2025-01-09T00:00:00"/>
      </sharedItems>
      <fieldGroup par="9"/>
    </cacheField>
    <cacheField name="Субъект" numFmtId="0">
      <sharedItems/>
    </cacheField>
    <cacheField name="Тип лица" numFmtId="0">
      <sharedItems count="3">
        <s v="Юридическое лицо"/>
        <s v="Гражданин"/>
        <s v="Должностное лицо"/>
      </sharedItems>
    </cacheField>
    <cacheField name="Статья КоАП" numFmtId="0">
      <sharedItems/>
    </cacheField>
    <cacheField name="Штраф факт" numFmtId="2">
      <sharedItems containsMixedTypes="1" containsNumber="1" containsInteger="1" minValue="3000" maxValue="1000000" count="19">
        <n v="700000"/>
        <n v="320000"/>
        <s v="предупреждение"/>
        <n v="1000000"/>
        <n v="350000"/>
        <n v="250000"/>
        <n v="300000"/>
        <n v="3000"/>
        <n v="30000"/>
        <n v="150000"/>
        <n v="500000"/>
        <n v="400000"/>
        <n v="10000"/>
        <n v="160000"/>
        <n v="50000"/>
        <n v="20000"/>
        <n v="550000"/>
        <n v="5000"/>
        <n v="100000"/>
      </sharedItems>
    </cacheField>
    <cacheField name="мин" numFmtId="0">
      <sharedItems containsSemiMixedTypes="0" containsString="0" containsNumber="1" containsInteger="1" minValue="1000" maxValue="700000"/>
    </cacheField>
    <cacheField name="макс" numFmtId="0">
      <sharedItems containsMixedTypes="1" containsNumber="1" containsInteger="1" minValue="3000" maxValue="1000000"/>
    </cacheField>
    <cacheField name="Месяцы (Дата постановления)" numFmtId="0" databaseField="0">
      <fieldGroup base="1">
        <rangePr groupBy="months" startDate="2025-01-09T00:00:00" endDate="2026-02-18T00:00:00"/>
        <groupItems count="14">
          <s v="&lt;09.01.2025"/>
          <s v="янв"/>
          <s v="февр"/>
          <s v="март"/>
          <s v="апр"/>
          <s v="май"/>
          <s v="июнь"/>
          <s v="июль"/>
          <s v="авг"/>
          <s v="сент"/>
          <s v="окт"/>
          <s v="нояб"/>
          <s v="дек"/>
          <s v="&gt;18.02.2026"/>
        </groupItems>
      </fieldGroup>
    </cacheField>
    <cacheField name="Годы (Дата постановления)" numFmtId="0" databaseField="0">
      <fieldGroup base="1">
        <rangePr groupBy="years" startDate="2025-01-09T00:00:00" endDate="2026-02-18T00:00:00"/>
        <groupItems count="4">
          <s v="&lt;09.01.2025"/>
          <s v="2025"/>
          <s v="2026"/>
          <s v="&gt;18.02.2026"/>
        </groupItems>
      </fieldGroup>
    </cacheField>
  </cacheFields>
  <extLst>
    <ext xmlns:x14="http://schemas.microsoft.com/office/spreadsheetml/2009/9/main" uri="{725AE2AE-9491-48be-B2B4-4EB974FC3084}">
      <x14:pivotCacheDefinition pivotCacheId="186857189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83.623158912036" createdVersion="8" refreshedVersion="8" minRefreshableVersion="3" recordCount="449" xr:uid="{6B1EBC38-3F17-734B-A023-D386797E9E53}">
  <cacheSource type="worksheet">
    <worksheetSource ref="A1:I450" sheet="копия"/>
  </cacheSource>
  <cacheFields count="9">
    <cacheField name="Номер случая" numFmtId="0">
      <sharedItems containsSemiMixedTypes="0" containsString="0" containsNumber="1" containsInteger="1" minValue="1" maxValue="437"/>
    </cacheField>
    <cacheField name="Дата постановления" numFmtId="164">
      <sharedItems containsSemiMixedTypes="0" containsNonDate="0" containsDate="1" containsString="0" minDate="2025-01-09T00:00:00" maxDate="2026-02-18T00:00:00"/>
    </cacheField>
    <cacheField name="Субъект" numFmtId="0">
      <sharedItems/>
    </cacheField>
    <cacheField name="Тип лица" numFmtId="0">
      <sharedItems count="3">
        <s v="Юридическое лицо"/>
        <s v="Гражданин"/>
        <s v="Должностное лицо"/>
      </sharedItems>
    </cacheField>
    <cacheField name="Статья КоАП" numFmtId="0">
      <sharedItems count="22">
        <s v="ч.9 ст.15.29 КоАП РФ"/>
        <s v="ч.6 ст.15.29 КоАП РФ"/>
        <s v="ч.12 ст.15.29 КоАП РФ"/>
        <s v="ч.5 ст.15.29 КоАП РФ"/>
        <s v="ст.15.30 КоАП РФ"/>
        <s v="ч.9 ст.19.5 КоАП РФ"/>
        <s v="ч.1 ст.19.7.3 КоАП РФ"/>
        <s v="ч.2 ст.15.19 КоАП РФ"/>
        <s v="ч.2 ст.15.29 КоАП РФ"/>
        <s v="ч.7 ст.15.29 КоАП РФ"/>
        <s v="ст.14.30 КоАП РФ"/>
        <s v="ч.2 ст.5.54 КоАП РФ"/>
        <s v="ч.1 ст.5.54 КоАП РФ"/>
        <s v="ч.4 ст.15.35 КоАП РФ"/>
        <s v="ч.2 ст.15.35 КоАП РФ"/>
        <s v="ч.7 ст.14.24 КоАП РФ"/>
        <s v="ст.15.21 КоАП РФ"/>
        <s v="ст.5.55 КоАП РФ"/>
        <s v="ч.10 ст.15.29 КоАП РФ"/>
        <s v="ст.14.29 КоАП РФ"/>
        <s v="ч.4 ст.15.19 КоАП РФ"/>
        <s v="ч.1 ст.13.25 КоАП РФ"/>
      </sharedItems>
    </cacheField>
    <cacheField name="Штраф факт" numFmtId="2">
      <sharedItems containsMixedTypes="1" containsNumber="1" containsInteger="1" minValue="3000" maxValue="1000000" count="19">
        <n v="700000"/>
        <n v="320000"/>
        <s v="предупреждение"/>
        <n v="1000000"/>
        <n v="350000"/>
        <n v="250000"/>
        <n v="300000"/>
        <n v="3000"/>
        <n v="30000"/>
        <n v="150000"/>
        <n v="500000"/>
        <n v="400000"/>
        <n v="10000"/>
        <n v="160000"/>
        <n v="50000"/>
        <n v="20000"/>
        <n v="550000"/>
        <n v="5000"/>
        <n v="100000"/>
      </sharedItems>
    </cacheField>
    <cacheField name="мин" numFmtId="0">
      <sharedItems containsSemiMixedTypes="0" containsString="0" containsNumber="1" containsInteger="1" minValue="1000" maxValue="700000"/>
    </cacheField>
    <cacheField name="макс" numFmtId="0">
      <sharedItems containsMixedTypes="1" containsNumber="1" containsInteger="1" minValue="3000" maxValue="1000000"/>
    </cacheField>
    <cacheField name="Превышышение над мин размером %/min" numFmtId="0">
      <sharedItems containsMixedTypes="1" containsNumber="1" minValue="-0.5" maxValue="9"/>
    </cacheField>
  </cacheFields>
  <extLst>
    <ext xmlns:x14="http://schemas.microsoft.com/office/spreadsheetml/2009/9/main" uri="{725AE2AE-9491-48be-B2B4-4EB974FC3084}">
      <x14:pivotCacheDefinition pivotCacheId="174386391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83.655740046299" createdVersion="8" refreshedVersion="8" minRefreshableVersion="3" recordCount="449" xr:uid="{3143D2F1-FD40-C74C-A814-845F1991369A}">
  <cacheSource type="worksheet">
    <worksheetSource ref="A1:H450" sheet="чистые данные"/>
  </cacheSource>
  <cacheFields count="10">
    <cacheField name="Номер случая" numFmtId="0">
      <sharedItems containsSemiMixedTypes="0" containsString="0" containsNumber="1" containsInteger="1" minValue="1" maxValue="437"/>
    </cacheField>
    <cacheField name="Дата постановления" numFmtId="164">
      <sharedItems containsSemiMixedTypes="0" containsNonDate="0" containsDate="1" containsString="0" minDate="2025-01-09T00:00:00" maxDate="2026-02-18T00:00:00"/>
    </cacheField>
    <cacheField name="Субъект" numFmtId="0">
      <sharedItems count="351">
        <s v="Акционерное общество «Негосударственный пенсионный фонд «Ростех»"/>
        <s v="Общество с ограниченной ответственностью «Управляющая компания_x000d__x000a_«Атон-менеджмент»"/>
        <s v="Акционерное общество_x000d__x000a_Управляющая компания «Центр Эссет Менеджмент»"/>
        <s v="АО «ИК «РИКОМ-ТРАСТ»"/>
        <s v="Акционерное общество ВИМ Инвестиции"/>
        <s v="Общество с ограниченной_x000d__x000a_ответственностью_x000d__x000a_«Управляющая компания_x000d__x000a_«Ресурс»"/>
        <s v="Общество с ограниченной ответственностью «ТрастЮнион Эссет Менеджмент»"/>
        <s v="Акционерное общество «Управляющая Компания ТРИНФИКО»"/>
        <s v="ООО «Цифра брокер»"/>
        <s v="Голубков Виктор Владимирович"/>
        <s v="генеральный директор общества с ограниченной ответственностью «Тринити Шиппинг» Ярошенко Александр Иванович"/>
        <s v="Гальямова Наталья Александровна"/>
        <s v="Чмыхало Юлия Анатольевна"/>
        <s v="Усольцева Яна Германовна"/>
        <s v="Краснова Галина Ивановна"/>
        <s v="Артамонов Валерий Геннадьевич"/>
        <s v="Манюкова Татьяна Васильевна"/>
        <s v="Доценко Марина Сергеевна"/>
        <s v="Гальямов Марсель Геральдович"/>
        <s v="Садыров Игорь Рашидович"/>
        <s v="Карчевский Павел Владимирович"/>
        <s v="Шушин Олег Игоревич"/>
        <s v="Беломытцева Наталия Сергеевна"/>
        <s v="Ретровская Нина Борисовна"/>
        <s v="Исаченко Наталия Николаевна"/>
        <s v="Беломытцев Павел Анатольевич"/>
        <s v="Зайцев Александр Олегович"/>
        <s v="Нарушева Елена Гаптелахатовна"/>
        <s v="Нарушев Андрей Иванович"/>
        <s v="ИП Панов Александр Константинович"/>
        <s v="ИП Панов Владимир Константинович"/>
        <s v="Оганезян Роман Рафикович"/>
        <s v="Клименко Артем Валерьевич"/>
        <s v="Тихомиров Вадим Владимирович"/>
        <s v="ООО &quot;Тринити Шиппинг&quot;"/>
        <s v="Бурыкин Иван Терентьевич"/>
        <s v="Колесникова Надежда Вячеславовна"/>
        <s v="Мазнев Андрей Вячеславович"/>
        <s v="Мазнев Сергей Вячеславович"/>
        <s v="Дмитриев Андрей Николаевич"/>
        <s v="Малык Герман Андреевич"/>
        <s v="Усачев Андрей Николаевич"/>
        <s v="Шушин Игорь Борисович"/>
        <s v="Шушина Татьяна Геннадьевна"/>
        <s v="Богачев Вячеслав Анатольевич"/>
        <s v="Султанаева Эльвира Дамировна"/>
        <s v="Бурыкин Иван Иванович"/>
        <s v="ООО «КВАЛИТИ»"/>
        <s v="ООО «THEДЕНЬГИ.РУ»"/>
        <s v="ООО «ПФЛ НОВЫЕ ИНВЕСТИЦИИ»"/>
        <s v="ООО «ТОЧКА ИНВЕСТИЦИИ»"/>
        <s v="Акционерное общество &quot;Частные Активы&quot;"/>
        <s v="Общество с ограниченной ответственностью Управляющая Компания &quot;Юнион Инвест Групп&quot;"/>
        <s v="Акционерное общество Негосударственный пенсионный фонд ВТБ Пенсионный фонд"/>
        <s v="Акционерное общество «АБ Капитал»"/>
        <s v="Акционерное общество «Инвестиционная компания «РИКОМ-ТРАСТ»"/>
        <s v="Общество с ограниченной ответственностью «Т-Капитал»"/>
        <s v="Общество с ограниченной ответственностью «РСХБ Управление Активами»"/>
        <s v="Акционерное общество  «Объединенное кредитное бюро»"/>
        <s v="Пивень Наталья Анатольевна"/>
        <s v="Акционерное общество «Объединенное кредитное бюро»"/>
        <s v="Пивень Демид Романович"/>
        <s v="Акционерное общество &quot;Инвестиционная компания &quot;Лидер&quot;"/>
        <s v="Кувшинова Анна Викторовна"/>
        <s v="Кувшинов Роман Сергеевич"/>
        <s v="Чамкин Михаил Александрович"/>
        <s v="ОБЩЕСТВО С ОГРАНИЧЕННОЙ ОТВЕТСТВЕННОСТЬЮ &quot;НАРОДНАЯ ИНВЕСТИЦИОННАЯ ПЛАТФОРМА&quot;"/>
        <s v="Акционерное общество «Управляющая компания «Первая»"/>
        <s v="Акционерное общество_x000d__x000a_«Контрада Капитал»"/>
        <s v="Общество с ограниченной ответственностью &quot;ТОРГОВАЯ СИСТЕМА&quot;"/>
        <s v="Кривова Надежда Юнусовна"/>
        <s v="Кривов Вадим Иванович"/>
        <s v="Общество с ограниченной_x000d__x000a_ответственностью_x000d__x000a_«Совкомбанк Управление_x000d__x000a_Активами»"/>
        <s v="Общество с ограниченной ответственностью &quot;Зитрон&quot;"/>
        <s v="Акционерное общество «НРК-Р.О.С.Т.»"/>
        <s v="Общество с ограниченной ответственностью «Бюро кредитных историй КредитИнфо»"/>
        <s v="Общество с ограниченной ответственностью «Апрель Капитал Брокер»"/>
        <s v="Акционерное общество_x000d__x000a_«Всероссийский банк_x000d__x000a_развития регионов»"/>
        <s v="Денисова Екатерина Алексеевна"/>
        <s v="Абхаликов Марсель Абдулвалеевич"/>
        <s v="Богачев Алексей Анатольевич"/>
        <s v="Акционерное общество «Управляющая компания «Парадигма»"/>
        <s v="Сысун Константин Валерьевич"/>
        <s v="Краснов Борис Владимирович"/>
        <s v="Общество с ограниченной ответственностью «МКБ Инвестиции»"/>
        <s v="Акционерное общество «Негосударственный пенсионный фонд «БЛАГОСОСТОЯНИЕ»"/>
        <s v="Акционерное общество &quot;Национальное бюро кредитных историй!"/>
        <s v="Акционерное общество «ТБанк»"/>
        <s v="Акционерное общество «Райффайзенбанк»"/>
        <s v="Общество с ограниченной ответственностью Управляющая компания «Надежное управление»"/>
        <s v="Агамирова Ламара Бегларовна"/>
        <s v="Третьякова Надежда Яковлевна"/>
        <s v="ООО УК «ФИН-Партнер»"/>
        <s v="Акционерное общество «СОЛИД Менеджмент»"/>
        <s v="АО «НРК-Р.О.С.Т.»"/>
        <s v="ОБЩЕСТВО С ОГРАНИЧЕННОЙ ОТВЕТСТВЕННОСТЬЮ «НАРОДНАЯ ИНВЕСТИЦИОННАЯ ПЛАТФОРМА»"/>
        <s v="Общество с ограниченной ответственностью ВИМ Сбережения"/>
        <s v="Кислица Дмитрий Николаевич"/>
        <s v="Гаспарян Сергей Эдуардович"/>
        <s v="Ледник Мария Ивановна"/>
        <s v="Финк Александр Яковлевич"/>
        <s v="Когай Геннадий Григорьевич"/>
        <s v="Багров Дмитрий Андреевич"/>
        <s v="Денисов Павел Геннадьевич"/>
        <s v="Бастракова Дарья Дмитриевна"/>
        <s v="Трубина Наталья Владимировна"/>
        <s v="Горячева Елена Петровна"/>
        <s v="Медюх Игорь Иосифович"/>
        <s v="Медюх Елена Геннадьевна"/>
        <s v="Байкова Анастасия Юрьевна"/>
        <s v="Бурыкина Оксана Валентиновна"/>
        <s v="Кислица Егор Дмитриевич"/>
        <s v="Савина Александра Юрьевна"/>
        <s v="Комаров Михаил Владимирович"/>
        <s v="Акционерное общество_x000d__x000a_Инвестиционно-финансовая_x000d__x000a_компания «Солид»"/>
        <s v="Общество с ограниченной ответственностью «Управляющая компания «ГЕРФИН»"/>
        <s v="Глазкова Екатерина Николаевна"/>
        <s v="Глазков Алексей Геннадьевич"/>
        <s v="Ювженко Александр Витальевич"/>
        <s v="АО «ИК «РИКОМ-ТРАСТ"/>
        <s v="Сулейманова Танья Нурмухаметовна"/>
        <s v="Кемайкин Григорий Владимирович"/>
        <s v="Яковлева Надежда Александровна"/>
        <s v="Яковлев Алексей Владимирович"/>
        <s v="Акционерное общество &quot;Национальное бюро кредитных историй&quot;"/>
        <s v="Горячев Дмитрий Александрович"/>
        <s v="Сулейманов Алмаз Рафикович"/>
        <s v="Плахута Михаил Сергеевич"/>
        <s v="Шилова Елена Михайловна"/>
        <s v="Шилов Дмитрий Игоревич"/>
        <s v="Кемайкина Юлия Александровна"/>
        <s v="Общество с ограниченной ответственностью «Инвестиционная компания «Титульный Брокер»"/>
        <s v="Трефилова Мария Сергеевна"/>
        <s v="Янковская Марина Владимировна"/>
        <s v="Янковский Сергей Борисович"/>
        <s v="Громовой Дмитрий Леонидович"/>
        <s v="Никитин Никита Геннадьевич"/>
        <s v="Плахута Эмилия Сергеевна"/>
        <s v="Третьяков Александр Евгеньевич"/>
        <s v="Акционерное общество коммерческий банк &quot;Ситибанк&quot;"/>
        <s v="Акционерное общество «Сбербанк КИБ»"/>
        <s v="ООО «МКБ Инвестиции»"/>
        <s v="Общество с ограниченной_x000d__x000a_ответственностью_x000d__x000a_«Управляющая компания_x000d__x000a_«Альфа-Капитал»"/>
        <s v="Маслова Елена Евгеньевна"/>
        <s v="Маслов Никита Иванович"/>
        <s v="Подкоморная Анастасия Петровна"/>
        <s v="Общество с ограниченной ответственностью Инвестиционная компания «Прайвет Капитал»"/>
        <s v="ООО «ФИНИН-К»"/>
        <s v="ООО «Поток.Диджитал»"/>
        <s v="ООО «СмартИнвест»"/>
        <s v="Прокопенко Андрей Владимирович"/>
        <s v="Никитин Денис Геннадиевич"/>
        <s v="Трефилов Дмитрий Владимирович"/>
        <s v="Дрокова Нина Михайловна"/>
        <s v="Прокопенко Татьяна Александровна"/>
        <s v="Воробьев Кирилл Александрович"/>
        <s v="Колмаков Алексей Анатольевич"/>
        <s v="Данилов Сергей Вениаминович"/>
        <s v="Данилова Татьяна Владимировна"/>
        <s v="Акционерное общество &quot;Объединенное Кредитное Бюро&quot;"/>
        <s v="Стародубцев Олег Александрович"/>
        <s v="АО «Райффайзенбанк»"/>
        <s v="Общество с ограниченной ответственностью «СПЭК ИНВЕСТМЕНТ»"/>
        <s v="Переверзев Игорь Леонидович"/>
        <s v="Короленко Евгений Александрович"/>
        <s v="Гараева Лейла Валерьевна"/>
        <s v="Переверзева Марина Анатольевна"/>
        <s v="ООО УК «Движение капитала»"/>
        <s v="Шушкина Светлана  Алексеевна"/>
        <s v="Черепухина Виктория Борисовна"/>
        <s v="Черепухин Константин Валерьевич"/>
        <s v="Ковтун Илья Николаевич"/>
        <s v="Ковтун Лариса Николаевна"/>
        <s v="Цуканов Игорь Юрьевич"/>
        <s v="Цуканова Галина Николаевна"/>
        <s v="Шушкин Денис Вячеславовоич"/>
        <s v="Цирков Игорь Сергеевич"/>
        <s v="Бушина Ольга Валерьевна"/>
        <s v="Бушина Любовь Александровна"/>
        <s v="Бушин Андриан Валерьевич"/>
        <s v="Литвинова Ольга Борисовна"/>
        <s v="Общество с ограниченной ответственностью «Национальное Рейтинговое Агентство»"/>
        <s v="Литвинов Андрей Александрович"/>
        <s v="АО «РЕМАНИ»"/>
        <s v="Акционерное общество «Москва Сити Секьюритиз»"/>
        <s v="Циркова Любовь Ивановна"/>
        <s v="ООО «Каркаул.ру»"/>
        <s v="АО «Объединенное Кредитное Бюро»"/>
        <s v="Акционерное общество_x000d__x000a_«Москва Сити Секьюритиз»"/>
        <s v="Акционерное общество «БКС Управление Благосостоянием»"/>
        <s v="Публичное акционерное общество «Московская Биржа ММВБ-РТС»"/>
        <s v="АО «Специализированный депозитарий «ИНФИНИТУМ»"/>
        <s v="Общество с ограниченной ответственностью Управляющая компания «Эра Инвестиций»"/>
        <s v="Гребенникова Татьяна Витальевна"/>
        <s v="Гуревич Вадим Александрович"/>
        <s v="Гуревич Иветта Абрамовна"/>
        <s v="Акционерное общество «Инвестиционная компания «Ай Ти Инвест»"/>
        <s v="ООО «ИНВЕСТИРУЙ В»"/>
        <s v="Гребенников Александр Александрович"/>
        <s v="Акционерное общество_x000d__x000a_«Инвестиционная компания_x000d__x000a_«РИКОМ-ТРАСТ»"/>
        <s v="Общество с ограниченной ответственностью «Т-Инвест Лаб»"/>
        <s v="Общество с ограниченной ответственностью «Управляющая компания «Атон-менеджмент»"/>
        <s v="Акционерное общество «Межрегиональный негосударственный пенсионный фонд «АКВИЛОН»"/>
        <s v="Баринов Илья Игоревич"/>
        <s v="Акционерное общество «ВИМ Инвестиции»"/>
        <s v="Общество с ограниченной ответственностью «Управляющая компания «Терра Эссет Менеджмент»"/>
        <s v="Общество с ограниченной_x000d__x000a_ответственностью_x000d__x000a_«Цифра Брокер»"/>
        <s v="Акционерное общество «ИВА Партнерс»"/>
        <s v="Акционерное общество_x000d__x000a_«ТуОушен Капитал»"/>
        <s v="ООО «Селект мани»"/>
        <s v="ООО «Феир Финанс»"/>
        <s v="ЗАО «ПРСД»"/>
        <s v="Папкин Михаил Владимирович"/>
        <s v="Шигапов Радик Мулланурович"/>
        <s v="Общество с ограниченной_x000d__x000a_ответственностью_x000d__x000a_«Управляющая компания_x000d__x000a_«Формула инвестиций»"/>
        <s v="Дрожжин Антон Михайлович"/>
        <s v="Фролова Ксения Владимировна"/>
        <s v="Акционерное общество «ЮниКредит Банк»"/>
        <s v="Акционерное общество «РТ-Инвест»"/>
        <s v="Фролов Михаил Сергеевич"/>
        <s v="Открытое акционерное общество «РОНИН Траст»"/>
        <s v="Акционерное общество УК «Доверительная»"/>
        <s v="Кушнир Андрей Николаевич"/>
        <s v="Хрусталев Иван Дмитриевич"/>
        <s v="Хрусталева Альбина Дмитриевна"/>
        <s v="АО &quot;Объединенное Кредитное Бюро&quot;"/>
        <s v="АО «Национальное бюро кредитных историй»"/>
        <s v="Пашнин Михаил Анатольевич"/>
        <s v="Общество с ограниченной ответственностью «АКЦЕНТ УПРАВЛЕНИЕ АКТИВАМИ»"/>
        <s v="Маленко Артем Анатольевич"/>
        <s v="Калинин Владимир Анатольевич"/>
        <s v="Шигапова Кадрия Хисамовна"/>
        <s v="Акционерное общество_x000d__x000a_«Негосударственный_x000d__x000a_пенсионный фонд «ВЭФ.Жизнь»"/>
        <s v="ООО «Капитализация»"/>
        <s v="Общество с ограниченной_x000d__x000a_ответственностью_x000d__x000a_«Управляющая компания_x000d__x000a_«Финанс Трейд Эссет_x000d__x000a_Менеджмент»"/>
        <s v="Тимофеева Дарья Сергеевна"/>
        <s v="Борисова Анна Владимировна"/>
        <s v="Тимофеев Александр Николаевич"/>
        <s v="Железнов Андрей Юрьевич"/>
        <s v="Просова Елена Игоревна"/>
        <s v="Варанкина Евгения Владимировна"/>
        <s v="ООО «ДжетЛенд»"/>
        <s v="Федоров Александр Вячеславович"/>
        <s v="Общество с ограниченной ответственностью «Спектрум кредитное бюро»"/>
        <s v="Байдаков Александр Владимирович"/>
        <s v="Давтян Давид Михайлович"/>
        <s v="Волик Богдан Викторович"/>
        <s v="Цатурян Наринэ Егишевна"/>
        <s v="Журавлева Анастасия Андреевна"/>
        <s v="Журавлев Дмитрий Михайлович"/>
        <s v="Общество с ограниченной_x000d__x000a_ответственностью_x000d__x000a_«Бенефорт»"/>
        <s v="Акционерное общество «Национальный негосударственный пенсионный фонд»"/>
        <s v="ООО «ЛЭНДЭР-ИНВЕСТ»"/>
        <s v="Павлова Марина Алексеевна"/>
        <s v="Павлов Александр Владиславович"/>
        <s v="Общество с ограниченной_x000d__x000a_ответственностью_x000d__x000a_«Управляющая компания_x000d__x000a_«Финам Менеджмент»"/>
        <s v="АО «Бюро кредитных историй «Скоринг Бюро»"/>
        <s v="Общество с ограниченной_x000d__x000a_ответственностью_x000d__x000a_«Т-Капитал»"/>
        <s v="Акционерное общество Инвестиционно-финансовая_x000d__x000a_компания «Солид»"/>
        <s v="Общество с ограниченной ответственностью Управляющая компания «ГЕРОИ»"/>
        <s v="Акционерное общество_x000d__x000a_ВИМ Инвестиции"/>
        <s v="Акционерное общество_x000d__x000a_Финансовая компания_x000d__x000a_«Профит Хауз»"/>
        <s v="Общество с ограниченной_x000d__x000a_ответственностью_x000d__x000a_ВИМ Сбережения"/>
        <s v="Нефедов Владимир Сергеевич"/>
        <s v="Маликов Валерий Михайлович"/>
        <s v="Маликова Майя Валерьевна"/>
        <s v="Соловьев Вадим Сергеевич"/>
        <s v="Соловьева Татьяна Владимировна"/>
        <s v="Общество с ограниченной_x000d__x000a_ответственностью «Московские_x000d__x000a_партнеры»"/>
        <s v="Общество с ограниченной ответственностью «Управляющая компания РИГОРА»"/>
        <s v="Акционерное общество_x000d__x000a_Управляющая компания_x000d__x000a_«НРК-Капитал (Эссет_x000d__x000a_Менеджмент)»"/>
        <s v="Публичное акционерное общество «СПБ Биржа»"/>
        <s v="Апарин Андрей Михайлович"/>
        <s v="Акционерное общество_x000d__x000a_«ААА Управление Капиталом»"/>
        <s v="Общество с ограниченной ответственностью Управляющая компания «Арикапитал»"/>
        <s v="Быков Денис Эдуардович"/>
        <s v="Быков Эдуард Юрьевич"/>
        <s v="ООО &quot;КАС КЭПИТАЛ&quot;"/>
        <s v="Безменов Николай Николаевич"/>
        <s v="Пономарева Наталья Александровна"/>
        <s v="Мохов Никита Юрьевич"/>
        <s v="Микшин Денис Николаевич"/>
        <s v="Александрова Екатерина Павловна"/>
        <s v="Дерюгин Андрей Викторович"/>
        <s v="Князева Людмила Александровна"/>
        <s v="Общество с ограниченной ответственностью «Управляющая компания «Альфа-Капитал»"/>
        <s v="Акционерное общество «Контрада Капитал»"/>
        <s v="Царик Дмитрий Сергеевич"/>
        <s v="ООО «КраудЮнит»"/>
        <s v="Лазутина Линда Леонидовна"/>
        <s v="Чернышев Даниил Владимирович"/>
        <s v="Сас Роман Иванович"/>
        <s v="Сас Надежда Валериевна"/>
        <s v="ООО &quot;Григорян Инвест&quot;"/>
        <s v="Унеговский Дмитрий Семенович"/>
        <s v="Егорова Виктория Евгеньевна"/>
        <s v="Погосов Юрий Евгеньевич"/>
        <s v="Погосова Ольга Владимировна"/>
        <s v="Акционерное общество «Управляющая компания «ТРАНСФИНГРУП»"/>
        <s v="Общество с ограниченной ответственностью «Управляющая компания «АКРУКС КАПИТАЛ»"/>
        <s v="Князев Станислав Юрьевич"/>
        <s v="Георгиевский Даниил Максимович"/>
        <s v="Дерюгина Наталья Александровна"/>
        <s v="ООО «РБРУ СД»"/>
        <s v="Порохова Наталья Владимировна"/>
        <s v="Унеговская Наталья Александровна"/>
        <s v="Попов Алексей Александрович"/>
        <s v="Акционерное общество_x000d__x000a_Управляющая компания_x000d__x000a_«РВМ Капитал»"/>
        <s v="Федина Марина Александровна"/>
        <s v="Баринова Анастасия Юрьевна"/>
        <s v="Федин Виталий Юрьевич"/>
        <s v="Юшков Никита Константинович"/>
        <s v="Юшков Константин Михайлович"/>
        <s v="Коростелев Андрей Юрьевич"/>
        <s v="Коростелева Марина Викторовна"/>
        <s v="КИТ Финанс (Акционерное общество)"/>
        <s v="Черепанов Виталий Ильич"/>
        <s v="Полюбай Юлия Петровна"/>
        <s v="Полюбай Алексей Владимирович"/>
        <s v="АО «ИК «Ай Ти Инвест»"/>
        <s v="Акционерное общество «Негосударственный пенсионный фонд «ВЭФ.Русские Фонды»"/>
        <s v="Общество с ограниченной ответственностью Инвестиционная компания «Тренд»"/>
        <s v="Общество с ограниченной ответственностью «РУССКОЕ ИНВЕСТИЦИОННОЕ ОБЩЕСТВО»"/>
        <s v="Акционерное общество &quot;Управляющая компания &quot;МКБ Инвестиции&quot;"/>
        <s v="Мэй Луиза Алексеевна"/>
        <s v="Смирнов Дмитрий Федорович"/>
        <s v="Уланов Петр Петрович"/>
        <s v="Онянова Виктория Александровна"/>
        <s v="Триголос Екатерина Александровна"/>
        <s v="Триголос Павел Иванович"/>
        <s v="Мясников Александр Валерьевич"/>
        <s v="Общество с ограниченной ответственностью «Управляющая компания «Формула инвестиций»"/>
        <s v="Общество с ограниченной ответственностью «Финплан»"/>
        <s v="Общество с ограниченной ответственностью &quot;РОН Инвест&quot;"/>
        <s v="Смирнова Ксения Евгеньевна"/>
        <s v="Лядов Василий Рюрикович"/>
        <s v="Общество с ограниченной ответственностью «Инвестиционная компания «Айгенис»"/>
        <s v="Усаков Евгений Игоревич"/>
        <s v="Перетрухина Элина Владимировна"/>
        <s v="«Газпромбанк» (Акционерное общество)"/>
        <s v="ООО «АЛОР+»"/>
        <s v="Тимиргалин Марат Рамильевич"/>
        <s v="Борисова Лидия Ивановна"/>
        <s v="Новокрещенова Ангелина Станиславовна"/>
        <s v="Общество с ограниченной ответственностью Концерн «ДЖЕНЕРАЛ-ИНВЕСТ»"/>
        <s v="Меленкова Ирина Евгеньевна"/>
        <s v="Воропаев Александр Андреевич"/>
        <s v="Общество с ограниченной ответственностью «Управляющая компания «Джи Пи Ай»"/>
        <s v="Меленкова Валентина Андреевна"/>
        <s v="Общество с ограниченной ответственностью Инвестиционная компания «Айсберг Финанс»"/>
        <s v="Общество с ограниченной ответственностью &quot;Т2 Мобайл&quot;"/>
      </sharedItems>
    </cacheField>
    <cacheField name="Тип лица" numFmtId="0">
      <sharedItems count="3">
        <s v="Юридическое лицо"/>
        <s v="Гражданин"/>
        <s v="Должностное лицо"/>
      </sharedItems>
    </cacheField>
    <cacheField name="Статья КоАП" numFmtId="0">
      <sharedItems count="22">
        <s v="ч.9 ст.15.29 КоАП РФ"/>
        <s v="ч.6 ст.15.29 КоАП РФ"/>
        <s v="ч.12 ст.15.29 КоАП РФ"/>
        <s v="ч.5 ст.15.29 КоАП РФ"/>
        <s v="ст.15.30 КоАП РФ"/>
        <s v="ч.9 ст.19.5 КоАП РФ"/>
        <s v="ч.1 ст.19.7.3 КоАП РФ"/>
        <s v="ч.2 ст.15.19 КоАП РФ"/>
        <s v="ч.2 ст.15.29 КоАП РФ"/>
        <s v="ч.7 ст.15.29 КоАП РФ"/>
        <s v="ст.14.30 КоАП РФ"/>
        <s v="ч.2 ст.5.54 КоАП РФ"/>
        <s v="ч.1 ст.5.54 КоАП РФ"/>
        <s v="ч.4 ст.15.35 КоАП РФ"/>
        <s v="ч.2 ст.15.35 КоАП РФ"/>
        <s v="ч.7 ст.14.24 КоАП РФ"/>
        <s v="ст.15.21 КоАП РФ"/>
        <s v="ст.5.55 КоАП РФ"/>
        <s v="ч.10 ст.15.29 КоАП РФ"/>
        <s v="ст.14.29 КоАП РФ"/>
        <s v="ч.4 ст.15.19 КоАП РФ"/>
        <s v="ч.1 ст.13.25 КоАП РФ"/>
      </sharedItems>
      <fieldGroup par="9"/>
    </cacheField>
    <cacheField name="Штраф факт" numFmtId="2">
      <sharedItems containsMixedTypes="1" containsNumber="1" containsInteger="1" minValue="3000" maxValue="1000000" count="19">
        <n v="700000"/>
        <n v="320000"/>
        <s v="предупреждение"/>
        <n v="1000000"/>
        <n v="350000"/>
        <n v="250000"/>
        <n v="300000"/>
        <n v="3000"/>
        <n v="30000"/>
        <n v="150000"/>
        <n v="500000"/>
        <n v="400000"/>
        <n v="10000"/>
        <n v="160000"/>
        <n v="50000"/>
        <n v="20000"/>
        <n v="550000"/>
        <n v="5000"/>
        <n v="100000"/>
      </sharedItems>
    </cacheField>
    <cacheField name="мин" numFmtId="0">
      <sharedItems containsSemiMixedTypes="0" containsString="0" containsNumber="1" containsInteger="1" minValue="1000" maxValue="700000"/>
    </cacheField>
    <cacheField name="макс" numFmtId="0">
      <sharedItems containsMixedTypes="1" containsNumber="1" containsInteger="1" minValue="3000" maxValue="1000000"/>
    </cacheField>
    <cacheField name="Превышышение над мин размером %/min" numFmtId="0">
      <sharedItems containsMixedTypes="1" containsNumber="1" minValue="-0.5" maxValue="9"/>
    </cacheField>
    <cacheField name="Статья КоАП2" numFmtId="0" databaseField="0">
      <fieldGroup base="4">
        <discretePr count="22">
          <x v="2"/>
          <x v="7"/>
          <x v="5"/>
          <x v="7"/>
          <x v="7"/>
          <x v="1"/>
          <x v="6"/>
          <x v="4"/>
          <x v="3"/>
          <x v="7"/>
          <x v="7"/>
          <x v="7"/>
          <x v="7"/>
          <x v="7"/>
          <x v="7"/>
          <x v="7"/>
          <x v="0"/>
          <x v="7"/>
          <x v="7"/>
          <x v="7"/>
          <x v="7"/>
          <x v="7"/>
        </discretePr>
        <groupItems count="8">
          <s v="ст.15.21 КоАП РФ"/>
          <s v="ч.9 ст.19.5 КоАП РФ"/>
          <s v="ч.9 ст.15.29 КоАП РФ"/>
          <s v="ч.2 ст.15.29 КоАП РФ"/>
          <s v="ч.2 ст.15.19 КоАП РФ"/>
          <s v="ч.12 ст.15.29 КоАП РФ"/>
          <s v="ч.1 ст.19.7.3 КоАП РФ"/>
          <s v="Группа1"/>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84.450189699077" createdVersion="8" refreshedVersion="8" minRefreshableVersion="3" recordCount="449" xr:uid="{ABBC5DED-79BE-1542-9536-0298FF849905}">
  <cacheSource type="worksheet">
    <worksheetSource ref="A1:J450" sheet="копия"/>
  </cacheSource>
  <cacheFields count="10">
    <cacheField name="Номер случая" numFmtId="0">
      <sharedItems containsSemiMixedTypes="0" containsString="0" containsNumber="1" containsInteger="1" minValue="1" maxValue="437"/>
    </cacheField>
    <cacheField name="Дата постановления" numFmtId="164">
      <sharedItems containsSemiMixedTypes="0" containsNonDate="0" containsDate="1" containsString="0" minDate="2025-01-09T00:00:00" maxDate="2026-02-18T00:00:00"/>
    </cacheField>
    <cacheField name="Субъект" numFmtId="0">
      <sharedItems/>
    </cacheField>
    <cacheField name="Тип лица" numFmtId="0">
      <sharedItems count="3">
        <s v="Юридическое лицо"/>
        <s v="Гражданин"/>
        <s v="Должностное лицо"/>
      </sharedItems>
    </cacheField>
    <cacheField name="Статья КоАП" numFmtId="0">
      <sharedItems/>
    </cacheField>
    <cacheField name="Штраф факт" numFmtId="2">
      <sharedItems containsMixedTypes="1" containsNumber="1" containsInteger="1" minValue="3000" maxValue="1000000" count="19">
        <n v="700000"/>
        <n v="320000"/>
        <s v="предупреждение"/>
        <n v="1000000"/>
        <n v="350000"/>
        <n v="250000"/>
        <n v="300000"/>
        <n v="3000"/>
        <n v="30000"/>
        <n v="150000"/>
        <n v="500000"/>
        <n v="400000"/>
        <n v="10000"/>
        <n v="160000"/>
        <n v="50000"/>
        <n v="20000"/>
        <n v="550000"/>
        <n v="5000"/>
        <n v="100000"/>
      </sharedItems>
    </cacheField>
    <cacheField name="мин" numFmtId="0">
      <sharedItems containsSemiMixedTypes="0" containsString="0" containsNumber="1" containsInteger="1" minValue="1000" maxValue="700000"/>
    </cacheField>
    <cacheField name="макс" numFmtId="0">
      <sharedItems containsMixedTypes="1" containsNumber="1" containsInteger="1" minValue="3000" maxValue="1000000"/>
    </cacheField>
    <cacheField name="Превышышение над мин размером %/min" numFmtId="0">
      <sharedItems containsMixedTypes="1" containsNumber="1" minValue="-0.5" maxValue="9"/>
    </cacheField>
    <cacheField name="вид штрафа" numFmtId="0">
      <sharedItems count="6">
        <s v="Минимум"/>
        <s v="В диапазоне"/>
        <s v="Предупреждение"/>
        <s v="Максимум"/>
        <s v="Ниже минимума"/>
        <s v="Выше максимума"/>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9">
  <r>
    <n v="1"/>
    <x v="0"/>
    <s v="Акционерное общество «Негосударственный пенсионный фонд «Ростех»"/>
    <x v="0"/>
    <s v="ч.9 ст.15.29 КоАП РФ"/>
    <x v="0"/>
    <n v="700000"/>
    <n v="1000000"/>
  </r>
  <r>
    <n v="2"/>
    <x v="0"/>
    <s v="Общество с ограниченной ответственностью «Управляющая компания_x000d__x000a_«Атон-менеджмент»"/>
    <x v="0"/>
    <s v="ч.6 ст.15.29 КоАП РФ"/>
    <x v="0"/>
    <n v="700000"/>
    <n v="1000000"/>
  </r>
  <r>
    <n v="2"/>
    <x v="0"/>
    <s v="Общество с ограниченной ответственностью «Управляющая компания_x000d__x000a_«Атон-менеджмент»"/>
    <x v="0"/>
    <s v="ч.12 ст.15.29 КоАП РФ"/>
    <x v="1"/>
    <n v="300000"/>
    <n v="500000"/>
  </r>
  <r>
    <n v="3"/>
    <x v="1"/>
    <s v="Акционерное общество_x000d__x000a_Управляющая компания «Центр Эссет Менеджмент»"/>
    <x v="0"/>
    <s v="ч.12 ст.15.29 КоАП РФ"/>
    <x v="2"/>
    <n v="300000"/>
    <n v="500000"/>
  </r>
  <r>
    <n v="4"/>
    <x v="2"/>
    <s v="АО «ИК «РИКОМ-ТРАСТ»"/>
    <x v="0"/>
    <s v="ч.9 ст.15.29 КоАП РФ"/>
    <x v="3"/>
    <n v="700000"/>
    <n v="1000000"/>
  </r>
  <r>
    <n v="5"/>
    <x v="2"/>
    <s v="Акционерное общество ВИМ Инвестиции"/>
    <x v="0"/>
    <s v="ч.12 ст.15.29 КоАП РФ"/>
    <x v="4"/>
    <n v="300000"/>
    <n v="500000"/>
  </r>
  <r>
    <n v="6"/>
    <x v="2"/>
    <s v="Общество с ограниченной_x000d__x000a_ответственностью_x000d__x000a_«Управляющая компания_x000d__x000a_«Ресурс»"/>
    <x v="0"/>
    <s v="ч.6 ст.15.29 КоАП РФ"/>
    <x v="2"/>
    <n v="700000"/>
    <n v="1000000"/>
  </r>
  <r>
    <n v="7"/>
    <x v="2"/>
    <s v="Общество с ограниченной ответственностью «ТрастЮнион Эссет Менеджмент»"/>
    <x v="0"/>
    <s v="ч.12 ст.15.29 КоАП РФ"/>
    <x v="2"/>
    <n v="300000"/>
    <n v="500000"/>
  </r>
  <r>
    <n v="8"/>
    <x v="2"/>
    <s v="Акционерное общество «Управляющая Компания ТРИНФИКО»"/>
    <x v="0"/>
    <s v="ч.5 ст.15.29 КоАП РФ"/>
    <x v="5"/>
    <n v="500000"/>
    <n v="700000"/>
  </r>
  <r>
    <n v="9"/>
    <x v="3"/>
    <s v="ООО «Цифра брокер»"/>
    <x v="0"/>
    <s v="ч.12 ст.15.29 КоАП РФ"/>
    <x v="6"/>
    <n v="300000"/>
    <n v="500000"/>
  </r>
  <r>
    <n v="10"/>
    <x v="4"/>
    <s v="Голубков Виктор Владимирович"/>
    <x v="1"/>
    <s v="ст.15.30 КоАП РФ"/>
    <x v="7"/>
    <n v="3000"/>
    <n v="5000"/>
  </r>
  <r>
    <n v="11"/>
    <x v="4"/>
    <s v="генеральный директор общества с ограниченной ответственностью «Тринити Шиппинг» Ярошенко Александр Иванович"/>
    <x v="2"/>
    <s v="ст.15.30 КоАП РФ"/>
    <x v="8"/>
    <n v="30000"/>
    <n v="50000"/>
  </r>
  <r>
    <n v="12"/>
    <x v="4"/>
    <s v="Гальямова Наталья Александровна"/>
    <x v="1"/>
    <s v="ст.15.30 КоАП РФ"/>
    <x v="7"/>
    <n v="3000"/>
    <n v="5000"/>
  </r>
  <r>
    <n v="13"/>
    <x v="5"/>
    <s v="Чмыхало Юлия Анатольевна"/>
    <x v="1"/>
    <s v="ст.15.30 КоАП РФ"/>
    <x v="7"/>
    <n v="3000"/>
    <n v="5000"/>
  </r>
  <r>
    <n v="14"/>
    <x v="6"/>
    <s v="Усольцева Яна Германовна"/>
    <x v="1"/>
    <s v="ст.15.30 КоАП РФ"/>
    <x v="7"/>
    <n v="3000"/>
    <n v="5000"/>
  </r>
  <r>
    <n v="15"/>
    <x v="6"/>
    <s v="Краснова Галина Ивановна"/>
    <x v="1"/>
    <s v="ст.15.30 КоАП РФ"/>
    <x v="7"/>
    <n v="3000"/>
    <n v="5000"/>
  </r>
  <r>
    <n v="16"/>
    <x v="6"/>
    <s v="Артамонов Валерий Геннадьевич"/>
    <x v="1"/>
    <s v="ст.15.30 КоАП РФ"/>
    <x v="7"/>
    <n v="3000"/>
    <n v="5000"/>
  </r>
  <r>
    <n v="17"/>
    <x v="6"/>
    <s v="Манюкова Татьяна Васильевна"/>
    <x v="1"/>
    <s v="ст.15.30 КоАП РФ"/>
    <x v="7"/>
    <n v="3000"/>
    <n v="5000"/>
  </r>
  <r>
    <n v="18"/>
    <x v="6"/>
    <s v="Доценко Марина Сергеевна"/>
    <x v="1"/>
    <s v="ст.15.30 КоАП РФ"/>
    <x v="7"/>
    <n v="3000"/>
    <n v="5000"/>
  </r>
  <r>
    <n v="19"/>
    <x v="6"/>
    <s v="Гальямов Марсель Геральдович"/>
    <x v="1"/>
    <s v="ст.15.30 КоАП РФ"/>
    <x v="7"/>
    <n v="3000"/>
    <n v="5000"/>
  </r>
  <r>
    <n v="20"/>
    <x v="6"/>
    <s v="Садыров Игорь Рашидович"/>
    <x v="1"/>
    <s v="ст.15.30 КоАП РФ"/>
    <x v="7"/>
    <n v="3000"/>
    <n v="5000"/>
  </r>
  <r>
    <n v="21"/>
    <x v="7"/>
    <s v="Карчевский Павел Владимирович"/>
    <x v="1"/>
    <s v="ст.15.30 КоАП РФ"/>
    <x v="7"/>
    <n v="3000"/>
    <n v="5000"/>
  </r>
  <r>
    <n v="22"/>
    <x v="7"/>
    <s v="Шушин Олег Игоревич"/>
    <x v="1"/>
    <s v="ст.15.30 КоАП РФ"/>
    <x v="7"/>
    <n v="3000"/>
    <n v="5000"/>
  </r>
  <r>
    <n v="23"/>
    <x v="8"/>
    <s v="Беломытцева Наталия Сергеевна"/>
    <x v="1"/>
    <s v="ст.15.30 КоАП РФ"/>
    <x v="7"/>
    <n v="3000"/>
    <n v="5000"/>
  </r>
  <r>
    <n v="24"/>
    <x v="9"/>
    <s v="Ретровская Нина Борисовна"/>
    <x v="1"/>
    <s v="ст.15.30 КоАП РФ"/>
    <x v="7"/>
    <n v="3000"/>
    <n v="5000"/>
  </r>
  <r>
    <n v="25"/>
    <x v="9"/>
    <s v="Исаченко Наталия Николаевна"/>
    <x v="1"/>
    <s v="ст.15.30 КоАП РФ"/>
    <x v="7"/>
    <n v="3000"/>
    <n v="5000"/>
  </r>
  <r>
    <n v="26"/>
    <x v="9"/>
    <s v="Беломытцев Павел Анатольевич"/>
    <x v="1"/>
    <s v="ст.15.30 КоАП РФ"/>
    <x v="7"/>
    <n v="3000"/>
    <n v="5000"/>
  </r>
  <r>
    <n v="27"/>
    <x v="9"/>
    <s v="Зайцев Александр Олегович"/>
    <x v="1"/>
    <s v="ст.15.30 КоАП РФ"/>
    <x v="7"/>
    <n v="3000"/>
    <n v="5000"/>
  </r>
  <r>
    <n v="28"/>
    <x v="9"/>
    <s v="Нарушева Елена Гаптелахатовна"/>
    <x v="1"/>
    <s v="ст.15.30 КоАП РФ"/>
    <x v="7"/>
    <n v="3000"/>
    <n v="5000"/>
  </r>
  <r>
    <n v="29"/>
    <x v="9"/>
    <s v="Нарушев Андрей Иванович"/>
    <x v="1"/>
    <s v="ст.15.30 КоАП РФ"/>
    <x v="7"/>
    <n v="3000"/>
    <n v="5000"/>
  </r>
  <r>
    <n v="30"/>
    <x v="10"/>
    <s v="ИП Панов Александр Константинович"/>
    <x v="1"/>
    <s v="ст.15.30 КоАП РФ"/>
    <x v="8"/>
    <n v="3000"/>
    <n v="5000"/>
  </r>
  <r>
    <n v="31"/>
    <x v="10"/>
    <s v="ИП Панов Владимир Константинович"/>
    <x v="1"/>
    <s v="ст.15.30 КоАП РФ"/>
    <x v="8"/>
    <n v="3000"/>
    <n v="5000"/>
  </r>
  <r>
    <n v="32"/>
    <x v="10"/>
    <s v="Оганезян Роман Рафикович"/>
    <x v="1"/>
    <s v="ст.15.30 КоАП РФ"/>
    <x v="7"/>
    <n v="3000"/>
    <n v="5000"/>
  </r>
  <r>
    <n v="33"/>
    <x v="10"/>
    <s v="Клименко Артем Валерьевич"/>
    <x v="1"/>
    <s v="ст.15.30 КоАП РФ"/>
    <x v="7"/>
    <n v="3000"/>
    <n v="5000"/>
  </r>
  <r>
    <n v="34"/>
    <x v="10"/>
    <s v="Тихомиров Вадим Владимирович"/>
    <x v="1"/>
    <s v="ст.15.30 КоАП РФ"/>
    <x v="7"/>
    <n v="3000"/>
    <n v="5000"/>
  </r>
  <r>
    <n v="35"/>
    <x v="11"/>
    <s v="ООО &quot;Тринити Шиппинг&quot;"/>
    <x v="0"/>
    <s v="ст.15.30 КоАП РФ"/>
    <x v="0"/>
    <n v="700000"/>
    <s v="в размере суммы излишнего дохода… но не менее 700 000 рублей"/>
  </r>
  <r>
    <n v="36"/>
    <x v="11"/>
    <s v="Бурыкин Иван Терентьевич"/>
    <x v="1"/>
    <s v="ст.15.30 КоАП РФ"/>
    <x v="7"/>
    <n v="3000"/>
    <n v="5000"/>
  </r>
  <r>
    <n v="37"/>
    <x v="12"/>
    <s v="Колесникова Надежда Вячеславовна"/>
    <x v="1"/>
    <s v="ст.15.30 КоАП РФ"/>
    <x v="7"/>
    <n v="3000"/>
    <n v="5000"/>
  </r>
  <r>
    <n v="38"/>
    <x v="12"/>
    <s v="Мазнев Андрей Вячеславович"/>
    <x v="1"/>
    <s v="ст.15.30 КоАП РФ"/>
    <x v="7"/>
    <n v="3000"/>
    <n v="5000"/>
  </r>
  <r>
    <n v="39"/>
    <x v="12"/>
    <s v="Мазнев Сергей Вячеславович"/>
    <x v="1"/>
    <s v="ст.15.30 КоАП РФ"/>
    <x v="7"/>
    <n v="3000"/>
    <n v="5000"/>
  </r>
  <r>
    <n v="40"/>
    <x v="12"/>
    <s v="Дмитриев Андрей Николаевич"/>
    <x v="1"/>
    <s v="ст.15.30 КоАП РФ"/>
    <x v="7"/>
    <n v="3000"/>
    <n v="5000"/>
  </r>
  <r>
    <n v="41"/>
    <x v="12"/>
    <s v="Малык Герман Андреевич"/>
    <x v="1"/>
    <s v="ст.15.30 КоАП РФ"/>
    <x v="7"/>
    <n v="3000"/>
    <n v="5000"/>
  </r>
  <r>
    <n v="42"/>
    <x v="12"/>
    <s v="Усачев Андрей Николаевич"/>
    <x v="1"/>
    <s v="ст.15.30 КоАП РФ"/>
    <x v="7"/>
    <n v="3000"/>
    <n v="5000"/>
  </r>
  <r>
    <n v="43"/>
    <x v="12"/>
    <s v="Шушин Игорь Борисович"/>
    <x v="1"/>
    <s v="ст.15.30 КоАП РФ"/>
    <x v="7"/>
    <n v="3000"/>
    <n v="5000"/>
  </r>
  <r>
    <n v="44"/>
    <x v="12"/>
    <s v="Шушина Татьяна Геннадьевна"/>
    <x v="1"/>
    <s v="ст.15.30 КоАП РФ"/>
    <x v="7"/>
    <n v="3000"/>
    <n v="5000"/>
  </r>
  <r>
    <n v="45"/>
    <x v="12"/>
    <s v="Богачев Вячеслав Анатольевич"/>
    <x v="1"/>
    <s v="ст.15.30 КоАП РФ"/>
    <x v="7"/>
    <n v="3000"/>
    <n v="5000"/>
  </r>
  <r>
    <n v="46"/>
    <x v="12"/>
    <s v="Султанаева Эльвира Дамировна"/>
    <x v="1"/>
    <s v="ст.15.30 КоАП РФ"/>
    <x v="7"/>
    <n v="3000"/>
    <n v="5000"/>
  </r>
  <r>
    <n v="47"/>
    <x v="12"/>
    <s v="Бурыкин Иван Иванович"/>
    <x v="1"/>
    <s v="ст.15.30 КоАП РФ"/>
    <x v="7"/>
    <n v="3000"/>
    <n v="5000"/>
  </r>
  <r>
    <n v="48"/>
    <x v="12"/>
    <s v="АО «ИК «РИКОМ-ТРАСТ»"/>
    <x v="0"/>
    <s v="ч.9 ст.15.29 КоАП РФ"/>
    <x v="3"/>
    <n v="700000"/>
    <n v="1000000"/>
  </r>
  <r>
    <n v="49"/>
    <x v="12"/>
    <s v="ООО «КВАЛИТИ»"/>
    <x v="0"/>
    <s v="ч.9 ст.19.5 КоАП РФ"/>
    <x v="5"/>
    <n v="500000"/>
    <n v="700000"/>
  </r>
  <r>
    <n v="50"/>
    <x v="12"/>
    <s v="ООО «THEДЕНЬГИ.РУ»"/>
    <x v="0"/>
    <s v="ч.9 ст.19.5 КоАП РФ"/>
    <x v="5"/>
    <n v="500000"/>
    <n v="700000"/>
  </r>
  <r>
    <n v="51"/>
    <x v="12"/>
    <s v="ООО «ПФЛ НОВЫЕ ИНВЕСТИЦИИ»"/>
    <x v="0"/>
    <s v="ч.1 ст.19.7.3 КоАП РФ"/>
    <x v="4"/>
    <n v="500000"/>
    <n v="700000"/>
  </r>
  <r>
    <n v="52"/>
    <x v="12"/>
    <s v="ООО «ТОЧКА ИНВЕСТИЦИИ»"/>
    <x v="0"/>
    <s v="ч.1 ст.19.7.3 КоАП РФ"/>
    <x v="2"/>
    <n v="500000"/>
    <n v="700000"/>
  </r>
  <r>
    <n v="53"/>
    <x v="12"/>
    <s v="Акционерное общество &quot;Частные Активы&quot;"/>
    <x v="0"/>
    <s v="ч.12 ст.15.29 КоАП РФ"/>
    <x v="2"/>
    <n v="300000"/>
    <n v="500000"/>
  </r>
  <r>
    <n v="54"/>
    <x v="12"/>
    <s v="Общество с ограниченной ответственностью Управляющая Компания &quot;Юнион Инвест Групп&quot;"/>
    <x v="0"/>
    <s v="ч.9 ст.15.29 КоАП РФ"/>
    <x v="4"/>
    <n v="700000"/>
    <n v="1000000"/>
  </r>
  <r>
    <n v="54"/>
    <x v="12"/>
    <s v="Общество с ограниченной ответственностью Управляющая Компания &quot;Юнион Инвест Групп&quot;"/>
    <x v="0"/>
    <s v="ч.12 ст.15.29 КоАП РФ"/>
    <x v="9"/>
    <n v="300000"/>
    <n v="500000"/>
  </r>
  <r>
    <n v="55"/>
    <x v="12"/>
    <s v="Акционерное общество Негосударственный пенсионный фонд ВТБ Пенсионный фонд"/>
    <x v="0"/>
    <s v="ч.9 ст.15.29 КоАП РФ"/>
    <x v="0"/>
    <n v="700000"/>
    <n v="1000000"/>
  </r>
  <r>
    <n v="56"/>
    <x v="12"/>
    <s v="Акционерное общество «Управляющая Компания ТРИНФИКО»"/>
    <x v="0"/>
    <s v="ч.2 ст.15.19 КоАП РФ"/>
    <x v="2"/>
    <n v="700000"/>
    <n v="1000000"/>
  </r>
  <r>
    <n v="57"/>
    <x v="12"/>
    <s v="Акционерное общество «АБ Капитал»"/>
    <x v="0"/>
    <s v="ч.2 ст.15.19 КоАП РФ"/>
    <x v="2"/>
    <n v="700000"/>
    <n v="1000000"/>
  </r>
  <r>
    <n v="58"/>
    <x v="12"/>
    <s v="Акционерное общество «Инвестиционная компания «РИКОМ-ТРАСТ»"/>
    <x v="0"/>
    <s v="ч.2 ст.15.29 КоАП РФ"/>
    <x v="10"/>
    <n v="500000"/>
    <n v="700000"/>
  </r>
  <r>
    <n v="59"/>
    <x v="12"/>
    <s v="Общество с ограниченной ответственностью «Т-Капитал»"/>
    <x v="0"/>
    <s v="ч.2 ст.15.19 КоАП РФ"/>
    <x v="0"/>
    <n v="700000"/>
    <n v="1000000"/>
  </r>
  <r>
    <n v="60"/>
    <x v="12"/>
    <s v="Общество с ограниченной ответственностью «РСХБ Управление Активами»"/>
    <x v="0"/>
    <s v="ч.12 ст.15.29 КоАП РФ"/>
    <x v="11"/>
    <n v="300000"/>
    <n v="500000"/>
  </r>
  <r>
    <n v="61"/>
    <x v="13"/>
    <s v="Акционерное общество  «Объединенное кредитное бюро»"/>
    <x v="0"/>
    <s v="ч.1 ст.19.7.3 КоАП РФ"/>
    <x v="0"/>
    <n v="500000"/>
    <n v="700000"/>
  </r>
  <r>
    <n v="62"/>
    <x v="13"/>
    <s v="Пивень Наталья Анатольевна"/>
    <x v="1"/>
    <s v="ст.15.30 КоАП РФ"/>
    <x v="7"/>
    <n v="3000"/>
    <n v="5000"/>
  </r>
  <r>
    <n v="63"/>
    <x v="13"/>
    <s v="Акционерное общество «Объединенное кредитное бюро»"/>
    <x v="0"/>
    <s v="ч.1 ст.19.7.3 КоАП РФ"/>
    <x v="0"/>
    <n v="500000"/>
    <n v="700000"/>
  </r>
  <r>
    <n v="64"/>
    <x v="13"/>
    <s v="Пивень Демид Романович"/>
    <x v="1"/>
    <s v="ст.15.30 КоАП РФ"/>
    <x v="7"/>
    <n v="3000"/>
    <n v="5000"/>
  </r>
  <r>
    <n v="65"/>
    <x v="14"/>
    <s v="Акционерное общество &quot;Инвестиционная компания &quot;Лидер&quot;"/>
    <x v="0"/>
    <s v="ч.2 ст.15.29 КоАП РФ"/>
    <x v="2"/>
    <n v="500000"/>
    <n v="700000"/>
  </r>
  <r>
    <n v="66"/>
    <x v="15"/>
    <s v="Кувшинова Анна Викторовна"/>
    <x v="1"/>
    <s v="ст.15.30 КоАП РФ"/>
    <x v="7"/>
    <n v="3000"/>
    <n v="5000"/>
  </r>
  <r>
    <n v="67"/>
    <x v="15"/>
    <s v="Кувшинов Роман Сергеевич"/>
    <x v="1"/>
    <s v="ст.15.30 КоАП РФ"/>
    <x v="7"/>
    <n v="3000"/>
    <n v="5000"/>
  </r>
  <r>
    <n v="68"/>
    <x v="15"/>
    <s v="Чамкин Михаил Александрович"/>
    <x v="1"/>
    <s v="ст.15.30 КоАП РФ"/>
    <x v="8"/>
    <n v="3000"/>
    <n v="5000"/>
  </r>
  <r>
    <n v="69"/>
    <x v="15"/>
    <s v="ОБЩЕСТВО С ОГРАНИЧЕННОЙ ОТВЕТСТВЕННОСТЬЮ &quot;НАРОДНАЯ ИНВЕСТИЦИОННАЯ ПЛАТФОРМА&quot;"/>
    <x v="0"/>
    <s v="ч.9 ст.19.5 КоАП РФ"/>
    <x v="5"/>
    <n v="500000"/>
    <n v="700000"/>
  </r>
  <r>
    <n v="70"/>
    <x v="15"/>
    <s v="Акционерное общество «Управляющая компания «Первая»"/>
    <x v="0"/>
    <s v="ч.6 ст.15.29 КоАП РФ"/>
    <x v="0"/>
    <n v="700000"/>
    <n v="1000000"/>
  </r>
  <r>
    <n v="71"/>
    <x v="15"/>
    <s v="Акционерное общество_x000d__x000a_«Контрада Капитал»"/>
    <x v="0"/>
    <s v="ч.12 ст.15.29 КоАП РФ"/>
    <x v="9"/>
    <n v="300000"/>
    <n v="500000"/>
  </r>
  <r>
    <n v="71"/>
    <x v="15"/>
    <s v="Акционерное общество_x000d__x000a_«Контрада Капитал»"/>
    <x v="0"/>
    <s v="ч.6 ст.15.29 КоАП РФ"/>
    <x v="4"/>
    <n v="700000"/>
    <n v="1000000"/>
  </r>
  <r>
    <n v="72"/>
    <x v="16"/>
    <s v="Общество с ограниченной ответственностью &quot;ТОРГОВАЯ СИСТЕМА&quot;"/>
    <x v="0"/>
    <s v="ст.15.30 КоАП РФ"/>
    <x v="4"/>
    <n v="700000"/>
    <s v="в размере суммы излишнего дохода… но не менее 700 000 рублей"/>
  </r>
  <r>
    <n v="73"/>
    <x v="16"/>
    <s v="Кривова Надежда Юнусовна"/>
    <x v="1"/>
    <s v="ст.15.30 КоАП РФ"/>
    <x v="7"/>
    <n v="3000"/>
    <n v="5000"/>
  </r>
  <r>
    <n v="74"/>
    <x v="16"/>
    <s v="Кривов Вадим Иванович"/>
    <x v="1"/>
    <s v="ст.15.30 КоАП РФ"/>
    <x v="7"/>
    <n v="3000"/>
    <n v="5000"/>
  </r>
  <r>
    <n v="75"/>
    <x v="16"/>
    <s v="Общество с ограниченной_x000d__x000a_ответственностью_x000d__x000a_«Совкомбанк Управление_x000d__x000a_Активами»"/>
    <x v="0"/>
    <s v="ч.12 ст.15.29 КоАП РФ"/>
    <x v="2"/>
    <n v="300000"/>
    <n v="500000"/>
  </r>
  <r>
    <n v="76"/>
    <x v="17"/>
    <s v="Общество с ограниченной ответственностью &quot;Зитрон&quot;"/>
    <x v="0"/>
    <s v="ст.15.30 КоАП РФ"/>
    <x v="4"/>
    <n v="700000"/>
    <s v="в размере суммы излишнего дохода… но не менее 700 000 рублей"/>
  </r>
  <r>
    <n v="77"/>
    <x v="17"/>
    <s v="Акционерное общество «НРК-Р.О.С.Т.»"/>
    <x v="0"/>
    <s v="ч.7 ст.15.29 КоАП РФ"/>
    <x v="10"/>
    <n v="500000"/>
    <n v="700000"/>
  </r>
  <r>
    <n v="78"/>
    <x v="17"/>
    <s v="Общество с ограниченной ответственностью «Бюро кредитных историй КредитИнфо»"/>
    <x v="0"/>
    <s v="ч.1 ст.19.7.3 КоАП РФ"/>
    <x v="10"/>
    <n v="500000"/>
    <n v="700000"/>
  </r>
  <r>
    <n v="79"/>
    <x v="17"/>
    <s v="Общество с ограниченной ответственностью «Апрель Капитал Брокер»"/>
    <x v="0"/>
    <s v="ч.2 ст.15.29 КоАП РФ"/>
    <x v="2"/>
    <n v="500000"/>
    <n v="700000"/>
  </r>
  <r>
    <n v="80"/>
    <x v="18"/>
    <s v="Акционерное общество_x000d__x000a_«Всероссийский банк_x000d__x000a_развития регионов»"/>
    <x v="0"/>
    <s v="ч.12 ст.15.29 КоАП РФ"/>
    <x v="2"/>
    <n v="300000"/>
    <n v="500000"/>
  </r>
  <r>
    <n v="81"/>
    <x v="19"/>
    <s v="Денисова Екатерина Алексеевна"/>
    <x v="1"/>
    <s v="ст.15.30 КоАП РФ"/>
    <x v="7"/>
    <n v="3000"/>
    <n v="5000"/>
  </r>
  <r>
    <n v="82"/>
    <x v="20"/>
    <s v="Абхаликов Марсель Абдулвалеевич"/>
    <x v="1"/>
    <s v="ст.15.30 КоАП РФ"/>
    <x v="7"/>
    <n v="3000"/>
    <n v="5000"/>
  </r>
  <r>
    <n v="83"/>
    <x v="21"/>
    <s v="Богачев Алексей Анатольевич"/>
    <x v="1"/>
    <s v="ст.15.30 КоАП РФ"/>
    <x v="7"/>
    <n v="3000"/>
    <n v="5000"/>
  </r>
  <r>
    <n v="84"/>
    <x v="22"/>
    <s v="Акционерное общество «Управляющая компания «Парадигма»"/>
    <x v="0"/>
    <s v="ч.12 ст.15.29 КоАП РФ"/>
    <x v="2"/>
    <n v="300000"/>
    <n v="500000"/>
  </r>
  <r>
    <n v="85"/>
    <x v="23"/>
    <s v="Сысун Константин Валерьевич"/>
    <x v="1"/>
    <s v="ст.15.30 КоАП РФ"/>
    <x v="7"/>
    <n v="3000"/>
    <n v="5000"/>
  </r>
  <r>
    <n v="86"/>
    <x v="23"/>
    <s v="Краснов Борис Владимирович"/>
    <x v="1"/>
    <s v="ст.15.30 КоАП РФ"/>
    <x v="7"/>
    <n v="3000"/>
    <n v="5000"/>
  </r>
  <r>
    <n v="87"/>
    <x v="24"/>
    <s v="Общество с ограниченной ответственностью «МКБ Инвестиции»"/>
    <x v="0"/>
    <s v="ч.9 ст.15.29 КоАП РФ"/>
    <x v="0"/>
    <n v="700000"/>
    <n v="1000000"/>
  </r>
  <r>
    <n v="88"/>
    <x v="24"/>
    <s v="Акционерное общество «Негосударственный пенсионный фонд «БЛАГОСОСТОЯНИЕ»"/>
    <x v="0"/>
    <s v="ч.9 ст.15.29 КоАП РФ"/>
    <x v="0"/>
    <n v="700000"/>
    <n v="1000000"/>
  </r>
  <r>
    <n v="89"/>
    <x v="25"/>
    <s v="Акционерное общество «Инвестиционная компания «РИКОМ-ТРАСТ»"/>
    <x v="0"/>
    <s v="ч.2 ст.15.19 КоАП РФ"/>
    <x v="0"/>
    <n v="700000"/>
    <n v="1000000"/>
  </r>
  <r>
    <n v="90"/>
    <x v="26"/>
    <s v="Акционерное общество &quot;Национальное бюро кредитных историй!"/>
    <x v="0"/>
    <s v="ст.14.30 КоАП РФ"/>
    <x v="12"/>
    <n v="10000"/>
    <n v="20000"/>
  </r>
  <r>
    <n v="91"/>
    <x v="27"/>
    <s v="Акционерное общество «Инвестиционная компания «РИКОМ-ТРАСТ»"/>
    <x v="0"/>
    <s v="ч.1 ст.19.7.3 КоАП РФ"/>
    <x v="0"/>
    <n v="500000"/>
    <n v="700000"/>
  </r>
  <r>
    <n v="92"/>
    <x v="27"/>
    <s v="Акционерное общество «ТБанк»"/>
    <x v="0"/>
    <s v="ч.2 ст.15.19 КоАП РФ"/>
    <x v="0"/>
    <n v="700000"/>
    <n v="1000000"/>
  </r>
  <r>
    <n v="93"/>
    <x v="27"/>
    <s v="Акционерное общество «Райффайзенбанк»"/>
    <x v="0"/>
    <s v="ч.2 ст.15.19 КоАП РФ"/>
    <x v="0"/>
    <n v="700000"/>
    <n v="1000000"/>
  </r>
  <r>
    <n v="94"/>
    <x v="27"/>
    <s v="Общество с ограниченной ответственностью Управляющая компания «Надежное управление»"/>
    <x v="0"/>
    <s v="ч.12 ст.15.29 КоАП РФ"/>
    <x v="13"/>
    <n v="300000"/>
    <n v="500000"/>
  </r>
  <r>
    <n v="95"/>
    <x v="28"/>
    <s v="Агамирова Ламара Бегларовна"/>
    <x v="1"/>
    <s v="ст.15.30 КоАП РФ"/>
    <x v="7"/>
    <n v="3000"/>
    <n v="5000"/>
  </r>
  <r>
    <n v="96"/>
    <x v="28"/>
    <s v="Третьякова Надежда Яковлевна"/>
    <x v="1"/>
    <s v="ст.15.30 КоАП РФ"/>
    <x v="7"/>
    <n v="3000"/>
    <n v="5000"/>
  </r>
  <r>
    <n v="97"/>
    <x v="28"/>
    <s v="ООО УК «ФИН-Партнер»"/>
    <x v="0"/>
    <s v="ч.12 ст.15.29 КоАП РФ"/>
    <x v="2"/>
    <n v="300000"/>
    <n v="500000"/>
  </r>
  <r>
    <n v="98"/>
    <x v="28"/>
    <s v="Акционерное общество «СОЛИД Менеджмент»"/>
    <x v="0"/>
    <s v="ч.2 ст.15.19 КоАП РФ"/>
    <x v="4"/>
    <n v="700000"/>
    <n v="1000000"/>
  </r>
  <r>
    <n v="98"/>
    <x v="28"/>
    <s v="Акционерное общество «СОЛИД Менеджмент»"/>
    <x v="0"/>
    <s v="ч.2 ст.15.19 КоАП РФ"/>
    <x v="4"/>
    <n v="700000"/>
    <n v="1000000"/>
  </r>
  <r>
    <n v="99"/>
    <x v="29"/>
    <s v="АО «НРК-Р.О.С.Т.»"/>
    <x v="0"/>
    <s v="ч.1 ст.19.7.3 КоАП РФ"/>
    <x v="2"/>
    <n v="500000"/>
    <n v="700000"/>
  </r>
  <r>
    <n v="100"/>
    <x v="30"/>
    <s v="ОБЩЕСТВО С ОГРАНИЧЕННОЙ ОТВЕТСТВЕННОСТЬЮ «НАРОДНАЯ ИНВЕСТИЦИОННАЯ ПЛАТФОРМА»"/>
    <x v="0"/>
    <s v="ч.9 ст.19.5 КоАП РФ"/>
    <x v="5"/>
    <n v="500000"/>
    <n v="700000"/>
  </r>
  <r>
    <n v="101"/>
    <x v="30"/>
    <s v="Общество с ограниченной ответственностью ВИМ Сбережения"/>
    <x v="0"/>
    <s v="ч.9 ст.15.29 КоАП РФ"/>
    <x v="0"/>
    <n v="700000"/>
    <n v="1000000"/>
  </r>
  <r>
    <n v="102"/>
    <x v="31"/>
    <s v="Кислица Дмитрий Николаевич"/>
    <x v="1"/>
    <s v="ст.15.30 КоАП РФ"/>
    <x v="7"/>
    <n v="3000"/>
    <n v="5000"/>
  </r>
  <r>
    <n v="103"/>
    <x v="31"/>
    <s v="Гаспарян Сергей Эдуардович"/>
    <x v="1"/>
    <s v="ст.15.30 КоАП РФ"/>
    <x v="7"/>
    <n v="3000"/>
    <n v="5000"/>
  </r>
  <r>
    <n v="104"/>
    <x v="31"/>
    <s v="Ледник Мария Ивановна"/>
    <x v="1"/>
    <s v="ст.15.30 КоАП РФ"/>
    <x v="7"/>
    <n v="3000"/>
    <n v="5000"/>
  </r>
  <r>
    <n v="105"/>
    <x v="31"/>
    <s v="Финк Александр Яковлевич"/>
    <x v="1"/>
    <s v="ст.15.30 КоАП РФ"/>
    <x v="7"/>
    <n v="3000"/>
    <n v="5000"/>
  </r>
  <r>
    <n v="106"/>
    <x v="31"/>
    <s v="Когай Геннадий Григорьевич"/>
    <x v="1"/>
    <s v="ст.15.30 КоАП РФ"/>
    <x v="7"/>
    <n v="3000"/>
    <n v="5000"/>
  </r>
  <r>
    <n v="107"/>
    <x v="31"/>
    <s v="Багров Дмитрий Андреевич"/>
    <x v="1"/>
    <s v="ст.15.30 КоАП РФ"/>
    <x v="7"/>
    <n v="3000"/>
    <n v="5000"/>
  </r>
  <r>
    <n v="108"/>
    <x v="31"/>
    <s v="Денисов Павел Геннадьевич"/>
    <x v="1"/>
    <s v="ст.15.30 КоАП РФ"/>
    <x v="7"/>
    <n v="3000"/>
    <n v="5000"/>
  </r>
  <r>
    <n v="109"/>
    <x v="32"/>
    <s v="Бастракова Дарья Дмитриевна"/>
    <x v="1"/>
    <s v="ст.15.30 КоАП РФ"/>
    <x v="7"/>
    <n v="3000"/>
    <n v="5000"/>
  </r>
  <r>
    <n v="110"/>
    <x v="32"/>
    <s v="Трубина Наталья Владимировна"/>
    <x v="1"/>
    <s v="ст.15.30 КоАП РФ"/>
    <x v="7"/>
    <n v="3000"/>
    <n v="5000"/>
  </r>
  <r>
    <n v="111"/>
    <x v="33"/>
    <s v="Горячева Елена Петровна"/>
    <x v="1"/>
    <s v="ст.15.30 КоАП РФ"/>
    <x v="7"/>
    <n v="3000"/>
    <n v="5000"/>
  </r>
  <r>
    <n v="112"/>
    <x v="34"/>
    <s v="Медюх Игорь Иосифович"/>
    <x v="1"/>
    <s v="ст.15.30 КоАП РФ"/>
    <x v="7"/>
    <n v="3000"/>
    <n v="5000"/>
  </r>
  <r>
    <n v="113"/>
    <x v="34"/>
    <s v="Медюх Елена Геннадьевна"/>
    <x v="1"/>
    <s v="ст.15.30 КоАП РФ"/>
    <x v="7"/>
    <n v="3000"/>
    <n v="5000"/>
  </r>
  <r>
    <n v="114"/>
    <x v="34"/>
    <s v="Байкова Анастасия Юрьевна"/>
    <x v="1"/>
    <s v="ст.15.30 КоАП РФ"/>
    <x v="7"/>
    <n v="3000"/>
    <n v="5000"/>
  </r>
  <r>
    <n v="115"/>
    <x v="35"/>
    <s v="Бурыкина Оксана Валентиновна"/>
    <x v="1"/>
    <s v="ст.15.30 КоАП РФ"/>
    <x v="7"/>
    <n v="3000"/>
    <n v="5000"/>
  </r>
  <r>
    <n v="116"/>
    <x v="35"/>
    <s v="Кислица Егор Дмитриевич"/>
    <x v="1"/>
    <s v="ст.15.30 КоАП РФ"/>
    <x v="7"/>
    <n v="3000"/>
    <n v="5000"/>
  </r>
  <r>
    <n v="117"/>
    <x v="35"/>
    <s v="Савина Александра Юрьевна"/>
    <x v="1"/>
    <s v="ст.15.30 КоАП РФ"/>
    <x v="7"/>
    <n v="3000"/>
    <n v="5000"/>
  </r>
  <r>
    <n v="118"/>
    <x v="35"/>
    <s v="Комаров Михаил Владимирович"/>
    <x v="1"/>
    <s v="ст.15.30 КоАП РФ"/>
    <x v="7"/>
    <n v="3000"/>
    <n v="5000"/>
  </r>
  <r>
    <n v="119"/>
    <x v="35"/>
    <s v="Акционерное общество «Объединенное Кредитное Бюро»"/>
    <x v="0"/>
    <s v="ч.2 ст.5.54 КоАП РФ"/>
    <x v="14"/>
    <n v="30000"/>
    <n v="50000"/>
  </r>
  <r>
    <n v="119"/>
    <x v="35"/>
    <s v="Акционерное общество «Объединенное Кредитное Бюро»"/>
    <x v="0"/>
    <s v="ч.1 ст.5.54 КоАП РФ"/>
    <x v="15"/>
    <n v="10000"/>
    <n v="20000"/>
  </r>
  <r>
    <n v="119"/>
    <x v="35"/>
    <s v="Акционерное общество «Объединенное Кредитное Бюро»"/>
    <x v="0"/>
    <s v="ч.1 ст.5.54 КоАП РФ"/>
    <x v="15"/>
    <n v="10000"/>
    <n v="20000"/>
  </r>
  <r>
    <n v="120"/>
    <x v="35"/>
    <s v="Акционерное общество «СОЛИД Менеджмент»"/>
    <x v="0"/>
    <s v="ч.12 ст.15.29 КоАП РФ"/>
    <x v="9"/>
    <n v="300000"/>
    <n v="500000"/>
  </r>
  <r>
    <n v="121"/>
    <x v="35"/>
    <s v="Акционерное общество_x000d__x000a_Инвестиционно-финансовая_x000d__x000a_компания «Солид»"/>
    <x v="0"/>
    <s v="ч.2 ст.15.29 КоАП РФ"/>
    <x v="16"/>
    <n v="500000"/>
    <n v="700000"/>
  </r>
  <r>
    <n v="122"/>
    <x v="35"/>
    <s v="Общество с ограниченной ответственностью «Управляющая компания «ГЕРФИН»"/>
    <x v="0"/>
    <s v="ч.9 ст.15.29 КоАП РФ"/>
    <x v="4"/>
    <n v="700000"/>
    <n v="1000000"/>
  </r>
  <r>
    <n v="122"/>
    <x v="35"/>
    <s v="Общество с ограниченной ответственностью «Управляющая компания «ГЕРФИН»"/>
    <x v="0"/>
    <s v="ч.9 ст.15.29 КоАП РФ"/>
    <x v="4"/>
    <n v="700000"/>
    <n v="1000000"/>
  </r>
  <r>
    <n v="122"/>
    <x v="35"/>
    <s v="Общество с ограниченной ответственностью «Управляющая компания «ГЕРФИН»"/>
    <x v="0"/>
    <s v="ч.9 ст.15.29 КоАП РФ"/>
    <x v="4"/>
    <n v="700000"/>
    <n v="1000000"/>
  </r>
  <r>
    <n v="122"/>
    <x v="35"/>
    <s v="Общество с ограниченной ответственностью «Управляющая компания «ГЕРФИН»"/>
    <x v="0"/>
    <s v="ч.9 ст.15.29 КоАП РФ"/>
    <x v="4"/>
    <n v="700000"/>
    <n v="1000000"/>
  </r>
  <r>
    <n v="122"/>
    <x v="35"/>
    <s v="Общество с ограниченной ответственностью «Управляющая компания «ГЕРФИН»"/>
    <x v="0"/>
    <s v="ч.9 ст.15.29 КоАП РФ"/>
    <x v="4"/>
    <n v="700000"/>
    <n v="1000000"/>
  </r>
  <r>
    <n v="122"/>
    <x v="35"/>
    <s v="Общество с ограниченной ответственностью «Управляющая компания «ГЕРФИН»"/>
    <x v="0"/>
    <s v="ч.9 ст.15.29 КоАП РФ"/>
    <x v="4"/>
    <n v="700000"/>
    <n v="1000000"/>
  </r>
  <r>
    <n v="122"/>
    <x v="35"/>
    <s v="Общество с ограниченной ответственностью «Управляющая компания «ГЕРФИН»"/>
    <x v="0"/>
    <s v="ч.9 ст.15.29 КоАП РФ"/>
    <x v="4"/>
    <n v="700000"/>
    <n v="1000000"/>
  </r>
  <r>
    <n v="123"/>
    <x v="35"/>
    <s v="Акционерное общество «Управляющая компания «Первая»"/>
    <x v="0"/>
    <s v="ч.6 ст.15.29 КоАП РФ"/>
    <x v="0"/>
    <n v="700000"/>
    <n v="1000000"/>
  </r>
  <r>
    <n v="124"/>
    <x v="36"/>
    <s v="Бурыкин Иван Терентьевич"/>
    <x v="1"/>
    <s v="ст.15.30 КоАП РФ"/>
    <x v="7"/>
    <n v="3000"/>
    <n v="5000"/>
  </r>
  <r>
    <n v="125"/>
    <x v="36"/>
    <s v="Глазкова Екатерина Николаевна"/>
    <x v="1"/>
    <s v="ст.15.30 КоАП РФ"/>
    <x v="7"/>
    <n v="3000"/>
    <n v="5000"/>
  </r>
  <r>
    <n v="126"/>
    <x v="36"/>
    <s v="Глазков Алексей Геннадьевич"/>
    <x v="1"/>
    <s v="ст.15.30 КоАП РФ"/>
    <x v="7"/>
    <n v="3000"/>
    <n v="5000"/>
  </r>
  <r>
    <n v="127"/>
    <x v="36"/>
    <s v="Ювженко Александр Витальевич"/>
    <x v="1"/>
    <s v="ст.15.30 КоАП РФ"/>
    <x v="7"/>
    <n v="3000"/>
    <n v="5000"/>
  </r>
  <r>
    <n v="128"/>
    <x v="37"/>
    <s v="АО «ИК «РИКОМ-ТРАСТ"/>
    <x v="0"/>
    <s v="ч.1 ст.19.7.3 КоАП РФ"/>
    <x v="0"/>
    <n v="500000"/>
    <n v="700000"/>
  </r>
  <r>
    <n v="129"/>
    <x v="37"/>
    <s v="Сулейманова Танья Нурмухаметовна"/>
    <x v="1"/>
    <s v="ст.15.30 КоАП РФ"/>
    <x v="7"/>
    <n v="3000"/>
    <n v="5000"/>
  </r>
  <r>
    <n v="130"/>
    <x v="37"/>
    <s v="Кемайкин Григорий Владимирович"/>
    <x v="1"/>
    <s v="ст.15.30 КоАП РФ"/>
    <x v="7"/>
    <n v="3000"/>
    <n v="5000"/>
  </r>
  <r>
    <n v="131"/>
    <x v="37"/>
    <s v="Яковлева Надежда Александровна"/>
    <x v="1"/>
    <s v="ст.15.30 КоАП РФ"/>
    <x v="7"/>
    <n v="3000"/>
    <n v="5000"/>
  </r>
  <r>
    <n v="132"/>
    <x v="37"/>
    <s v="Яковлев Алексей Владимирович"/>
    <x v="1"/>
    <s v="ст.15.30 КоАП РФ"/>
    <x v="7"/>
    <n v="3000"/>
    <n v="5000"/>
  </r>
  <r>
    <n v="133"/>
    <x v="37"/>
    <s v="Акционерное общество &quot;Национальное бюро кредитных историй&quot;"/>
    <x v="0"/>
    <s v="ст.14.30 КоАП РФ"/>
    <x v="12"/>
    <n v="10000"/>
    <n v="20000"/>
  </r>
  <r>
    <n v="134"/>
    <x v="38"/>
    <s v="Горячев Дмитрий Александрович"/>
    <x v="1"/>
    <s v="ст.15.30 КоАП РФ"/>
    <x v="7"/>
    <n v="3000"/>
    <n v="5000"/>
  </r>
  <r>
    <n v="135"/>
    <x v="38"/>
    <s v="Сулейманов Алмаз Рафикович"/>
    <x v="1"/>
    <s v="ст.15.30 КоАП РФ"/>
    <x v="7"/>
    <n v="3000"/>
    <n v="5000"/>
  </r>
  <r>
    <n v="136"/>
    <x v="38"/>
    <s v="Плахута Михаил Сергеевич"/>
    <x v="1"/>
    <s v="ст.15.30 КоАП РФ"/>
    <x v="7"/>
    <n v="3000"/>
    <n v="5000"/>
  </r>
  <r>
    <n v="137"/>
    <x v="39"/>
    <s v="Шилова Елена Михайловна"/>
    <x v="1"/>
    <s v="ст.15.30 КоАП РФ"/>
    <x v="7"/>
    <n v="3000"/>
    <n v="5000"/>
  </r>
  <r>
    <n v="138"/>
    <x v="39"/>
    <s v="Шилов Дмитрий Игоревич"/>
    <x v="1"/>
    <s v="ст.15.30 КоАП РФ"/>
    <x v="7"/>
    <n v="3000"/>
    <n v="5000"/>
  </r>
  <r>
    <n v="139"/>
    <x v="39"/>
    <s v="Кемайкина Юлия Александровна"/>
    <x v="1"/>
    <s v="ст.15.30 КоАП РФ"/>
    <x v="7"/>
    <n v="3000"/>
    <n v="5000"/>
  </r>
  <r>
    <n v="140"/>
    <x v="39"/>
    <s v="Общество с ограниченной ответственностью «Инвестиционная компания «Титульный Брокер»"/>
    <x v="0"/>
    <s v="ч.9 ст.15.29 КоАП РФ"/>
    <x v="2"/>
    <n v="700000"/>
    <n v="1000000"/>
  </r>
  <r>
    <n v="141"/>
    <x v="40"/>
    <s v="Трефилова Мария Сергеевна"/>
    <x v="1"/>
    <s v="ст.15.30 КоАП РФ"/>
    <x v="7"/>
    <n v="3000"/>
    <n v="5000"/>
  </r>
  <r>
    <n v="142"/>
    <x v="41"/>
    <s v="Янковская Марина Владимировна"/>
    <x v="1"/>
    <s v="ст.15.30 КоАП РФ"/>
    <x v="7"/>
    <n v="3000"/>
    <n v="5000"/>
  </r>
  <r>
    <n v="143"/>
    <x v="41"/>
    <s v="Янковский Сергей Борисович"/>
    <x v="1"/>
    <s v="ст.15.30 КоАП РФ"/>
    <x v="7"/>
    <n v="3000"/>
    <n v="5000"/>
  </r>
  <r>
    <n v="144"/>
    <x v="41"/>
    <s v="Громовой Дмитрий Леонидович"/>
    <x v="1"/>
    <s v="ст.15.30 КоАП РФ"/>
    <x v="7"/>
    <n v="3000"/>
    <n v="5000"/>
  </r>
  <r>
    <n v="145"/>
    <x v="41"/>
    <s v="Никитин Никита Геннадьевич"/>
    <x v="1"/>
    <s v="ст.15.30 КоАП РФ"/>
    <x v="7"/>
    <n v="3000"/>
    <n v="5000"/>
  </r>
  <r>
    <n v="146"/>
    <x v="41"/>
    <s v="Плахута Эмилия Сергеевна"/>
    <x v="1"/>
    <s v="ст.15.30 КоАП РФ"/>
    <x v="7"/>
    <n v="3000"/>
    <n v="5000"/>
  </r>
  <r>
    <n v="147"/>
    <x v="41"/>
    <s v="Третьяков Александр Евгеньевич"/>
    <x v="1"/>
    <s v="ст.15.30 КоАП РФ"/>
    <x v="7"/>
    <n v="3000"/>
    <n v="5000"/>
  </r>
  <r>
    <n v="149"/>
    <x v="42"/>
    <s v="Акционерное общество коммерческий банк &quot;Ситибанк&quot;"/>
    <x v="0"/>
    <s v="ч.12 ст.15.29 КоАП РФ"/>
    <x v="2"/>
    <n v="300000"/>
    <n v="500000"/>
  </r>
  <r>
    <n v="150"/>
    <x v="42"/>
    <s v="Акционерное общество «Сбербанк КИБ»"/>
    <x v="0"/>
    <s v="ч.9 ст.15.29 КоАП РФ"/>
    <x v="2"/>
    <n v="700000"/>
    <n v="1000000"/>
  </r>
  <r>
    <n v="151"/>
    <x v="42"/>
    <s v="ООО «МКБ Инвестиции»"/>
    <x v="0"/>
    <s v="ч.1 ст.19.7.3 КоАП РФ"/>
    <x v="2"/>
    <n v="500000"/>
    <n v="700000"/>
  </r>
  <r>
    <n v="152"/>
    <x v="42"/>
    <s v="Общество с ограниченной_x000d__x000a_ответственностью_x000d__x000a_«Управляющая компания_x000d__x000a_«Альфа-Капитал»"/>
    <x v="0"/>
    <s v="ч.12 ст.15.29 КоАП РФ"/>
    <x v="6"/>
    <n v="300000"/>
    <n v="500000"/>
  </r>
  <r>
    <n v="153"/>
    <x v="42"/>
    <s v="Маслова Елена Евгеньевна"/>
    <x v="1"/>
    <s v="ст.15.30 КоАП РФ"/>
    <x v="7"/>
    <n v="3000"/>
    <n v="5000"/>
  </r>
  <r>
    <n v="154"/>
    <x v="42"/>
    <s v="Маслов Никита Иванович"/>
    <x v="1"/>
    <s v="ст.15.30 КоАП РФ"/>
    <x v="7"/>
    <n v="3000"/>
    <n v="5000"/>
  </r>
  <r>
    <n v="155"/>
    <x v="42"/>
    <s v="Подкоморная Анастасия Петровна"/>
    <x v="1"/>
    <s v="ст.15.30 КоАП РФ"/>
    <x v="7"/>
    <n v="3000"/>
    <n v="5000"/>
  </r>
  <r>
    <n v="156"/>
    <x v="42"/>
    <s v="Общество с ограниченной ответственностью Инвестиционная компания «Прайвет Капитал»"/>
    <x v="0"/>
    <s v="ч.12 ст.15.29 КоАП РФ"/>
    <x v="5"/>
    <n v="300000"/>
    <n v="500000"/>
  </r>
  <r>
    <n v="157"/>
    <x v="43"/>
    <s v="ООО «ФИНИН-К»"/>
    <x v="0"/>
    <s v="ч.9 ст.19.5 КоАП РФ"/>
    <x v="6"/>
    <n v="500000"/>
    <n v="700000"/>
  </r>
  <r>
    <n v="158"/>
    <x v="43"/>
    <s v="ООО «Поток.Диджитал»"/>
    <x v="0"/>
    <s v="ч.1 ст.19.7.3 КоАП РФ"/>
    <x v="2"/>
    <n v="500000"/>
    <n v="700000"/>
  </r>
  <r>
    <n v="159"/>
    <x v="43"/>
    <s v="ООО «СмартИнвест»"/>
    <x v="0"/>
    <s v="ч.1 ст.19.7.3 КоАП РФ"/>
    <x v="2"/>
    <n v="500000"/>
    <n v="700000"/>
  </r>
  <r>
    <n v="160"/>
    <x v="43"/>
    <s v="Прокопенко Андрей Владимирович"/>
    <x v="1"/>
    <s v="ст.15.30 КоАП РФ"/>
    <x v="7"/>
    <n v="3000"/>
    <n v="5000"/>
  </r>
  <r>
    <n v="161"/>
    <x v="43"/>
    <s v="Никитин Денис Геннадиевич"/>
    <x v="1"/>
    <s v="ст.15.30 КоАП РФ"/>
    <x v="7"/>
    <n v="3000"/>
    <n v="5000"/>
  </r>
  <r>
    <n v="162"/>
    <x v="43"/>
    <s v="Акционерное общество_x000d__x000a_«Контрада Капитал»"/>
    <x v="0"/>
    <s v="ч.12 ст.15.29 КоАП РФ"/>
    <x v="9"/>
    <n v="300000"/>
    <n v="500000"/>
  </r>
  <r>
    <n v="163"/>
    <x v="43"/>
    <s v="Трефилов Дмитрий Владимирович"/>
    <x v="1"/>
    <s v="ст.15.30 КоАП РФ"/>
    <x v="7"/>
    <n v="3000"/>
    <n v="5000"/>
  </r>
  <r>
    <n v="164"/>
    <x v="43"/>
    <s v="Дрокова Нина Михайловна"/>
    <x v="1"/>
    <s v="ст.15.30 КоАП РФ"/>
    <x v="7"/>
    <n v="3000"/>
    <n v="5000"/>
  </r>
  <r>
    <n v="165"/>
    <x v="44"/>
    <s v="Прокопенко Татьяна Александровна"/>
    <x v="1"/>
    <s v="ст.15.30 КоАП РФ"/>
    <x v="7"/>
    <n v="3000"/>
    <n v="5000"/>
  </r>
  <r>
    <n v="166"/>
    <x v="44"/>
    <s v="Воробьев Кирилл Александрович"/>
    <x v="1"/>
    <s v="ст.15.30 КоАП РФ"/>
    <x v="7"/>
    <n v="3000"/>
    <n v="5000"/>
  </r>
  <r>
    <n v="167"/>
    <x v="44"/>
    <s v="Колмаков Алексей Анатольевич"/>
    <x v="1"/>
    <s v="ст.15.30 КоАП РФ"/>
    <x v="7"/>
    <n v="3000"/>
    <n v="5000"/>
  </r>
  <r>
    <n v="168"/>
    <x v="45"/>
    <s v="Данилов Сергей Вениаминович"/>
    <x v="1"/>
    <s v="ст.15.30 КоАП РФ"/>
    <x v="7"/>
    <n v="3000"/>
    <n v="5000"/>
  </r>
  <r>
    <n v="169"/>
    <x v="45"/>
    <s v="Данилова Татьяна Владимировна"/>
    <x v="1"/>
    <s v="ст.15.30 КоАП РФ"/>
    <x v="7"/>
    <n v="3000"/>
    <n v="5000"/>
  </r>
  <r>
    <n v="170"/>
    <x v="45"/>
    <s v="Акционерное общество &quot;Объединенное Кредитное Бюро&quot;"/>
    <x v="0"/>
    <s v="ч.1 ст.5.54 КоАП РФ"/>
    <x v="15"/>
    <n v="10000"/>
    <n v="20000"/>
  </r>
  <r>
    <n v="170"/>
    <x v="45"/>
    <s v="Акционерное общество &quot;Объединенное Кредитное Бюро&quot;"/>
    <x v="0"/>
    <s v="ч.1 ст.5.54 КоАП РФ"/>
    <x v="15"/>
    <n v="10000"/>
    <n v="20000"/>
  </r>
  <r>
    <n v="171"/>
    <x v="46"/>
    <s v="Стародубцев Олег Александрович"/>
    <x v="1"/>
    <s v="ст.15.30 КоАП РФ"/>
    <x v="7"/>
    <n v="3000"/>
    <n v="5000"/>
  </r>
  <r>
    <n v="172"/>
    <x v="47"/>
    <s v="АО «Райффайзенбанк»"/>
    <x v="0"/>
    <s v="ч.12 ст.15.29 КоАП РФ"/>
    <x v="6"/>
    <n v="300000"/>
    <n v="500000"/>
  </r>
  <r>
    <n v="173"/>
    <x v="47"/>
    <s v="Общество с ограниченной ответственностью «СПЭК ИНВЕСТМЕНТ»"/>
    <x v="0"/>
    <s v="ч.2 ст.15.29 КоАП РФ"/>
    <x v="2"/>
    <n v="500000"/>
    <n v="700000"/>
  </r>
  <r>
    <n v="173"/>
    <x v="47"/>
    <s v="Общество с ограниченной ответственностью «СПЭК ИНВЕСТМЕНТ»"/>
    <x v="0"/>
    <s v="ч.2 ст.15.29 КоАП РФ"/>
    <x v="2"/>
    <n v="500000"/>
    <n v="700000"/>
  </r>
  <r>
    <n v="174"/>
    <x v="47"/>
    <s v="Переверзев Игорь Леонидович"/>
    <x v="1"/>
    <s v="ст.15.30 КоАП РФ"/>
    <x v="7"/>
    <n v="3000"/>
    <n v="5000"/>
  </r>
  <r>
    <n v="175"/>
    <x v="47"/>
    <s v="Короленко Евгений Александрович"/>
    <x v="1"/>
    <s v="ст.15.30 КоАП РФ"/>
    <x v="7"/>
    <n v="3000"/>
    <n v="5000"/>
  </r>
  <r>
    <n v="176"/>
    <x v="47"/>
    <s v="Гараева Лейла Валерьевна"/>
    <x v="1"/>
    <s v="ст.15.30 КоАП РФ"/>
    <x v="7"/>
    <n v="3000"/>
    <n v="5000"/>
  </r>
  <r>
    <n v="177"/>
    <x v="48"/>
    <s v="Переверзева Марина Анатольевна"/>
    <x v="1"/>
    <s v="ст.15.30 КоАП РФ"/>
    <x v="7"/>
    <n v="3000"/>
    <n v="5000"/>
  </r>
  <r>
    <n v="178"/>
    <x v="49"/>
    <s v="ООО УК «Движение капитала»"/>
    <x v="0"/>
    <s v="ч.12 ст.15.29 КоАП РФ"/>
    <x v="2"/>
    <n v="300000"/>
    <n v="500000"/>
  </r>
  <r>
    <n v="179"/>
    <x v="50"/>
    <s v="Шушкина Светлана  Алексеевна"/>
    <x v="1"/>
    <s v="ст.15.30 КоАП РФ"/>
    <x v="7"/>
    <n v="3000"/>
    <n v="5000"/>
  </r>
  <r>
    <n v="180"/>
    <x v="50"/>
    <s v="Черепухина Виктория Борисовна"/>
    <x v="1"/>
    <s v="ст.15.30 КоАП РФ"/>
    <x v="7"/>
    <n v="3000"/>
    <n v="5000"/>
  </r>
  <r>
    <n v="181"/>
    <x v="50"/>
    <s v="Черепухин Константин Валерьевич"/>
    <x v="1"/>
    <s v="ст.15.30 КоАП РФ"/>
    <x v="7"/>
    <n v="3000"/>
    <n v="5000"/>
  </r>
  <r>
    <n v="182"/>
    <x v="50"/>
    <s v="Акционерное общество &quot;Объединенное Кредитное Бюро&quot;"/>
    <x v="0"/>
    <s v="ч.1 ст.5.54 КоАП РФ"/>
    <x v="15"/>
    <n v="10000"/>
    <n v="20000"/>
  </r>
  <r>
    <n v="183"/>
    <x v="51"/>
    <s v="Ковтун Илья Николаевич"/>
    <x v="1"/>
    <s v="ст.15.30 КоАП РФ"/>
    <x v="7"/>
    <n v="3000"/>
    <n v="5000"/>
  </r>
  <r>
    <n v="184"/>
    <x v="52"/>
    <s v="Ковтун Лариса Николаевна"/>
    <x v="1"/>
    <s v="ст.15.30 КоАП РФ"/>
    <x v="7"/>
    <n v="3000"/>
    <n v="5000"/>
  </r>
  <r>
    <n v="185"/>
    <x v="53"/>
    <s v="Цуканов Игорь Юрьевич"/>
    <x v="1"/>
    <s v="ст.15.30 КоАП РФ"/>
    <x v="7"/>
    <n v="3000"/>
    <n v="5000"/>
  </r>
  <r>
    <n v="186"/>
    <x v="53"/>
    <s v="Цуканова Галина Николаевна"/>
    <x v="1"/>
    <s v="ст.15.30 КоАП РФ"/>
    <x v="7"/>
    <n v="3000"/>
    <n v="5000"/>
  </r>
  <r>
    <n v="187"/>
    <x v="53"/>
    <s v="Шушкин Денис Вячеславовоич"/>
    <x v="1"/>
    <s v="ст.15.30 КоАП РФ"/>
    <x v="7"/>
    <n v="3000"/>
    <n v="5000"/>
  </r>
  <r>
    <n v="188"/>
    <x v="54"/>
    <s v="Цирков Игорь Сергеевич"/>
    <x v="1"/>
    <s v="ст.15.30 КоАП РФ"/>
    <x v="7"/>
    <n v="3000"/>
    <n v="5000"/>
  </r>
  <r>
    <n v="189"/>
    <x v="54"/>
    <s v="Бушина Ольга Валерьевна"/>
    <x v="1"/>
    <s v="ст.15.30 КоАП РФ"/>
    <x v="7"/>
    <n v="3000"/>
    <n v="5000"/>
  </r>
  <r>
    <n v="190"/>
    <x v="54"/>
    <s v="Бушина Любовь Александровна"/>
    <x v="1"/>
    <s v="ст.15.30 КоАП РФ"/>
    <x v="7"/>
    <n v="3000"/>
    <n v="5000"/>
  </r>
  <r>
    <n v="191"/>
    <x v="54"/>
    <s v="Бушин Андриан Валерьевич"/>
    <x v="1"/>
    <s v="ст.15.30 КоАП РФ"/>
    <x v="7"/>
    <n v="3000"/>
    <n v="5000"/>
  </r>
  <r>
    <n v="192"/>
    <x v="55"/>
    <s v="Литвинова Ольга Борисовна"/>
    <x v="1"/>
    <s v="ст.15.30 КоАП РФ"/>
    <x v="7"/>
    <n v="3000"/>
    <n v="5000"/>
  </r>
  <r>
    <n v="193"/>
    <x v="55"/>
    <s v="Акционерное общество_x000d__x000a_Инвестиционно-финансовая_x000d__x000a_компания «Солид»"/>
    <x v="0"/>
    <s v="ч.2 ст.15.19 КоАП РФ"/>
    <x v="0"/>
    <n v="700000"/>
    <n v="1000000"/>
  </r>
  <r>
    <n v="194"/>
    <x v="55"/>
    <s v="Общество с ограниченной ответственностью «Национальное Рейтинговое Агентство»"/>
    <x v="0"/>
    <s v="ч.9 ст.19.5 КоАП РФ"/>
    <x v="5"/>
    <n v="500000"/>
    <n v="700000"/>
  </r>
  <r>
    <n v="195"/>
    <x v="55"/>
    <s v="Литвинов Андрей Александрович"/>
    <x v="1"/>
    <s v="ст.15.30 КоАП РФ"/>
    <x v="7"/>
    <n v="3000"/>
    <n v="5000"/>
  </r>
  <r>
    <n v="197"/>
    <x v="56"/>
    <s v="АО «РЕМАНИ»"/>
    <x v="0"/>
    <s v="ч.1 ст.19.7.3 КоАП РФ"/>
    <x v="5"/>
    <n v="500000"/>
    <n v="700000"/>
  </r>
  <r>
    <n v="198"/>
    <x v="56"/>
    <s v="Акционерное общество «Москва Сити Секьюритиз»"/>
    <x v="0"/>
    <s v="ч.4 ст.15.35 КоАП РФ"/>
    <x v="6"/>
    <n v="300000"/>
    <n v="700000"/>
  </r>
  <r>
    <n v="198"/>
    <x v="56"/>
    <s v="Акционерное общество «Москва Сити Секьюритиз»"/>
    <x v="0"/>
    <s v="ч.2 ст.15.35 КоАП РФ"/>
    <x v="2"/>
    <n v="300000"/>
    <n v="500000"/>
  </r>
  <r>
    <n v="199"/>
    <x v="56"/>
    <s v="Циркова Любовь Ивановна"/>
    <x v="1"/>
    <s v="ст.15.30 КоАП РФ"/>
    <x v="7"/>
    <n v="3000"/>
    <n v="5000"/>
  </r>
  <r>
    <n v="200"/>
    <x v="56"/>
    <s v="ООО «Каркаул.ру»"/>
    <x v="0"/>
    <s v="ч.1 ст.19.7.3 КоАП РФ"/>
    <x v="4"/>
    <n v="500000"/>
    <n v="700000"/>
  </r>
  <r>
    <n v="201"/>
    <x v="57"/>
    <s v="АО «Объединенное Кредитное Бюро»"/>
    <x v="0"/>
    <s v="ч.1 ст.5.54 КоАП РФ"/>
    <x v="15"/>
    <n v="10000"/>
    <n v="20000"/>
  </r>
  <r>
    <n v="202"/>
    <x v="57"/>
    <s v="Акционерное общество_x000d__x000a_«Москва Сити Секьюритиз»"/>
    <x v="0"/>
    <s v="ч.9 ст.15.29 КоАП РФ"/>
    <x v="0"/>
    <n v="700000"/>
    <n v="1000000"/>
  </r>
  <r>
    <n v="202"/>
    <x v="57"/>
    <s v="Акционерное общество_x000d__x000a_«Москва Сити Секьюритиз»"/>
    <x v="0"/>
    <s v="ч.2 ст.15.29 КоАП РФ"/>
    <x v="10"/>
    <n v="500000"/>
    <n v="700000"/>
  </r>
  <r>
    <n v="203"/>
    <x v="57"/>
    <s v="Акционерное общество «БКС Управление Благосостоянием»"/>
    <x v="0"/>
    <s v="ч.12 ст.15.29 КоАП РФ"/>
    <x v="9"/>
    <n v="300000"/>
    <n v="500000"/>
  </r>
  <r>
    <n v="204"/>
    <x v="58"/>
    <s v="Публичное акционерное общество «Московская Биржа ММВБ-РТС»"/>
    <x v="0"/>
    <s v="ч.7 ст.14.24 КоАП РФ"/>
    <x v="2"/>
    <n v="300000"/>
    <n v="500000"/>
  </r>
  <r>
    <n v="206"/>
    <x v="59"/>
    <s v="АО «Специализированный депозитарий «ИНФИНИТУМ»"/>
    <x v="0"/>
    <s v="ч.12 ст.15.29 КоАП РФ"/>
    <x v="6"/>
    <n v="300000"/>
    <n v="500000"/>
  </r>
  <r>
    <n v="207"/>
    <x v="60"/>
    <s v="Общество с ограниченной ответственностью Управляющая компания «Эра Инвестиций»"/>
    <x v="0"/>
    <s v="ч.12 ст.15.29 КоАП РФ"/>
    <x v="2"/>
    <n v="300000"/>
    <n v="500000"/>
  </r>
  <r>
    <n v="208"/>
    <x v="60"/>
    <s v="Общество с ограниченной ответственностью «РСХБ Управление Активами»"/>
    <x v="0"/>
    <s v="ч.12 ст.15.29 КоАП РФ"/>
    <x v="6"/>
    <n v="300000"/>
    <n v="500000"/>
  </r>
  <r>
    <n v="209"/>
    <x v="61"/>
    <s v="Гребенникова Татьяна Витальевна"/>
    <x v="1"/>
    <s v="ст.15.30 КоАП РФ"/>
    <x v="7"/>
    <n v="3000"/>
    <n v="5000"/>
  </r>
  <r>
    <n v="210"/>
    <x v="61"/>
    <s v="Гуревич Вадим Александрович"/>
    <x v="1"/>
    <s v="ст.15.30 КоАП РФ"/>
    <x v="7"/>
    <n v="3000"/>
    <n v="5000"/>
  </r>
  <r>
    <n v="211"/>
    <x v="61"/>
    <s v="Гуревич Иветта Абрамовна"/>
    <x v="1"/>
    <s v="ст.15.30 КоАП РФ"/>
    <x v="7"/>
    <n v="3000"/>
    <n v="5000"/>
  </r>
  <r>
    <n v="212"/>
    <x v="62"/>
    <s v="АО «Объединенное Кредитное Бюро»"/>
    <x v="0"/>
    <s v="ч.1 ст.5.54 КоАП РФ"/>
    <x v="15"/>
    <n v="10000"/>
    <n v="20000"/>
  </r>
  <r>
    <n v="215"/>
    <x v="63"/>
    <s v="Акционерное общество «Инвестиционная компания «Ай Ти Инвест»"/>
    <x v="0"/>
    <s v="ч.2 ст.15.29 КоАП РФ"/>
    <x v="10"/>
    <n v="500000"/>
    <n v="700000"/>
  </r>
  <r>
    <n v="216"/>
    <x v="63"/>
    <s v="Общество с ограниченной ответственностью Управляющая компания «Надежное управление»"/>
    <x v="0"/>
    <s v="ч.12 ст.15.29 КоАП РФ"/>
    <x v="9"/>
    <n v="300000"/>
    <n v="500000"/>
  </r>
  <r>
    <n v="217"/>
    <x v="63"/>
    <s v="ООО «ИНВЕСТИРУЙ В»"/>
    <x v="0"/>
    <s v="ч.9 ст.19.5 КоАП РФ"/>
    <x v="4"/>
    <n v="500000"/>
    <n v="700000"/>
  </r>
  <r>
    <n v="218"/>
    <x v="64"/>
    <s v="АО «Объединенное Кредитное Бюро»"/>
    <x v="0"/>
    <s v="ч.1 ст.5.54 КоАП РФ"/>
    <x v="15"/>
    <n v="10000"/>
    <n v="20000"/>
  </r>
  <r>
    <n v="219"/>
    <x v="64"/>
    <s v="Гребенников Александр Александрович"/>
    <x v="1"/>
    <s v="ст.15.30 КоАП РФ"/>
    <x v="17"/>
    <n v="3000"/>
    <n v="5000"/>
  </r>
  <r>
    <n v="220"/>
    <x v="65"/>
    <s v="Акционерное общество_x000d__x000a_«Инвестиционная компания_x000d__x000a_«РИКОМ-ТРАСТ»"/>
    <x v="0"/>
    <s v="ч.9 ст.15.29 КоАП РФ"/>
    <x v="0"/>
    <n v="700000"/>
    <n v="1000000"/>
  </r>
  <r>
    <n v="221"/>
    <x v="66"/>
    <s v="Общество с ограниченной ответственностью «Т-Инвест Лаб»"/>
    <x v="0"/>
    <s v="ч.2 ст.15.29 КоАП РФ"/>
    <x v="10"/>
    <n v="500000"/>
    <n v="700000"/>
  </r>
  <r>
    <n v="222"/>
    <x v="66"/>
    <s v="Общество с ограниченной ответственностью «Управляющая компания «Атон-менеджмент»"/>
    <x v="0"/>
    <s v="ч.12 ст.15.29 КоАП РФ"/>
    <x v="4"/>
    <n v="300000"/>
    <n v="500000"/>
  </r>
  <r>
    <n v="223"/>
    <x v="67"/>
    <s v="Акционерное общество «Межрегиональный негосударственный пенсионный фонд «АКВИЛОН»"/>
    <x v="0"/>
    <s v="ч.12 ст.15.29 КоАП РФ"/>
    <x v="2"/>
    <n v="300000"/>
    <n v="500000"/>
  </r>
  <r>
    <n v="224"/>
    <x v="68"/>
    <s v="Баринов Илья Игоревич"/>
    <x v="1"/>
    <s v="ст.15.30 КоАП РФ"/>
    <x v="7"/>
    <n v="3000"/>
    <n v="5000"/>
  </r>
  <r>
    <n v="225"/>
    <x v="68"/>
    <s v="Акционерное общество «ВИМ Инвестиции»"/>
    <x v="0"/>
    <s v="ч.12 ст.15.29 КоАП РФ"/>
    <x v="6"/>
    <n v="300000"/>
    <n v="500000"/>
  </r>
  <r>
    <n v="226"/>
    <x v="68"/>
    <s v="Общество с ограниченной ответственностью «Управляющая компания «Терра Эссет Менеджмент»"/>
    <x v="0"/>
    <s v="ч.2 ст.15.19 КоАП РФ"/>
    <x v="4"/>
    <n v="700000"/>
    <n v="1000000"/>
  </r>
  <r>
    <n v="227"/>
    <x v="68"/>
    <s v="Общество с ограниченной_x000d__x000a_ответственностью_x000d__x000a_«Цифра Брокер»"/>
    <x v="0"/>
    <s v="ч.2 ст.15.29 КоАП РФ"/>
    <x v="2"/>
    <n v="500000"/>
    <n v="700000"/>
  </r>
  <r>
    <n v="228"/>
    <x v="69"/>
    <s v="Акционерное общество «ИВА Партнерс»"/>
    <x v="0"/>
    <s v="ч.2 ст.15.19 КоАП РФ"/>
    <x v="0"/>
    <n v="700000"/>
    <n v="1000000"/>
  </r>
  <r>
    <n v="229"/>
    <x v="69"/>
    <s v="Акционерное общество_x000d__x000a_«ТуОушен Капитал»"/>
    <x v="0"/>
    <s v="ч.2 ст.15.19 КоАП РФ"/>
    <x v="2"/>
    <n v="700000"/>
    <n v="1000000"/>
  </r>
  <r>
    <n v="230"/>
    <x v="70"/>
    <s v="ООО «Селект мани»"/>
    <x v="0"/>
    <s v="ч.1 ст.19.7.3 КоАП РФ"/>
    <x v="5"/>
    <n v="500000"/>
    <n v="700000"/>
  </r>
  <r>
    <n v="231"/>
    <x v="70"/>
    <s v="ООО «Феир Финанс»"/>
    <x v="0"/>
    <s v="ч.9 ст.19.5 КоАП РФ"/>
    <x v="5"/>
    <n v="500000"/>
    <n v="700000"/>
  </r>
  <r>
    <n v="232"/>
    <x v="71"/>
    <s v="ЗАО «ПРСД»"/>
    <x v="0"/>
    <s v="ч.12 ст.15.29 КоАП РФ"/>
    <x v="6"/>
    <n v="300000"/>
    <n v="500000"/>
  </r>
  <r>
    <n v="233"/>
    <x v="71"/>
    <s v="Папкин Михаил Владимирович"/>
    <x v="1"/>
    <s v="ст.15.21 КоАП РФ"/>
    <x v="8"/>
    <n v="3000"/>
    <n v="5000"/>
  </r>
  <r>
    <n v="234"/>
    <x v="71"/>
    <s v="Шигапов Радик Мулланурович"/>
    <x v="1"/>
    <s v="ст.15.30 КоАП РФ"/>
    <x v="7"/>
    <n v="3000"/>
    <n v="5000"/>
  </r>
  <r>
    <n v="235"/>
    <x v="71"/>
    <s v="Общество с ограниченной_x000d__x000a_ответственностью_x000d__x000a_«Управляющая компания_x000d__x000a_«Формула инвестиций»"/>
    <x v="0"/>
    <s v="ч.12 ст.15.29 КоАП РФ"/>
    <x v="9"/>
    <n v="300000"/>
    <n v="500000"/>
  </r>
  <r>
    <n v="236"/>
    <x v="71"/>
    <s v="Акционерное общество_x000d__x000a_«Инвестиционная компания_x000d__x000a_«РИКОМ-ТРАСТ»"/>
    <x v="0"/>
    <s v="ч.2 ст.15.19 КоАП РФ"/>
    <x v="0"/>
    <n v="700000"/>
    <n v="1000000"/>
  </r>
  <r>
    <n v="237"/>
    <x v="71"/>
    <s v="Акционерное общество «Москва Сити Секьюритиз»"/>
    <x v="0"/>
    <s v="ч.2 ст.15.29 КоАП РФ"/>
    <x v="2"/>
    <n v="500000"/>
    <n v="700000"/>
  </r>
  <r>
    <n v="238"/>
    <x v="72"/>
    <s v="Дрожжин Антон Михайлович"/>
    <x v="1"/>
    <s v="ст.15.30 КоАП РФ"/>
    <x v="7"/>
    <n v="3000"/>
    <n v="5000"/>
  </r>
  <r>
    <n v="239"/>
    <x v="72"/>
    <s v="Фролова Ксения Владимировна"/>
    <x v="1"/>
    <s v="ст.15.30 КоАП РФ"/>
    <x v="7"/>
    <n v="3000"/>
    <n v="5000"/>
  </r>
  <r>
    <n v="240"/>
    <x v="72"/>
    <s v="Акционерное общество «ЮниКредит Банк»"/>
    <x v="0"/>
    <s v="ч.2 ст.15.19 КоАП РФ"/>
    <x v="2"/>
    <n v="700000"/>
    <n v="1000000"/>
  </r>
  <r>
    <n v="241"/>
    <x v="72"/>
    <s v="Акционерное общество «РТ-Инвест»"/>
    <x v="0"/>
    <s v="ч.12 ст.15.29 КоАП РФ"/>
    <x v="2"/>
    <n v="300000"/>
    <n v="500000"/>
  </r>
  <r>
    <n v="242"/>
    <x v="73"/>
    <s v="Фролов Михаил Сергеевич"/>
    <x v="1"/>
    <s v="ст.15.30 КоАП РФ"/>
    <x v="7"/>
    <n v="3000"/>
    <n v="5000"/>
  </r>
  <r>
    <n v="243"/>
    <x v="73"/>
    <s v="Открытое акционерное общество «РОНИН Траст»"/>
    <x v="0"/>
    <s v="ч.12 ст.15.29 КоАП РФ"/>
    <x v="2"/>
    <n v="300000"/>
    <n v="500000"/>
  </r>
  <r>
    <n v="244"/>
    <x v="73"/>
    <s v="Акционерное общество «Управляющая компания «Первая»"/>
    <x v="0"/>
    <s v="ч.6 ст.15.29 КоАП РФ"/>
    <x v="0"/>
    <n v="700000"/>
    <n v="1000000"/>
  </r>
  <r>
    <n v="244"/>
    <x v="73"/>
    <s v="Акционерное общество «Управляющая компания «Первая»"/>
    <x v="0"/>
    <s v="ч.12 ст.15.29 КоАП РФ"/>
    <x v="6"/>
    <n v="300000"/>
    <n v="500000"/>
  </r>
  <r>
    <n v="245"/>
    <x v="73"/>
    <s v="Акционерное общество УК «Доверительная»"/>
    <x v="0"/>
    <s v="ч.2 ст.15.29 КоАП РФ"/>
    <x v="2"/>
    <n v="500000"/>
    <n v="700000"/>
  </r>
  <r>
    <n v="246"/>
    <x v="73"/>
    <s v="ООО «ИНВЕСТИРУЙ В»"/>
    <x v="0"/>
    <s v="ч.9 ст.19.5 КоАП РФ"/>
    <x v="4"/>
    <n v="500000"/>
    <n v="700000"/>
  </r>
  <r>
    <n v="247"/>
    <x v="74"/>
    <s v="Кушнир Андрей Николаевич"/>
    <x v="1"/>
    <s v="ст.15.30 КоАП РФ"/>
    <x v="7"/>
    <n v="3000"/>
    <n v="5000"/>
  </r>
  <r>
    <n v="248"/>
    <x v="75"/>
    <s v="Хрусталев Иван Дмитриевич"/>
    <x v="1"/>
    <s v="ст.15.30 КоАП РФ"/>
    <x v="7"/>
    <n v="3000"/>
    <n v="5000"/>
  </r>
  <r>
    <n v="249"/>
    <x v="75"/>
    <s v="Хрусталева Альбина Дмитриевна"/>
    <x v="1"/>
    <s v="ст.15.30 КоАП РФ"/>
    <x v="7"/>
    <n v="3000"/>
    <n v="5000"/>
  </r>
  <r>
    <n v="250"/>
    <x v="75"/>
    <s v="АО &quot;Объединенное Кредитное Бюро&quot;"/>
    <x v="0"/>
    <s v="ст.5.55 КоАП РФ"/>
    <x v="14"/>
    <n v="20000"/>
    <n v="50000"/>
  </r>
  <r>
    <n v="251"/>
    <x v="76"/>
    <s v="Общество с ограниченной_x000d__x000a_ответственностью_x000d__x000a_«Управляющая компания_x000d__x000a_«Альфа-Капитал»"/>
    <x v="0"/>
    <s v="ч.12 ст.15.29 КоАП РФ"/>
    <x v="4"/>
    <n v="300000"/>
    <n v="500000"/>
  </r>
  <r>
    <n v="252"/>
    <x v="77"/>
    <s v="АО «Национальное бюро кредитных историй»"/>
    <x v="0"/>
    <s v="ст.14.30 КоАП РФ"/>
    <x v="12"/>
    <n v="10000"/>
    <n v="20000"/>
  </r>
  <r>
    <n v="253"/>
    <x v="77"/>
    <s v="Пашнин Михаил Анатольевич"/>
    <x v="1"/>
    <s v="ст.15.30 КоАП РФ"/>
    <x v="7"/>
    <n v="3000"/>
    <n v="5000"/>
  </r>
  <r>
    <n v="254"/>
    <x v="77"/>
    <s v="ООО «СмартИнвест»"/>
    <x v="0"/>
    <s v="ч.9 ст.19.5 КоАП РФ"/>
    <x v="5"/>
    <n v="500000"/>
    <n v="700000"/>
  </r>
  <r>
    <n v="255"/>
    <x v="77"/>
    <s v="Общество с ограниченной ответственностью «РСХБ Управление Активами»"/>
    <x v="0"/>
    <s v="ч.2 ст.15.19 КоАП РФ"/>
    <x v="0"/>
    <n v="700000"/>
    <n v="1000000"/>
  </r>
  <r>
    <n v="256"/>
    <x v="77"/>
    <s v="Общество с ограниченной ответственностью «АКЦЕНТ УПРАВЛЕНИЕ АКТИВАМИ»"/>
    <x v="0"/>
    <s v="ч.12 ст.15.29 КоАП РФ"/>
    <x v="2"/>
    <n v="300000"/>
    <n v="500000"/>
  </r>
  <r>
    <n v="257"/>
    <x v="78"/>
    <s v="Маленко Артем Анатольевич"/>
    <x v="1"/>
    <s v="ст.15.30 КоАП РФ"/>
    <x v="8"/>
    <n v="3000"/>
    <n v="5000"/>
  </r>
  <r>
    <n v="258"/>
    <x v="78"/>
    <s v="Калинин Владимир Анатольевич"/>
    <x v="1"/>
    <s v="ст.15.30 КоАП РФ"/>
    <x v="7"/>
    <n v="3000"/>
    <n v="5000"/>
  </r>
  <r>
    <n v="259"/>
    <x v="78"/>
    <s v="Шигапова Кадрия Хисамовна"/>
    <x v="1"/>
    <s v="ст.15.30 КоАП РФ"/>
    <x v="7"/>
    <n v="3000"/>
    <n v="5000"/>
  </r>
  <r>
    <n v="260"/>
    <x v="78"/>
    <s v="ООО «ИНВЕСТИРУЙ В»"/>
    <x v="0"/>
    <s v="ч.9 ст.19.5 КоАП РФ"/>
    <x v="5"/>
    <n v="500000"/>
    <n v="700000"/>
  </r>
  <r>
    <n v="261"/>
    <x v="78"/>
    <s v="ООО «ПФЛ Новые Инвестиции»"/>
    <x v="0"/>
    <s v="ч.1 ст.19.7.3 КоАП РФ"/>
    <x v="4"/>
    <n v="500000"/>
    <n v="700000"/>
  </r>
  <r>
    <n v="262"/>
    <x v="79"/>
    <s v="Акционерное общество_x000d__x000a_«Негосударственный_x000d__x000a_пенсионный фонд «ВЭФ.Жизнь»"/>
    <x v="0"/>
    <s v="ч.10 ст.15.29 КоАП РФ"/>
    <x v="2"/>
    <n v="500000"/>
    <n v="700000"/>
  </r>
  <r>
    <n v="263"/>
    <x v="79"/>
    <s v="ООО «Капитализация»"/>
    <x v="0"/>
    <s v="ч.1 ст.19.7.3 КоАП РФ"/>
    <x v="5"/>
    <n v="500000"/>
    <n v="700000"/>
  </r>
  <r>
    <n v="265"/>
    <x v="80"/>
    <s v="Общество с ограниченной_x000d__x000a_ответственностью_x000d__x000a_«Управляющая компания_x000d__x000a_«Финанс Трейд Эссет_x000d__x000a_Менеджмент»"/>
    <x v="0"/>
    <s v="ч.12 ст.15.29 КоАП РФ"/>
    <x v="2"/>
    <n v="300000"/>
    <n v="500000"/>
  </r>
  <r>
    <n v="267"/>
    <x v="81"/>
    <s v="Тимофеева Дарья Сергеевна"/>
    <x v="1"/>
    <s v="ст.15.30 КоАП РФ"/>
    <x v="7"/>
    <n v="3000"/>
    <n v="5000"/>
  </r>
  <r>
    <n v="268"/>
    <x v="81"/>
    <s v="Борисова Анна Владимировна"/>
    <x v="1"/>
    <s v="ст.15.30 КоАП РФ"/>
    <x v="7"/>
    <n v="3000"/>
    <n v="5000"/>
  </r>
  <r>
    <n v="269"/>
    <x v="81"/>
    <s v="Тимофеев Александр Николаевич"/>
    <x v="1"/>
    <s v="ст.15.30 КоАП РФ"/>
    <x v="7"/>
    <n v="3000"/>
    <n v="5000"/>
  </r>
  <r>
    <n v="270"/>
    <x v="81"/>
    <s v="Железнов Андрей Юрьевич"/>
    <x v="1"/>
    <s v="ст.15.30 КоАП РФ"/>
    <x v="7"/>
    <n v="3000"/>
    <n v="5000"/>
  </r>
  <r>
    <n v="271"/>
    <x v="81"/>
    <s v="Просова Елена Игоревна"/>
    <x v="1"/>
    <s v="ст.15.30 КоАП РФ"/>
    <x v="7"/>
    <n v="3000"/>
    <n v="5000"/>
  </r>
  <r>
    <n v="272"/>
    <x v="81"/>
    <s v="Варанкина Евгения Владимировна"/>
    <x v="1"/>
    <s v="ст.15.30 КоАП РФ"/>
    <x v="7"/>
    <n v="3000"/>
    <n v="5000"/>
  </r>
  <r>
    <n v="273"/>
    <x v="81"/>
    <s v="ООО «ДжетЛенд»"/>
    <x v="0"/>
    <s v="ч.1 ст.19.7.3 КоАП РФ"/>
    <x v="5"/>
    <n v="500000"/>
    <n v="700000"/>
  </r>
  <r>
    <n v="274"/>
    <x v="81"/>
    <s v="Общество с ограниченной ответственностью «РСХБ Управление Активами»"/>
    <x v="0"/>
    <s v="ч.6 ст.15.29 КоАП РФ"/>
    <x v="0"/>
    <n v="700000"/>
    <n v="1000000"/>
  </r>
  <r>
    <n v="278"/>
    <x v="82"/>
    <s v="Федоров Александр Вячеславович"/>
    <x v="1"/>
    <s v="ст.15.30 КоАП РФ"/>
    <x v="7"/>
    <n v="3000"/>
    <n v="5000"/>
  </r>
  <r>
    <n v="279"/>
    <x v="83"/>
    <s v="Общество с ограниченной ответственностью «Спектрум кредитное бюро»"/>
    <x v="0"/>
    <s v="ст.5.55 КоАП РФ"/>
    <x v="2"/>
    <n v="20000"/>
    <n v="50000"/>
  </r>
  <r>
    <n v="280"/>
    <x v="83"/>
    <s v="Акционерное общество «Объединенное Кредитное Бюро»"/>
    <x v="0"/>
    <s v="ч.1 ст.19.7.3 КоАП РФ"/>
    <x v="0"/>
    <n v="500000"/>
    <n v="700000"/>
  </r>
  <r>
    <n v="283"/>
    <x v="83"/>
    <s v="Байдаков Александр Владимирович"/>
    <x v="1"/>
    <s v="ст.15.30 КоАП РФ"/>
    <x v="8"/>
    <n v="3000"/>
    <n v="5000"/>
  </r>
  <r>
    <n v="285"/>
    <x v="84"/>
    <s v="ООО «КАПИТАЛИЗАЦИЯ»"/>
    <x v="0"/>
    <s v="ч.9 ст.19.5 КоАП РФ"/>
    <x v="5"/>
    <n v="500000"/>
    <n v="700000"/>
  </r>
  <r>
    <n v="286"/>
    <x v="84"/>
    <s v="Общество с ограниченной ответственностью «РСХБ Управление Активами»"/>
    <x v="0"/>
    <s v="ч.2 ст.15.19 КоАП РФ"/>
    <x v="0"/>
    <n v="700000"/>
    <n v="1000000"/>
  </r>
  <r>
    <n v="289"/>
    <x v="85"/>
    <s v="Давтян Давид Михайлович"/>
    <x v="1"/>
    <s v="ст.15.30 КоАП РФ"/>
    <x v="7"/>
    <n v="3000"/>
    <n v="5000"/>
  </r>
  <r>
    <n v="290"/>
    <x v="86"/>
    <s v="Волик Богдан Викторович"/>
    <x v="1"/>
    <s v="ст.15.30 КоАП РФ"/>
    <x v="8"/>
    <n v="3000"/>
    <n v="5000"/>
  </r>
  <r>
    <n v="291"/>
    <x v="87"/>
    <s v="АО «ИК «РИКОМ-ТРАСТ»"/>
    <x v="0"/>
    <s v="ч.1 ст.19.7.3 КоАП РФ"/>
    <x v="10"/>
    <n v="500000"/>
    <n v="700000"/>
  </r>
  <r>
    <n v="292"/>
    <x v="87"/>
    <s v="ООО «СмартИнвест»"/>
    <x v="0"/>
    <s v="ч.9 ст.19.5 КоАП РФ"/>
    <x v="5"/>
    <n v="500000"/>
    <n v="700000"/>
  </r>
  <r>
    <n v="293"/>
    <x v="87"/>
    <s v="Цатурян Наринэ Егишевна"/>
    <x v="1"/>
    <s v="ст.15.30 КоАП РФ"/>
    <x v="7"/>
    <n v="3000"/>
    <n v="5000"/>
  </r>
  <r>
    <n v="294"/>
    <x v="87"/>
    <s v="Журавлева Анастасия Андреевна"/>
    <x v="1"/>
    <s v="ст.15.30 КоАП РФ"/>
    <x v="7"/>
    <n v="3000"/>
    <n v="5000"/>
  </r>
  <r>
    <n v="295"/>
    <x v="87"/>
    <s v="Журавлев Дмитрий Михайлович"/>
    <x v="1"/>
    <s v="ст.15.30 КоАП РФ"/>
    <x v="7"/>
    <n v="3000"/>
    <n v="5000"/>
  </r>
  <r>
    <n v="296"/>
    <x v="87"/>
    <s v="ООО «Каркаул.ру»"/>
    <x v="0"/>
    <s v="ч.1 ст.19.7.3 КоАП РФ"/>
    <x v="4"/>
    <n v="500000"/>
    <n v="700000"/>
  </r>
  <r>
    <n v="297"/>
    <x v="87"/>
    <s v="Общество с ограниченной_x000d__x000a_ответственностью_x000d__x000a_«Бенефорт»"/>
    <x v="0"/>
    <s v="ч.2 ст.15.29 КоАП РФ"/>
    <x v="5"/>
    <n v="500000"/>
    <n v="700000"/>
  </r>
  <r>
    <n v="298"/>
    <x v="88"/>
    <s v="Акционерное общество «Национальный негосударственный пенсионный фонд»"/>
    <x v="0"/>
    <s v="ч.9 ст.15.29 КоАП РФ"/>
    <x v="0"/>
    <n v="700000"/>
    <n v="1000000"/>
  </r>
  <r>
    <n v="299"/>
    <x v="88"/>
    <s v="ООО «ЛЭНДЭР-ИНВЕСТ»"/>
    <x v="0"/>
    <s v="ч.1 ст.19.7.3 КоАП РФ"/>
    <x v="5"/>
    <n v="500000"/>
    <n v="700000"/>
  </r>
  <r>
    <n v="300"/>
    <x v="88"/>
    <s v="Павлова Марина Алексеевна"/>
    <x v="1"/>
    <s v="ст.15.30 КоАП РФ"/>
    <x v="7"/>
    <n v="3000"/>
    <n v="5000"/>
  </r>
  <r>
    <n v="301"/>
    <x v="88"/>
    <s v="Павлов Александр Владиславович"/>
    <x v="1"/>
    <s v="ст.15.30 КоАП РФ"/>
    <x v="7"/>
    <n v="3000"/>
    <n v="5000"/>
  </r>
  <r>
    <n v="302"/>
    <x v="88"/>
    <s v="Общество с ограниченной_x000d__x000a_ответственностью_x000d__x000a_«Управляющая компания_x000d__x000a_«Финам Менеджмент»"/>
    <x v="0"/>
    <s v="ч.6 ст.15.29 КоАП РФ"/>
    <x v="2"/>
    <n v="700000"/>
    <n v="1000000"/>
  </r>
  <r>
    <n v="303"/>
    <x v="89"/>
    <s v="Акционерное общество «Инвестиционная компания «Ай Ти Инвест»"/>
    <x v="0"/>
    <s v="ч.2 ст.15.29 КоАП РФ"/>
    <x v="10"/>
    <n v="500000"/>
    <n v="700000"/>
  </r>
  <r>
    <n v="304"/>
    <x v="89"/>
    <s v="АО «Бюро кредитных историй «Скоринг Бюро»"/>
    <x v="0"/>
    <s v="ст.5.55 КоАП РФ"/>
    <x v="2"/>
    <n v="20000"/>
    <n v="50000"/>
  </r>
  <r>
    <n v="305"/>
    <x v="89"/>
    <s v="Общество с ограниченной_x000d__x000a_ответственностью_x000d__x000a_«Т-Капитал»"/>
    <x v="0"/>
    <s v="ч.12 ст.15.29 КоАП РФ"/>
    <x v="6"/>
    <n v="300000"/>
    <n v="500000"/>
  </r>
  <r>
    <n v="306"/>
    <x v="90"/>
    <s v="Акционерное общество Инвестиционно-финансовая_x000d__x000a_компания «Солид»"/>
    <x v="0"/>
    <s v="ч.2 ст.15.29 КоАП РФ"/>
    <x v="10"/>
    <n v="500000"/>
    <n v="700000"/>
  </r>
  <r>
    <n v="307"/>
    <x v="91"/>
    <s v="Акционерное общество «Управляющая компания «Первая»"/>
    <x v="0"/>
    <s v="ч.5 ст.15.29 КоАП РФ"/>
    <x v="10"/>
    <n v="500000"/>
    <n v="700000"/>
  </r>
  <r>
    <n v="307"/>
    <x v="91"/>
    <s v="Акционерное общество «Управляющая компания «Первая»"/>
    <x v="0"/>
    <s v="ч.12 ст.15.29 КоАП РФ"/>
    <x v="6"/>
    <n v="300000"/>
    <n v="500000"/>
  </r>
  <r>
    <n v="309"/>
    <x v="92"/>
    <s v="Общество с ограниченной ответственностью Управляющая компания «ГЕРОИ»"/>
    <x v="0"/>
    <s v="ч.5 ст.15.29 КоАП РФ"/>
    <x v="5"/>
    <n v="500000"/>
    <n v="700000"/>
  </r>
  <r>
    <n v="310"/>
    <x v="92"/>
    <s v="АО «Объединенное Кредитное Бюро»"/>
    <x v="0"/>
    <s v="ч.1 ст.19.7.3 КоАП РФ"/>
    <x v="0"/>
    <n v="500000"/>
    <n v="700000"/>
  </r>
  <r>
    <n v="311"/>
    <x v="92"/>
    <s v="Акционерное общество_x000d__x000a_ВИМ Инвестиции"/>
    <x v="0"/>
    <s v="ч.12 ст.15.29 КоАП РФ"/>
    <x v="6"/>
    <n v="300000"/>
    <n v="500000"/>
  </r>
  <r>
    <n v="312"/>
    <x v="93"/>
    <s v="Акционерное общество_x000d__x000a_Финансовая компания_x000d__x000a_«Профит Хауз»"/>
    <x v="0"/>
    <s v="ч.12 ст.15.29 КоАП РФ"/>
    <x v="9"/>
    <n v="300000"/>
    <n v="500000"/>
  </r>
  <r>
    <n v="313"/>
    <x v="93"/>
    <s v="Общество с ограниченной_x000d__x000a_ответственностью_x000d__x000a_ВИМ Сбережения"/>
    <x v="0"/>
    <s v="ч.12 ст.15.29 КоАП РФ"/>
    <x v="2"/>
    <n v="300000"/>
    <n v="500000"/>
  </r>
  <r>
    <n v="314"/>
    <x v="94"/>
    <s v="Нефедов Владимир Сергеевич"/>
    <x v="1"/>
    <s v="ст.15.30 КоАП РФ"/>
    <x v="7"/>
    <n v="3000"/>
    <n v="5000"/>
  </r>
  <r>
    <n v="315"/>
    <x v="95"/>
    <s v="Маликов Валерий Михайлович"/>
    <x v="1"/>
    <s v="ст.15.30 КоАП РФ"/>
    <x v="7"/>
    <n v="3000"/>
    <n v="5000"/>
  </r>
  <r>
    <n v="316"/>
    <x v="95"/>
    <s v="Маликова Майя Валерьевна"/>
    <x v="1"/>
    <s v="ст.15.30 КоАП РФ"/>
    <x v="7"/>
    <n v="3000"/>
    <n v="5000"/>
  </r>
  <r>
    <n v="317"/>
    <x v="96"/>
    <s v="Соловьев Вадим Сергеевич"/>
    <x v="1"/>
    <s v="ст.15.30 КоАП РФ"/>
    <x v="7"/>
    <n v="3000"/>
    <n v="5000"/>
  </r>
  <r>
    <n v="318"/>
    <x v="96"/>
    <s v="Соловьева Татьяна Владимировна"/>
    <x v="1"/>
    <s v="ст.15.30 КоАП РФ"/>
    <x v="7"/>
    <n v="3000"/>
    <n v="5000"/>
  </r>
  <r>
    <n v="319"/>
    <x v="96"/>
    <s v="ООО «Каркаул.ру»"/>
    <x v="0"/>
    <s v="ч.1 ст.19.7.3 КоАП РФ"/>
    <x v="4"/>
    <n v="500000"/>
    <n v="700000"/>
  </r>
  <r>
    <n v="319"/>
    <x v="96"/>
    <s v="ООО «Каркаул.ру»"/>
    <x v="0"/>
    <s v="ч.9 ст.19.5 КоАП РФ"/>
    <x v="5"/>
    <n v="500000"/>
    <n v="700000"/>
  </r>
  <r>
    <n v="320"/>
    <x v="96"/>
    <s v="Общество с ограниченной_x000d__x000a_ответственностью «Московские_x000d__x000a_партнеры»"/>
    <x v="0"/>
    <s v="ч.2 ст.15.29 КоАП РФ"/>
    <x v="10"/>
    <n v="500000"/>
    <n v="700000"/>
  </r>
  <r>
    <n v="321"/>
    <x v="96"/>
    <s v="Общество с ограниченной ответственностью «Управляющая компания РИГОРА»"/>
    <x v="0"/>
    <s v="ч.12 ст.15.29 КоАП РФ"/>
    <x v="2"/>
    <n v="300000"/>
    <n v="500000"/>
  </r>
  <r>
    <n v="322"/>
    <x v="97"/>
    <s v="Акционерное общество_x000d__x000a_Управляющая компания_x000d__x000a_«НРК-Капитал (Эссет_x000d__x000a_Менеджмент)»"/>
    <x v="0"/>
    <s v="ч.12 ст.15.29 КоАП РФ"/>
    <x v="2"/>
    <n v="300000"/>
    <n v="500000"/>
  </r>
  <r>
    <n v="323"/>
    <x v="98"/>
    <s v="Публичное акционерное общество «СПБ Биржа»"/>
    <x v="0"/>
    <s v="ч.7 ст.14.24 КоАП РФ"/>
    <x v="2"/>
    <n v="300000"/>
    <n v="500000"/>
  </r>
  <r>
    <n v="324"/>
    <x v="98"/>
    <s v="Акционерное общество «Негосударственный пенсионный фонд «Ростех»"/>
    <x v="0"/>
    <s v="ч.9 ст.15.29 КоАП РФ"/>
    <x v="0"/>
    <n v="700000"/>
    <n v="1000000"/>
  </r>
  <r>
    <n v="325"/>
    <x v="98"/>
    <s v="Апарин Андрей Михайлович"/>
    <x v="1"/>
    <s v="ст.15.30 КоАП РФ"/>
    <x v="7"/>
    <n v="3000"/>
    <n v="5000"/>
  </r>
  <r>
    <n v="326"/>
    <x v="98"/>
    <s v="Акционерное общество_x000d__x000a_«ААА Управление Капиталом»"/>
    <x v="0"/>
    <s v="ч.2 ст.15.19 КоАП РФ"/>
    <x v="0"/>
    <n v="700000"/>
    <n v="1000000"/>
  </r>
  <r>
    <n v="326"/>
    <x v="98"/>
    <s v="Акционерное общество_x000d__x000a_«ААА Управление Капиталом»"/>
    <x v="0"/>
    <s v="ч.12 ст.15.29 КоАП РФ"/>
    <x v="6"/>
    <n v="300000"/>
    <n v="500000"/>
  </r>
  <r>
    <n v="327"/>
    <x v="98"/>
    <s v="Общество с ограниченной ответственностью Управляющая компания «Арикапитал»"/>
    <x v="0"/>
    <s v="ч.12 ст.15.29 КоАП РФ"/>
    <x v="2"/>
    <n v="300000"/>
    <n v="500000"/>
  </r>
  <r>
    <n v="328"/>
    <x v="99"/>
    <s v="Быков Денис Эдуардович"/>
    <x v="1"/>
    <s v="ст.15.30 КоАП РФ"/>
    <x v="7"/>
    <n v="3000"/>
    <n v="5000"/>
  </r>
  <r>
    <n v="329"/>
    <x v="99"/>
    <s v="Быков Эдуард Юрьевич"/>
    <x v="1"/>
    <s v="ст.15.30 КоАП РФ"/>
    <x v="7"/>
    <n v="3000"/>
    <n v="5000"/>
  </r>
  <r>
    <n v="330"/>
    <x v="100"/>
    <s v="ООО &quot;КАС КЭПИТАЛ&quot;"/>
    <x v="0"/>
    <s v="ст.15.30 КоАП РФ"/>
    <x v="4"/>
    <n v="700000"/>
    <s v="в размере суммы излишнего дохода… но не менее 700 000 рублей"/>
  </r>
  <r>
    <n v="331"/>
    <x v="100"/>
    <s v="Безменов Николай Николаевич"/>
    <x v="1"/>
    <s v="ст.15.30 КоАП РФ"/>
    <x v="7"/>
    <n v="3000"/>
    <n v="5000"/>
  </r>
  <r>
    <n v="332"/>
    <x v="100"/>
    <s v="Пономарева Наталья Александровна"/>
    <x v="1"/>
    <s v="ст.15.30 КоАП РФ"/>
    <x v="7"/>
    <n v="3000"/>
    <n v="5000"/>
  </r>
  <r>
    <n v="333"/>
    <x v="100"/>
    <s v="Мохов Никита Юрьевич"/>
    <x v="1"/>
    <s v="ст.15.30 КоАП РФ"/>
    <x v="7"/>
    <n v="3000"/>
    <n v="5000"/>
  </r>
  <r>
    <n v="334"/>
    <x v="100"/>
    <s v="Микшин Денис Николаевич"/>
    <x v="1"/>
    <s v="ст.15.30 КоАП РФ"/>
    <x v="7"/>
    <n v="3000"/>
    <n v="5000"/>
  </r>
  <r>
    <n v="335"/>
    <x v="100"/>
    <s v="Александрова Екатерина Павловна"/>
    <x v="1"/>
    <s v="ст.15.30 КоАП РФ"/>
    <x v="7"/>
    <n v="3000"/>
    <n v="5000"/>
  </r>
  <r>
    <n v="336"/>
    <x v="100"/>
    <s v="Дерюгин Андрей Викторович"/>
    <x v="1"/>
    <s v="ст.15.30 КоАП РФ"/>
    <x v="7"/>
    <n v="3000"/>
    <n v="5000"/>
  </r>
  <r>
    <n v="337"/>
    <x v="100"/>
    <s v="Князева Людмила Александровна"/>
    <x v="1"/>
    <s v="ст.15.30 КоАП РФ"/>
    <x v="7"/>
    <n v="3000"/>
    <n v="5000"/>
  </r>
  <r>
    <n v="338"/>
    <x v="100"/>
    <s v="АО «Объединенное Кредитное Бюро»"/>
    <x v="0"/>
    <s v="ч.1 ст.5.54 КоАП РФ"/>
    <x v="15"/>
    <n v="10000"/>
    <n v="20000"/>
  </r>
  <r>
    <n v="339"/>
    <x v="100"/>
    <s v="Общество с ограниченной ответственностью «Управляющая компания «Альфа-Капитал»"/>
    <x v="0"/>
    <s v="ч.12 ст.15.29 КоАП РФ"/>
    <x v="6"/>
    <n v="300000"/>
    <n v="500000"/>
  </r>
  <r>
    <n v="340"/>
    <x v="100"/>
    <s v="Акционерное общество «Контрада Капитал»"/>
    <x v="0"/>
    <s v="ч.6 ст.15.29 КоАП РФ"/>
    <x v="2"/>
    <n v="700000"/>
    <n v="1000000"/>
  </r>
  <r>
    <n v="340"/>
    <x v="100"/>
    <s v="Акционерное общество «Контрада Капитал»"/>
    <x v="0"/>
    <s v="ч.5 ст.15.29 КоАП РФ"/>
    <x v="2"/>
    <n v="500000"/>
    <n v="700000"/>
  </r>
  <r>
    <n v="341"/>
    <x v="101"/>
    <s v="Царик Дмитрий Сергеевич"/>
    <x v="1"/>
    <s v="ст.15.30 КоАП РФ"/>
    <x v="7"/>
    <n v="3000"/>
    <n v="5000"/>
  </r>
  <r>
    <n v="342"/>
    <x v="102"/>
    <s v="ООО «КраудЮнит»"/>
    <x v="0"/>
    <s v="ч.9 ст.19.5 КоАП РФ"/>
    <x v="5"/>
    <n v="500000"/>
    <n v="700000"/>
  </r>
  <r>
    <n v="343"/>
    <x v="102"/>
    <s v="Лазутина Линда Леонидовна"/>
    <x v="1"/>
    <s v="ст.15.21 КоАП РФ"/>
    <x v="7"/>
    <n v="3000"/>
    <n v="5000"/>
  </r>
  <r>
    <n v="344"/>
    <x v="102"/>
    <s v="Чернышев Даниил Владимирович"/>
    <x v="1"/>
    <s v="ст.15.30 КоАП РФ"/>
    <x v="7"/>
    <n v="3000"/>
    <n v="5000"/>
  </r>
  <r>
    <n v="345"/>
    <x v="103"/>
    <s v="Сас Роман Иванович"/>
    <x v="1"/>
    <s v="ст.15.30 КоАП РФ"/>
    <x v="7"/>
    <n v="3000"/>
    <n v="5000"/>
  </r>
  <r>
    <n v="346"/>
    <x v="103"/>
    <s v="Сас Надежда Валериевна"/>
    <x v="1"/>
    <s v="ст.15.30 КоАП РФ"/>
    <x v="7"/>
    <n v="3000"/>
    <n v="5000"/>
  </r>
  <r>
    <n v="347"/>
    <x v="103"/>
    <s v="Акционерное общество «Инвестиционная компания «РИКОМ-ТРАСТ»"/>
    <x v="0"/>
    <s v="ч.9 ст.15.29 КоАП РФ"/>
    <x v="0"/>
    <n v="700000"/>
    <n v="1000000"/>
  </r>
  <r>
    <n v="348"/>
    <x v="104"/>
    <s v="ООО &quot;Григорян Инвест&quot;"/>
    <x v="0"/>
    <s v="ст.15.30 КоАП РФ"/>
    <x v="0"/>
    <n v="700000"/>
    <s v="в размере суммы излишнего дохода… но не менее 700 000 рублей"/>
  </r>
  <r>
    <n v="349"/>
    <x v="104"/>
    <s v="ООО «ФИНИН-К»"/>
    <x v="0"/>
    <s v="ч.9 ст.19.5 КоАП РФ"/>
    <x v="5"/>
    <n v="500000"/>
    <n v="700000"/>
  </r>
  <r>
    <n v="350"/>
    <x v="104"/>
    <s v="ООО «Селект мани»"/>
    <x v="0"/>
    <s v="ч.9 ст.19.5 КоАП РФ"/>
    <x v="5"/>
    <n v="500000"/>
    <n v="700000"/>
  </r>
  <r>
    <n v="351"/>
    <x v="105"/>
    <s v="Унеговский Дмитрий Семенович"/>
    <x v="1"/>
    <s v="ст.15.30 КоАП РФ"/>
    <x v="7"/>
    <n v="3000"/>
    <n v="5000"/>
  </r>
  <r>
    <n v="352"/>
    <x v="106"/>
    <s v="Общество с ограниченной ответственностью «РСХБ Управление Активами»"/>
    <x v="0"/>
    <s v="ч.2 ст.15.19 КоАП РФ"/>
    <x v="0"/>
    <n v="700000"/>
    <n v="1000000"/>
  </r>
  <r>
    <n v="353"/>
    <x v="106"/>
    <s v="Егорова Виктория Евгеньевна"/>
    <x v="1"/>
    <s v="ст.15.30 КоАП РФ"/>
    <x v="7"/>
    <n v="3000"/>
    <n v="5000"/>
  </r>
  <r>
    <n v="354"/>
    <x v="107"/>
    <s v="Погосов Юрий Евгеньевич"/>
    <x v="1"/>
    <s v="ст.15.30 КоАП РФ"/>
    <x v="7"/>
    <n v="3000"/>
    <n v="5000"/>
  </r>
  <r>
    <n v="355"/>
    <x v="108"/>
    <s v="Погосова Ольга Владимировна"/>
    <x v="1"/>
    <s v="ст.15.30 КоАП РФ"/>
    <x v="7"/>
    <n v="3000"/>
    <n v="5000"/>
  </r>
  <r>
    <n v="356"/>
    <x v="108"/>
    <s v="ООО «Селект мани»"/>
    <x v="0"/>
    <s v="ч.9 ст.19.5 КоАП РФ"/>
    <x v="5"/>
    <n v="500000"/>
    <n v="700000"/>
  </r>
  <r>
    <n v="357"/>
    <x v="108"/>
    <s v="Акционерное общество «Управляющая компания «ТРАНСФИНГРУП»"/>
    <x v="0"/>
    <s v="ч.12 ст.15.29 КоАП РФ"/>
    <x v="6"/>
    <n v="300000"/>
    <n v="500000"/>
  </r>
  <r>
    <n v="358"/>
    <x v="108"/>
    <s v="Общество с ограниченной ответственностью «Управляющая компания «АКРУКС КАПИТАЛ»"/>
    <x v="0"/>
    <s v="ч.12 ст.15.29 КоАП РФ"/>
    <x v="2"/>
    <n v="300000"/>
    <n v="500000"/>
  </r>
  <r>
    <n v="359"/>
    <x v="108"/>
    <s v="Акционерное общество «БКС Управление благосостоянием»"/>
    <x v="0"/>
    <s v="ч.12 ст.15.29 КоАП РФ"/>
    <x v="2"/>
    <n v="300000"/>
    <n v="500000"/>
  </r>
  <r>
    <n v="359"/>
    <x v="108"/>
    <s v="Акционерное общество «БКС Управление благосостоянием»"/>
    <x v="0"/>
    <s v="ч.12 ст.15.29 КоАП РФ"/>
    <x v="2"/>
    <n v="300000"/>
    <n v="500000"/>
  </r>
  <r>
    <n v="360"/>
    <x v="109"/>
    <s v="Акционерное общество ВИМ Инвестиции"/>
    <x v="0"/>
    <s v="ч.12 ст.15.29 КоАП РФ"/>
    <x v="6"/>
    <n v="300000"/>
    <n v="500000"/>
  </r>
  <r>
    <n v="361"/>
    <x v="109"/>
    <s v="Князев Станислав Юрьевич"/>
    <x v="1"/>
    <s v="ст.15.30 КоАП РФ"/>
    <x v="7"/>
    <n v="3000"/>
    <n v="5000"/>
  </r>
  <r>
    <n v="362"/>
    <x v="109"/>
    <s v="Георгиевский Даниил Максимович"/>
    <x v="1"/>
    <s v="ст.15.30 КоАП РФ"/>
    <x v="7"/>
    <n v="3000"/>
    <n v="5000"/>
  </r>
  <r>
    <n v="363"/>
    <x v="110"/>
    <s v="АО «Специализированный депозитарий «ИНФИНИТУМ»"/>
    <x v="0"/>
    <s v="ч.12 ст.15.29 КоАП РФ"/>
    <x v="6"/>
    <n v="300000"/>
    <n v="500000"/>
  </r>
  <r>
    <n v="364"/>
    <x v="110"/>
    <s v="Дерюгина Наталья Александровна"/>
    <x v="1"/>
    <s v="ст.15.30 КоАП РФ"/>
    <x v="7"/>
    <n v="3000"/>
    <n v="5000"/>
  </r>
  <r>
    <n v="365"/>
    <x v="111"/>
    <s v="ООО «РБРУ СД»"/>
    <x v="0"/>
    <s v="ч.12 ст.15.29 КоАП РФ"/>
    <x v="6"/>
    <n v="300000"/>
    <n v="500000"/>
  </r>
  <r>
    <n v="366"/>
    <x v="111"/>
    <s v="АО «ИК «РИКОМ-ТРАСТ»"/>
    <x v="0"/>
    <s v="ч.1 ст.19.7.3 КоАП РФ"/>
    <x v="10"/>
    <n v="500000"/>
    <n v="700000"/>
  </r>
  <r>
    <n v="367"/>
    <x v="111"/>
    <s v="Порохова Наталья Владимировна"/>
    <x v="1"/>
    <s v="ст.15.30 КоАП РФ"/>
    <x v="7"/>
    <n v="3000"/>
    <n v="5000"/>
  </r>
  <r>
    <n v="368"/>
    <x v="111"/>
    <s v="Унеговская Наталья Александровна"/>
    <x v="1"/>
    <s v="ст.15.30 КоАП РФ"/>
    <x v="7"/>
    <n v="3000"/>
    <n v="5000"/>
  </r>
  <r>
    <n v="369"/>
    <x v="111"/>
    <s v="Попов Алексей Александрович"/>
    <x v="1"/>
    <s v="ст.15.30 КоАП РФ"/>
    <x v="7"/>
    <n v="3000"/>
    <n v="5000"/>
  </r>
  <r>
    <n v="370"/>
    <x v="111"/>
    <s v="Общество с ограниченной ответственностью «Управляющая компания «Атон-менеджмент»"/>
    <x v="0"/>
    <s v="ч.2 ст.15.19 КоАП РФ"/>
    <x v="0"/>
    <n v="700000"/>
    <n v="1000000"/>
  </r>
  <r>
    <n v="371"/>
    <x v="111"/>
    <s v="Акционерное общество_x000d__x000a_Управляющая компания_x000d__x000a_«РВМ Капитал»"/>
    <x v="0"/>
    <s v="ч.12 ст.15.29 КоАП РФ"/>
    <x v="2"/>
    <n v="300000"/>
    <n v="500000"/>
  </r>
  <r>
    <n v="372"/>
    <x v="112"/>
    <s v="Федина Марина Александровна"/>
    <x v="1"/>
    <s v="ст.15.30 КоАП РФ"/>
    <x v="7"/>
    <n v="3000"/>
    <n v="5000"/>
  </r>
  <r>
    <n v="373"/>
    <x v="113"/>
    <s v="Баринова Анастасия Юрьевна"/>
    <x v="1"/>
    <s v="ст.15.30 КоАП РФ"/>
    <x v="7"/>
    <n v="3000"/>
    <n v="5000"/>
  </r>
  <r>
    <n v="374"/>
    <x v="114"/>
    <s v="АО «Национальное бюро кредитных историй»"/>
    <x v="0"/>
    <s v="ст.14.29 КоАП РФ"/>
    <x v="8"/>
    <n v="30000"/>
    <n v="50000"/>
  </r>
  <r>
    <n v="375"/>
    <x v="114"/>
    <s v="Федин Виталий Юрьевич"/>
    <x v="1"/>
    <s v="ст.15.30 КоАП РФ"/>
    <x v="7"/>
    <n v="3000"/>
    <n v="5000"/>
  </r>
  <r>
    <n v="376"/>
    <x v="115"/>
    <s v="Юшков Никита Константинович"/>
    <x v="1"/>
    <s v="ст.15.30 КоАП РФ"/>
    <x v="7"/>
    <n v="3000"/>
    <n v="5000"/>
  </r>
  <r>
    <n v="377"/>
    <x v="115"/>
    <s v="Юшков Константин Михайлович"/>
    <x v="1"/>
    <s v="ст.15.30 КоАП РФ"/>
    <x v="7"/>
    <n v="3000"/>
    <n v="5000"/>
  </r>
  <r>
    <n v="378"/>
    <x v="115"/>
    <s v="Коростелев Андрей Юрьевич"/>
    <x v="1"/>
    <s v="ст.15.30 КоАП РФ"/>
    <x v="7"/>
    <n v="3000"/>
    <n v="5000"/>
  </r>
  <r>
    <n v="379"/>
    <x v="115"/>
    <s v="Коростелева Марина Викторовна"/>
    <x v="1"/>
    <s v="ст.15.30 КоАП РФ"/>
    <x v="7"/>
    <n v="3000"/>
    <n v="5000"/>
  </r>
  <r>
    <n v="380"/>
    <x v="115"/>
    <s v="Акционерное общество «Управляющая компания «Первая»"/>
    <x v="0"/>
    <s v="ч.12 ст.15.29 КоАП РФ"/>
    <x v="6"/>
    <n v="300000"/>
    <n v="500000"/>
  </r>
  <r>
    <n v="381"/>
    <x v="115"/>
    <s v="КИТ Финанс (Акционерное общество)"/>
    <x v="0"/>
    <s v="ч.2 ст.15.29 КоАП РФ"/>
    <x v="2"/>
    <n v="500000"/>
    <n v="700000"/>
  </r>
  <r>
    <n v="381"/>
    <x v="115"/>
    <s v="КИТ Финанс (Акционерное общество)"/>
    <x v="0"/>
    <s v="ч.4 ст.15.19 КоАП РФ"/>
    <x v="2"/>
    <n v="300000"/>
    <n v="500000"/>
  </r>
  <r>
    <n v="382"/>
    <x v="116"/>
    <s v="ООО «ПФЛ Новые инвестиции»"/>
    <x v="0"/>
    <s v="ч.1 ст.19.7.3 КоАП РФ"/>
    <x v="5"/>
    <n v="500000"/>
    <n v="700000"/>
  </r>
  <r>
    <n v="383"/>
    <x v="116"/>
    <s v="Черепанов Виталий Ильич"/>
    <x v="1"/>
    <s v="ст.15.30 КоАП РФ"/>
    <x v="7"/>
    <n v="3000"/>
    <n v="5000"/>
  </r>
  <r>
    <n v="384"/>
    <x v="116"/>
    <s v="Полюбай Юлия Петровна"/>
    <x v="1"/>
    <s v="ст.15.30 КоАП РФ"/>
    <x v="7"/>
    <n v="3000"/>
    <n v="5000"/>
  </r>
  <r>
    <n v="385"/>
    <x v="116"/>
    <s v="Полюбай Алексей Владимирович"/>
    <x v="1"/>
    <s v="ст.15.30 КоАП РФ"/>
    <x v="7"/>
    <n v="3000"/>
    <n v="5000"/>
  </r>
  <r>
    <n v="387"/>
    <x v="117"/>
    <s v="АО «ИК «Ай Ти Инвест»"/>
    <x v="0"/>
    <s v="ч.12 ст.15.29 КоАП РФ"/>
    <x v="6"/>
    <n v="300000"/>
    <n v="500000"/>
  </r>
  <r>
    <n v="388"/>
    <x v="117"/>
    <s v="Акционерное общество «Негосударственный пенсионный фонд «ВЭФ.Русские Фонды»"/>
    <x v="0"/>
    <s v="ч.9 ст.15.29 КоАП РФ"/>
    <x v="0"/>
    <n v="700000"/>
    <n v="1000000"/>
  </r>
  <r>
    <n v="388"/>
    <x v="117"/>
    <s v="Акционерное общество «Негосударственный пенсионный фонд «ВЭФ.Русские Фонды»"/>
    <x v="0"/>
    <s v="ч.9 ст.15.29 КоАП РФ"/>
    <x v="0"/>
    <n v="700000"/>
    <n v="1000000"/>
  </r>
  <r>
    <n v="389"/>
    <x v="117"/>
    <s v="Общество с ограниченной ответственностью Инвестиционная компания «Тренд»"/>
    <x v="0"/>
    <s v="ч.2 ст.15.29 КоАП РФ"/>
    <x v="2"/>
    <n v="500000"/>
    <n v="700000"/>
  </r>
  <r>
    <n v="390"/>
    <x v="117"/>
    <s v="Общество с ограниченной ответственностью «РУССКОЕ ИНВЕСТИЦИОННОЕ ОБЩЕСТВО»"/>
    <x v="0"/>
    <s v="ч.12 ст.15.29 КоАП РФ"/>
    <x v="2"/>
    <n v="300000"/>
    <n v="500000"/>
  </r>
  <r>
    <n v="391"/>
    <x v="117"/>
    <s v="Акционерное общество &quot;Управляющая компания &quot;МКБ Инвестиции&quot;"/>
    <x v="0"/>
    <s v="ч.12 ст.15.29 КоАП РФ"/>
    <x v="6"/>
    <n v="300000"/>
    <n v="500000"/>
  </r>
  <r>
    <n v="392"/>
    <x v="118"/>
    <s v="Акционерное общество «ИВА Партнерс»"/>
    <x v="0"/>
    <s v="ч.2 ст.15.29 КоАП РФ"/>
    <x v="10"/>
    <n v="500000"/>
    <n v="700000"/>
  </r>
  <r>
    <n v="392"/>
    <x v="118"/>
    <s v="Акционерное общество «ИВА Партнерс»"/>
    <x v="0"/>
    <s v="ч.12 ст.15.29 КоАП РФ"/>
    <x v="6"/>
    <n v="300000"/>
    <n v="500000"/>
  </r>
  <r>
    <n v="393"/>
    <x v="119"/>
    <s v="Мэй Луиза Алексеевна"/>
    <x v="1"/>
    <s v="ст.15.30 КоАП РФ"/>
    <x v="7"/>
    <n v="3000"/>
    <n v="5000"/>
  </r>
  <r>
    <n v="394"/>
    <x v="119"/>
    <s v="Смирнов Дмитрий Федорович"/>
    <x v="1"/>
    <s v="ст.15.30 КоАП РФ"/>
    <x v="7"/>
    <n v="3000"/>
    <n v="5000"/>
  </r>
  <r>
    <n v="395"/>
    <x v="119"/>
    <s v="Уланов Петр Петрович"/>
    <x v="1"/>
    <s v="ст.15.30 КоАП РФ"/>
    <x v="7"/>
    <n v="3000"/>
    <n v="5000"/>
  </r>
  <r>
    <n v="396"/>
    <x v="119"/>
    <s v="Акционерное общество «Негосударственный пенсионный фонд «БЛАГОСОСТОЯНИЕ»"/>
    <x v="0"/>
    <s v="ч.9 ст.15.29 КоАП РФ"/>
    <x v="2"/>
    <n v="700000"/>
    <n v="1000000"/>
  </r>
  <r>
    <n v="397"/>
    <x v="120"/>
    <s v="Онянова Виктория Александровна"/>
    <x v="1"/>
    <s v="ст.15.30 КоАП РФ"/>
    <x v="7"/>
    <n v="3000"/>
    <n v="5000"/>
  </r>
  <r>
    <n v="398"/>
    <x v="120"/>
    <s v="Триголос Екатерина Александровна"/>
    <x v="1"/>
    <s v="ст.15.30 КоАП РФ"/>
    <x v="7"/>
    <n v="3000"/>
    <n v="5000"/>
  </r>
  <r>
    <n v="399"/>
    <x v="120"/>
    <s v="Триголос Павел Иванович"/>
    <x v="1"/>
    <s v="ст.15.30 КоАП РФ"/>
    <x v="7"/>
    <n v="3000"/>
    <n v="5000"/>
  </r>
  <r>
    <n v="400"/>
    <x v="121"/>
    <s v="Мясников Александр Валерьевич"/>
    <x v="1"/>
    <s v="ст.15.30 КоАП РФ"/>
    <x v="7"/>
    <n v="3000"/>
    <n v="5000"/>
  </r>
  <r>
    <n v="401"/>
    <x v="121"/>
    <s v="Общество с ограниченной ответственностью «Управляющая компания «Формула инвестиций»"/>
    <x v="0"/>
    <s v="ч.12 ст.15.29 КоАП РФ"/>
    <x v="2"/>
    <n v="300000"/>
    <n v="500000"/>
  </r>
  <r>
    <n v="402"/>
    <x v="121"/>
    <s v="Общество с ограниченной ответственностью «Финплан»"/>
    <x v="0"/>
    <s v="ч.1 ст.13.25 КоАП РФ"/>
    <x v="18"/>
    <n v="200000"/>
    <n v="300000"/>
  </r>
  <r>
    <n v="403"/>
    <x v="122"/>
    <s v="Общество с ограниченной ответственностью &quot;РОН Инвест&quot;"/>
    <x v="0"/>
    <s v="ч.9 ст.15.29 КоАП РФ"/>
    <x v="2"/>
    <n v="700000"/>
    <n v="1000000"/>
  </r>
  <r>
    <n v="404"/>
    <x v="123"/>
    <s v="Смирнова Ксения Евгеньевна"/>
    <x v="1"/>
    <s v="ст.15.30 КоАП РФ"/>
    <x v="7"/>
    <n v="3000"/>
    <n v="5000"/>
  </r>
  <r>
    <n v="405"/>
    <x v="124"/>
    <s v="Общество с ограниченной ответственностью «РСХБ Управление Активами»"/>
    <x v="0"/>
    <s v="ч.2 ст.15.19 КоАП РФ"/>
    <x v="0"/>
    <n v="700000"/>
    <n v="1000000"/>
  </r>
  <r>
    <n v="406"/>
    <x v="124"/>
    <s v="Лядов Василий Рюрикович"/>
    <x v="1"/>
    <s v="ст.15.30 КоАП РФ"/>
    <x v="7"/>
    <n v="3000"/>
    <n v="5000"/>
  </r>
  <r>
    <n v="407"/>
    <x v="125"/>
    <s v="ООО «ПФЛ Новые инвестиции»"/>
    <x v="0"/>
    <s v="ч.1 ст.19.7.3 КоАП РФ"/>
    <x v="5"/>
    <n v="500000"/>
    <n v="700000"/>
  </r>
  <r>
    <n v="408"/>
    <x v="125"/>
    <s v="Общество с ограниченной ответственностью «Инвестиционная компания «Айгенис»"/>
    <x v="0"/>
    <s v="ч.2 ст.15.29 КоАП РФ"/>
    <x v="2"/>
    <n v="500000"/>
    <n v="700000"/>
  </r>
  <r>
    <n v="409"/>
    <x v="125"/>
    <s v="Усаков Евгений Игоревич"/>
    <x v="1"/>
    <s v="ст.15.30 КоАП РФ"/>
    <x v="7"/>
    <n v="3000"/>
    <n v="5000"/>
  </r>
  <r>
    <n v="410"/>
    <x v="125"/>
    <s v="Общество с ограниченной ответственностью «Управляющая компания «Альфа-Капитал»"/>
    <x v="0"/>
    <s v="ч.12 ст.15.29 КоАП РФ"/>
    <x v="6"/>
    <n v="300000"/>
    <n v="500000"/>
  </r>
  <r>
    <n v="411"/>
    <x v="126"/>
    <s v="Общество с ограниченной ответственностью «Т-Капитал»"/>
    <x v="0"/>
    <s v="ч.2 ст.15.19 КоАП РФ"/>
    <x v="0"/>
    <n v="700000"/>
    <n v="1000000"/>
  </r>
  <r>
    <n v="412"/>
    <x v="126"/>
    <s v="Акционерное общество «Управляющая компания «ТРАНСФИНГРУП»"/>
    <x v="0"/>
    <s v="ч.12 ст.15.29 КоАП РФ"/>
    <x v="6"/>
    <n v="300000"/>
    <n v="500000"/>
  </r>
  <r>
    <n v="413"/>
    <x v="127"/>
    <s v="ООО «ЛЭНДЭР-ИНВЕСТ»"/>
    <x v="0"/>
    <s v="ч.9 ст.19.5 КоАП РФ"/>
    <x v="5"/>
    <n v="500000"/>
    <n v="700000"/>
  </r>
  <r>
    <n v="414"/>
    <x v="127"/>
    <s v="Перетрухина Элина Владимировна"/>
    <x v="1"/>
    <s v="ст.15.30 КоАП РФ"/>
    <x v="7"/>
    <n v="3000"/>
    <n v="5000"/>
  </r>
  <r>
    <n v="415"/>
    <x v="128"/>
    <s v="ЗАО «ПРСД»"/>
    <x v="0"/>
    <s v="ч.7 ст.15.29 КоАП РФ"/>
    <x v="10"/>
    <n v="500000"/>
    <n v="700000"/>
  </r>
  <r>
    <n v="416"/>
    <x v="128"/>
    <s v="Общество с ограниченной ответственностью «РСХБ Управление Активами»"/>
    <x v="0"/>
    <s v="ч.5 ст.15.29 КоАП РФ"/>
    <x v="10"/>
    <n v="500000"/>
    <n v="700000"/>
  </r>
  <r>
    <n v="416"/>
    <x v="128"/>
    <s v="Общество с ограниченной ответственностью «РСХБ Управление Активами»"/>
    <x v="0"/>
    <s v="ч.9 ст.15.29 КоАП РФ"/>
    <x v="0"/>
    <n v="700000"/>
    <n v="1000000"/>
  </r>
  <r>
    <n v="417"/>
    <x v="128"/>
    <s v="«Газпромбанк» (Акционерное общество)"/>
    <x v="0"/>
    <s v="ч.12 ст.15.29 КоАП РФ"/>
    <x v="6"/>
    <n v="300000"/>
    <n v="500000"/>
  </r>
  <r>
    <n v="418"/>
    <x v="129"/>
    <s v="ООО «АЛОР+»"/>
    <x v="0"/>
    <s v="ч.12 ст.15.29 КоАП РФ"/>
    <x v="6"/>
    <n v="300000"/>
    <n v="500000"/>
  </r>
  <r>
    <n v="419"/>
    <x v="130"/>
    <s v="Тимиргалин Марат Рамильевич"/>
    <x v="1"/>
    <s v="ст.15.30 КоАП РФ"/>
    <x v="7"/>
    <n v="3000"/>
    <n v="5000"/>
  </r>
  <r>
    <n v="420"/>
    <x v="131"/>
    <s v="Борисова Лидия Ивановна"/>
    <x v="1"/>
    <s v="ст.15.30 КоАП РФ"/>
    <x v="7"/>
    <n v="3000"/>
    <n v="5000"/>
  </r>
  <r>
    <n v="421"/>
    <x v="131"/>
    <s v="Общество с ограниченной ответственностью «Управляющая компания «Терра Эссет Менеджмент»"/>
    <x v="0"/>
    <s v="ч.2 ст.15.19 КоАП РФ"/>
    <x v="4"/>
    <n v="700000"/>
    <n v="1000000"/>
  </r>
  <r>
    <n v="422"/>
    <x v="132"/>
    <s v="Новокрещенова Ангелина Станиславовна"/>
    <x v="1"/>
    <s v="ст.15.30 КоАП РФ"/>
    <x v="7"/>
    <n v="3000"/>
    <n v="5000"/>
  </r>
  <r>
    <n v="423"/>
    <x v="132"/>
    <s v="Общество с ограниченной ответственностью Концерн «ДЖЕНЕРАЛ-ИНВЕСТ»"/>
    <x v="0"/>
    <s v="ч.2 ст.15.29 КоАП РФ"/>
    <x v="2"/>
    <n v="500000"/>
    <n v="700000"/>
  </r>
  <r>
    <n v="424"/>
    <x v="133"/>
    <s v="Меленкова Ирина Евгеньевна"/>
    <x v="1"/>
    <s v="ст.15.30 КоАП РФ"/>
    <x v="7"/>
    <n v="3000"/>
    <n v="5000"/>
  </r>
  <r>
    <n v="425"/>
    <x v="134"/>
    <s v="Воропаев Александр Андреевич"/>
    <x v="1"/>
    <s v="ч.12 ст.15.29 КоАП РФ"/>
    <x v="2"/>
    <n v="1000"/>
    <n v="3000"/>
  </r>
  <r>
    <n v="426"/>
    <x v="134"/>
    <s v="Общество с ограниченной ответственностью «Управляющая компания «Джи Пи Ай»"/>
    <x v="0"/>
    <s v="ч.12 ст.15.29 КоАП РФ"/>
    <x v="9"/>
    <n v="300000"/>
    <n v="500000"/>
  </r>
  <r>
    <n v="427"/>
    <x v="135"/>
    <s v="Меленкова Валентина Андреевна"/>
    <x v="1"/>
    <s v="ст.15.30 КоАП РФ"/>
    <x v="7"/>
    <n v="3000"/>
    <n v="5000"/>
  </r>
  <r>
    <n v="428"/>
    <x v="136"/>
    <s v="Акционерное общество «Инвестиционная компания «РИКОМ-ТРАСТ»"/>
    <x v="0"/>
    <s v="ч.9 ст.15.29 КоАП РФ"/>
    <x v="0"/>
    <n v="700000"/>
    <n v="1000000"/>
  </r>
  <r>
    <n v="428"/>
    <x v="136"/>
    <s v="Акционерное общество «Инвестиционная компания «РИКОМ-ТРАСТ»"/>
    <x v="0"/>
    <s v="ч.9 ст.15.29 КоАП РФ"/>
    <x v="0"/>
    <n v="700000"/>
    <n v="1000000"/>
  </r>
  <r>
    <n v="429"/>
    <x v="136"/>
    <s v="Акционерное общество «Управляющая компания «Первая»"/>
    <x v="0"/>
    <s v="ч.2 ст.15.19 КоАП РФ"/>
    <x v="0"/>
    <n v="700000"/>
    <n v="1000000"/>
  </r>
  <r>
    <n v="430"/>
    <x v="136"/>
    <s v="Общество с ограниченной ответственностью «РСХБ Управление Активами»"/>
    <x v="0"/>
    <s v="ч.6 ст.15.29 КоАП РФ"/>
    <x v="0"/>
    <n v="700000"/>
    <n v="1000000"/>
  </r>
  <r>
    <n v="430"/>
    <x v="136"/>
    <s v="Общество с ограниченной ответственностью «РСХБ Управление Активами»"/>
    <x v="0"/>
    <s v="ч.12 ст.15.29 КоАП РФ"/>
    <x v="6"/>
    <n v="300000"/>
    <n v="500000"/>
  </r>
  <r>
    <n v="431"/>
    <x v="136"/>
    <s v="Акционерное общество «Инвестиционная компания «Ай Ти Инвест»"/>
    <x v="0"/>
    <s v="ч.2 ст.15.29 КоАП РФ"/>
    <x v="10"/>
    <n v="500000"/>
    <n v="700000"/>
  </r>
  <r>
    <n v="432"/>
    <x v="136"/>
    <s v="Общество с ограниченной ответственностью Инвестиционная компания «Айсберг Финанс»"/>
    <x v="0"/>
    <s v="ч.2 ст.15.29 КоАП РФ"/>
    <x v="2"/>
    <n v="500000"/>
    <n v="700000"/>
  </r>
  <r>
    <n v="433"/>
    <x v="137"/>
    <s v="ООО «ИНВЕСТИРУЙ В»"/>
    <x v="0"/>
    <s v="ч.1 ст.19.7.3 КоАП РФ"/>
    <x v="2"/>
    <n v="500000"/>
    <n v="700000"/>
  </r>
  <r>
    <n v="433"/>
    <x v="137"/>
    <s v="ООО «ИНВЕСТИРУЙ В»"/>
    <x v="0"/>
    <s v="ч.9 ст.19.5 КоАП РФ"/>
    <x v="5"/>
    <n v="500000"/>
    <n v="700000"/>
  </r>
  <r>
    <n v="434"/>
    <x v="137"/>
    <s v="Общество с ограниченной ответственностью &quot;Т2 Мобайл&quot;"/>
    <x v="0"/>
    <s v="ч.1 ст.19.7.3 КоАП РФ"/>
    <x v="2"/>
    <n v="500000"/>
    <n v="700000"/>
  </r>
  <r>
    <n v="435"/>
    <x v="137"/>
    <s v="Юшков Никита Константинович"/>
    <x v="1"/>
    <s v="ст.15.30 КоАП РФ"/>
    <x v="7"/>
    <n v="3000"/>
    <n v="5000"/>
  </r>
  <r>
    <n v="436"/>
    <x v="137"/>
    <s v="Юшков Константин Михайлович"/>
    <x v="1"/>
    <s v="ст.15.30 КоАП РФ"/>
    <x v="7"/>
    <n v="3000"/>
    <n v="5000"/>
  </r>
  <r>
    <n v="437"/>
    <x v="137"/>
    <s v="Акционерное общество «Управляющая компания «Первая»"/>
    <x v="0"/>
    <s v="ч.12 ст.15.29 КоАП РФ"/>
    <x v="6"/>
    <n v="300000"/>
    <n v="5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9">
  <r>
    <n v="1"/>
    <d v="2026-02-17T00:00:00"/>
    <s v="Акционерное общество «Негосударственный пенсионный фонд «Ростех»"/>
    <x v="0"/>
    <x v="0"/>
    <x v="0"/>
    <n v="700000"/>
    <n v="1000000"/>
    <n v="0"/>
  </r>
  <r>
    <n v="2"/>
    <d v="2026-02-17T00:00:00"/>
    <s v="Общество с ограниченной ответственностью «Управляющая компания_x000d__x000a_«Атон-менеджмент»"/>
    <x v="0"/>
    <x v="1"/>
    <x v="0"/>
    <n v="700000"/>
    <n v="1000000"/>
    <n v="0"/>
  </r>
  <r>
    <n v="2"/>
    <d v="2026-02-17T00:00:00"/>
    <s v="Общество с ограниченной ответственностью «Управляющая компания_x000d__x000a_«Атон-менеджмент»"/>
    <x v="0"/>
    <x v="2"/>
    <x v="1"/>
    <n v="300000"/>
    <n v="500000"/>
    <n v="6.6666666666666666E-2"/>
  </r>
  <r>
    <n v="3"/>
    <d v="2026-02-13T00:00:00"/>
    <s v="Акционерное общество_x000d__x000a_Управляющая компания «Центр Эссет Менеджмент»"/>
    <x v="0"/>
    <x v="2"/>
    <x v="2"/>
    <n v="300000"/>
    <n v="500000"/>
    <e v="#VALUE!"/>
  </r>
  <r>
    <n v="4"/>
    <d v="2026-02-10T00:00:00"/>
    <s v="АО «ИК «РИКОМ-ТРАСТ»"/>
    <x v="0"/>
    <x v="0"/>
    <x v="3"/>
    <n v="700000"/>
    <n v="1000000"/>
    <n v="1"/>
  </r>
  <r>
    <n v="5"/>
    <d v="2026-02-10T00:00:00"/>
    <s v="Акционерное общество ВИМ Инвестиции"/>
    <x v="0"/>
    <x v="2"/>
    <x v="4"/>
    <n v="300000"/>
    <n v="500000"/>
    <n v="0.16666666666666666"/>
  </r>
  <r>
    <n v="6"/>
    <d v="2026-02-10T00:00:00"/>
    <s v="Общество с ограниченной_x000d__x000a_ответственностью_x000d__x000a_«Управляющая компания_x000d__x000a_«Ресурс»"/>
    <x v="0"/>
    <x v="1"/>
    <x v="2"/>
    <n v="700000"/>
    <n v="1000000"/>
    <e v="#VALUE!"/>
  </r>
  <r>
    <n v="7"/>
    <d v="2026-02-10T00:00:00"/>
    <s v="Общество с ограниченной ответственностью «ТрастЮнион Эссет Менеджмент»"/>
    <x v="0"/>
    <x v="2"/>
    <x v="2"/>
    <n v="300000"/>
    <n v="500000"/>
    <e v="#VALUE!"/>
  </r>
  <r>
    <n v="8"/>
    <d v="2026-02-10T00:00:00"/>
    <s v="Акционерное общество «Управляющая Компания ТРИНФИКО»"/>
    <x v="0"/>
    <x v="3"/>
    <x v="5"/>
    <n v="500000"/>
    <n v="700000"/>
    <n v="-0.5"/>
  </r>
  <r>
    <n v="9"/>
    <d v="2026-02-09T00:00:00"/>
    <s v="ООО «Цифра брокер»"/>
    <x v="0"/>
    <x v="2"/>
    <x v="6"/>
    <n v="300000"/>
    <n v="500000"/>
    <n v="0"/>
  </r>
  <r>
    <n v="10"/>
    <d v="2026-02-06T00:00:00"/>
    <s v="Голубков Виктор Владимирович"/>
    <x v="1"/>
    <x v="4"/>
    <x v="7"/>
    <n v="3000"/>
    <n v="5000"/>
    <n v="0"/>
  </r>
  <r>
    <n v="11"/>
    <d v="2026-02-06T00:00:00"/>
    <s v="генеральный директор общества с ограниченной ответственностью «Тринити Шиппинг» Ярошенко Александр Иванович"/>
    <x v="2"/>
    <x v="4"/>
    <x v="8"/>
    <n v="30000"/>
    <n v="50000"/>
    <n v="0"/>
  </r>
  <r>
    <n v="12"/>
    <d v="2026-02-06T00:00:00"/>
    <s v="Гальямова Наталья Александровна"/>
    <x v="1"/>
    <x v="4"/>
    <x v="7"/>
    <n v="3000"/>
    <n v="5000"/>
    <n v="0"/>
  </r>
  <r>
    <n v="13"/>
    <d v="2026-02-03T00:00:00"/>
    <s v="Чмыхало Юлия Анатольевна"/>
    <x v="1"/>
    <x v="4"/>
    <x v="7"/>
    <n v="3000"/>
    <n v="5000"/>
    <n v="0"/>
  </r>
  <r>
    <n v="14"/>
    <d v="2026-01-30T00:00:00"/>
    <s v="Усольцева Яна Германовна"/>
    <x v="1"/>
    <x v="4"/>
    <x v="7"/>
    <n v="3000"/>
    <n v="5000"/>
    <n v="0"/>
  </r>
  <r>
    <n v="15"/>
    <d v="2026-01-30T00:00:00"/>
    <s v="Краснова Галина Ивановна"/>
    <x v="1"/>
    <x v="4"/>
    <x v="7"/>
    <n v="3000"/>
    <n v="5000"/>
    <n v="0"/>
  </r>
  <r>
    <n v="16"/>
    <d v="2026-01-30T00:00:00"/>
    <s v="Артамонов Валерий Геннадьевич"/>
    <x v="1"/>
    <x v="4"/>
    <x v="7"/>
    <n v="3000"/>
    <n v="5000"/>
    <n v="0"/>
  </r>
  <r>
    <n v="17"/>
    <d v="2026-01-30T00:00:00"/>
    <s v="Манюкова Татьяна Васильевна"/>
    <x v="1"/>
    <x v="4"/>
    <x v="7"/>
    <n v="3000"/>
    <n v="5000"/>
    <n v="0"/>
  </r>
  <r>
    <n v="18"/>
    <d v="2026-01-30T00:00:00"/>
    <s v="Доценко Марина Сергеевна"/>
    <x v="1"/>
    <x v="4"/>
    <x v="7"/>
    <n v="3000"/>
    <n v="5000"/>
    <n v="0"/>
  </r>
  <r>
    <n v="19"/>
    <d v="2026-01-30T00:00:00"/>
    <s v="Гальямов Марсель Геральдович"/>
    <x v="1"/>
    <x v="4"/>
    <x v="7"/>
    <n v="3000"/>
    <n v="5000"/>
    <n v="0"/>
  </r>
  <r>
    <n v="20"/>
    <d v="2026-01-30T00:00:00"/>
    <s v="Садыров Игорь Рашидович"/>
    <x v="1"/>
    <x v="4"/>
    <x v="7"/>
    <n v="3000"/>
    <n v="5000"/>
    <n v="0"/>
  </r>
  <r>
    <n v="21"/>
    <d v="2026-01-27T00:00:00"/>
    <s v="Карчевский Павел Владимирович"/>
    <x v="1"/>
    <x v="4"/>
    <x v="7"/>
    <n v="3000"/>
    <n v="5000"/>
    <n v="0"/>
  </r>
  <r>
    <n v="22"/>
    <d v="2026-01-27T00:00:00"/>
    <s v="Шушин Олег Игоревич"/>
    <x v="1"/>
    <x v="4"/>
    <x v="7"/>
    <n v="3000"/>
    <n v="5000"/>
    <n v="0"/>
  </r>
  <r>
    <n v="23"/>
    <d v="2026-01-26T00:00:00"/>
    <s v="Беломытцева Наталия Сергеевна"/>
    <x v="1"/>
    <x v="4"/>
    <x v="7"/>
    <n v="3000"/>
    <n v="5000"/>
    <n v="0"/>
  </r>
  <r>
    <n v="24"/>
    <d v="2026-01-23T00:00:00"/>
    <s v="Ретровская Нина Борисовна"/>
    <x v="1"/>
    <x v="4"/>
    <x v="7"/>
    <n v="3000"/>
    <n v="5000"/>
    <n v="0"/>
  </r>
  <r>
    <n v="25"/>
    <d v="2026-01-23T00:00:00"/>
    <s v="Исаченко Наталия Николаевна"/>
    <x v="1"/>
    <x v="4"/>
    <x v="7"/>
    <n v="3000"/>
    <n v="5000"/>
    <n v="0"/>
  </r>
  <r>
    <n v="26"/>
    <d v="2026-01-23T00:00:00"/>
    <s v="Беломытцев Павел Анатольевич"/>
    <x v="1"/>
    <x v="4"/>
    <x v="7"/>
    <n v="3000"/>
    <n v="5000"/>
    <n v="0"/>
  </r>
  <r>
    <n v="27"/>
    <d v="2026-01-23T00:00:00"/>
    <s v="Зайцев Александр Олегович"/>
    <x v="1"/>
    <x v="4"/>
    <x v="7"/>
    <n v="3000"/>
    <n v="5000"/>
    <n v="0"/>
  </r>
  <r>
    <n v="28"/>
    <d v="2026-01-23T00:00:00"/>
    <s v="Нарушева Елена Гаптелахатовна"/>
    <x v="1"/>
    <x v="4"/>
    <x v="7"/>
    <n v="3000"/>
    <n v="5000"/>
    <n v="0"/>
  </r>
  <r>
    <n v="29"/>
    <d v="2026-01-23T00:00:00"/>
    <s v="Нарушев Андрей Иванович"/>
    <x v="1"/>
    <x v="4"/>
    <x v="7"/>
    <n v="3000"/>
    <n v="5000"/>
    <n v="0"/>
  </r>
  <r>
    <n v="30"/>
    <d v="2026-01-19T00:00:00"/>
    <s v="ИП Панов Александр Константинович"/>
    <x v="1"/>
    <x v="4"/>
    <x v="8"/>
    <n v="3000"/>
    <n v="5000"/>
    <n v="9"/>
  </r>
  <r>
    <n v="31"/>
    <d v="2026-01-19T00:00:00"/>
    <s v="ИП Панов Владимир Константинович"/>
    <x v="1"/>
    <x v="4"/>
    <x v="8"/>
    <n v="3000"/>
    <n v="5000"/>
    <n v="9"/>
  </r>
  <r>
    <n v="32"/>
    <d v="2026-01-19T00:00:00"/>
    <s v="Оганезян Роман Рафикович"/>
    <x v="1"/>
    <x v="4"/>
    <x v="7"/>
    <n v="3000"/>
    <n v="5000"/>
    <n v="0"/>
  </r>
  <r>
    <n v="33"/>
    <d v="2026-01-19T00:00:00"/>
    <s v="Клименко Артем Валерьевич"/>
    <x v="1"/>
    <x v="4"/>
    <x v="7"/>
    <n v="3000"/>
    <n v="5000"/>
    <n v="0"/>
  </r>
  <r>
    <n v="34"/>
    <d v="2026-01-19T00:00:00"/>
    <s v="Тихомиров Вадим Владимирович"/>
    <x v="1"/>
    <x v="4"/>
    <x v="7"/>
    <n v="3000"/>
    <n v="5000"/>
    <n v="0"/>
  </r>
  <r>
    <n v="35"/>
    <d v="2026-01-15T00:00:00"/>
    <s v="ООО &quot;Тринити Шиппинг&quot;"/>
    <x v="0"/>
    <x v="4"/>
    <x v="0"/>
    <n v="700000"/>
    <s v="в размере суммы излишнего дохода… но не менее 700 000 рублей"/>
    <n v="0"/>
  </r>
  <r>
    <n v="36"/>
    <d v="2026-01-15T00:00:00"/>
    <s v="Бурыкин Иван Терентьевич"/>
    <x v="1"/>
    <x v="4"/>
    <x v="7"/>
    <n v="3000"/>
    <n v="5000"/>
    <n v="0"/>
  </r>
  <r>
    <n v="37"/>
    <d v="2026-01-13T00:00:00"/>
    <s v="Колесникова Надежда Вячеславовна"/>
    <x v="1"/>
    <x v="4"/>
    <x v="7"/>
    <n v="3000"/>
    <n v="5000"/>
    <n v="0"/>
  </r>
  <r>
    <n v="38"/>
    <d v="2026-01-13T00:00:00"/>
    <s v="Мазнев Андрей Вячеславович"/>
    <x v="1"/>
    <x v="4"/>
    <x v="7"/>
    <n v="3000"/>
    <n v="5000"/>
    <n v="0"/>
  </r>
  <r>
    <n v="39"/>
    <d v="2026-01-13T00:00:00"/>
    <s v="Мазнев Сергей Вячеславович"/>
    <x v="1"/>
    <x v="4"/>
    <x v="7"/>
    <n v="3000"/>
    <n v="5000"/>
    <n v="0"/>
  </r>
  <r>
    <n v="40"/>
    <d v="2026-01-13T00:00:00"/>
    <s v="Дмитриев Андрей Николаевич"/>
    <x v="1"/>
    <x v="4"/>
    <x v="7"/>
    <n v="3000"/>
    <n v="5000"/>
    <n v="0"/>
  </r>
  <r>
    <n v="41"/>
    <d v="2026-01-13T00:00:00"/>
    <s v="Малык Герман Андреевич"/>
    <x v="1"/>
    <x v="4"/>
    <x v="7"/>
    <n v="3000"/>
    <n v="5000"/>
    <n v="0"/>
  </r>
  <r>
    <n v="42"/>
    <d v="2026-01-13T00:00:00"/>
    <s v="Усачев Андрей Николаевич"/>
    <x v="1"/>
    <x v="4"/>
    <x v="7"/>
    <n v="3000"/>
    <n v="5000"/>
    <n v="0"/>
  </r>
  <r>
    <n v="43"/>
    <d v="2026-01-13T00:00:00"/>
    <s v="Шушин Игорь Борисович"/>
    <x v="1"/>
    <x v="4"/>
    <x v="7"/>
    <n v="3000"/>
    <n v="5000"/>
    <n v="0"/>
  </r>
  <r>
    <n v="44"/>
    <d v="2026-01-13T00:00:00"/>
    <s v="Шушина Татьяна Геннадьевна"/>
    <x v="1"/>
    <x v="4"/>
    <x v="7"/>
    <n v="3000"/>
    <n v="5000"/>
    <n v="0"/>
  </r>
  <r>
    <n v="45"/>
    <d v="2026-01-13T00:00:00"/>
    <s v="Богачев Вячеслав Анатольевич"/>
    <x v="1"/>
    <x v="4"/>
    <x v="7"/>
    <n v="3000"/>
    <n v="5000"/>
    <n v="0"/>
  </r>
  <r>
    <n v="46"/>
    <d v="2026-01-13T00:00:00"/>
    <s v="Султанаева Эльвира Дамировна"/>
    <x v="1"/>
    <x v="4"/>
    <x v="7"/>
    <n v="3000"/>
    <n v="5000"/>
    <n v="0"/>
  </r>
  <r>
    <n v="47"/>
    <d v="2026-01-13T00:00:00"/>
    <s v="Бурыкин Иван Иванович"/>
    <x v="1"/>
    <x v="4"/>
    <x v="7"/>
    <n v="3000"/>
    <n v="5000"/>
    <n v="0"/>
  </r>
  <r>
    <n v="48"/>
    <d v="2026-01-13T00:00:00"/>
    <s v="АО «ИК «РИКОМ-ТРАСТ»"/>
    <x v="0"/>
    <x v="0"/>
    <x v="3"/>
    <n v="700000"/>
    <n v="1000000"/>
    <n v="1"/>
  </r>
  <r>
    <n v="49"/>
    <d v="2026-01-13T00:00:00"/>
    <s v="ООО «КВАЛИТИ»"/>
    <x v="0"/>
    <x v="5"/>
    <x v="5"/>
    <n v="500000"/>
    <n v="700000"/>
    <n v="-0.5"/>
  </r>
  <r>
    <n v="50"/>
    <d v="2026-01-13T00:00:00"/>
    <s v="ООО «THEДЕНЬГИ.РУ»"/>
    <x v="0"/>
    <x v="5"/>
    <x v="5"/>
    <n v="500000"/>
    <n v="700000"/>
    <n v="-0.5"/>
  </r>
  <r>
    <n v="51"/>
    <d v="2026-01-13T00:00:00"/>
    <s v="ООО «ПФЛ НОВЫЕ ИНВЕСТИЦИИ»"/>
    <x v="0"/>
    <x v="6"/>
    <x v="4"/>
    <n v="500000"/>
    <n v="700000"/>
    <n v="-0.3"/>
  </r>
  <r>
    <n v="52"/>
    <d v="2026-01-13T00:00:00"/>
    <s v="ООО «ТОЧКА ИНВЕСТИЦИИ»"/>
    <x v="0"/>
    <x v="6"/>
    <x v="2"/>
    <n v="500000"/>
    <n v="700000"/>
    <e v="#VALUE!"/>
  </r>
  <r>
    <n v="53"/>
    <d v="2026-01-13T00:00:00"/>
    <s v="Акционерное общество &quot;Частные Активы&quot;"/>
    <x v="0"/>
    <x v="2"/>
    <x v="2"/>
    <n v="300000"/>
    <n v="500000"/>
    <e v="#VALUE!"/>
  </r>
  <r>
    <n v="54"/>
    <d v="2026-01-13T00:00:00"/>
    <s v="Общество с ограниченной ответственностью Управляющая Компания &quot;Юнион Инвест Групп&quot;"/>
    <x v="0"/>
    <x v="0"/>
    <x v="4"/>
    <n v="700000"/>
    <n v="1000000"/>
    <n v="-0.5"/>
  </r>
  <r>
    <n v="54"/>
    <d v="2026-01-13T00:00:00"/>
    <s v="Общество с ограниченной ответственностью Управляющая Компания &quot;Юнион Инвест Групп&quot;"/>
    <x v="0"/>
    <x v="2"/>
    <x v="9"/>
    <n v="300000"/>
    <n v="500000"/>
    <n v="-0.5"/>
  </r>
  <r>
    <n v="55"/>
    <d v="2026-01-13T00:00:00"/>
    <s v="Акционерное общество Негосударственный пенсионный фонд ВТБ Пенсионный фонд"/>
    <x v="0"/>
    <x v="0"/>
    <x v="0"/>
    <n v="700000"/>
    <n v="1000000"/>
    <n v="0"/>
  </r>
  <r>
    <n v="56"/>
    <d v="2026-01-13T00:00:00"/>
    <s v="Акционерное общество «Управляющая Компания ТРИНФИКО»"/>
    <x v="0"/>
    <x v="7"/>
    <x v="2"/>
    <n v="700000"/>
    <n v="1000000"/>
    <e v="#VALUE!"/>
  </r>
  <r>
    <n v="57"/>
    <d v="2026-01-13T00:00:00"/>
    <s v="Акционерное общество «АБ Капитал»"/>
    <x v="0"/>
    <x v="7"/>
    <x v="2"/>
    <n v="700000"/>
    <n v="1000000"/>
    <e v="#VALUE!"/>
  </r>
  <r>
    <n v="58"/>
    <d v="2026-01-13T00:00:00"/>
    <s v="Акционерное общество «Инвестиционная компания «РИКОМ-ТРАСТ»"/>
    <x v="0"/>
    <x v="8"/>
    <x v="10"/>
    <n v="500000"/>
    <n v="700000"/>
    <n v="0"/>
  </r>
  <r>
    <n v="59"/>
    <d v="2026-01-13T00:00:00"/>
    <s v="Общество с ограниченной ответственностью «Т-Капитал»"/>
    <x v="0"/>
    <x v="7"/>
    <x v="0"/>
    <n v="700000"/>
    <n v="1000000"/>
    <n v="0"/>
  </r>
  <r>
    <n v="60"/>
    <d v="2026-01-13T00:00:00"/>
    <s v="Общество с ограниченной ответственностью «РСХБ Управление Активами»"/>
    <x v="0"/>
    <x v="2"/>
    <x v="11"/>
    <n v="300000"/>
    <n v="500000"/>
    <n v="0.33333333333333331"/>
  </r>
  <r>
    <n v="61"/>
    <d v="2025-12-30T00:00:00"/>
    <s v="Акционерное общество  «Объединенное кредитное бюро»"/>
    <x v="0"/>
    <x v="6"/>
    <x v="0"/>
    <n v="500000"/>
    <n v="700000"/>
    <n v="1"/>
  </r>
  <r>
    <n v="62"/>
    <d v="2025-12-30T00:00:00"/>
    <s v="Пивень Наталья Анатольевна"/>
    <x v="1"/>
    <x v="4"/>
    <x v="7"/>
    <n v="3000"/>
    <n v="5000"/>
    <n v="0"/>
  </r>
  <r>
    <n v="63"/>
    <d v="2025-12-30T00:00:00"/>
    <s v="Акционерное общество «Объединенное кредитное бюро»"/>
    <x v="0"/>
    <x v="6"/>
    <x v="0"/>
    <n v="500000"/>
    <n v="700000"/>
    <n v="1"/>
  </r>
  <r>
    <n v="64"/>
    <d v="2025-12-30T00:00:00"/>
    <s v="Пивень Демид Романович"/>
    <x v="1"/>
    <x v="4"/>
    <x v="7"/>
    <n v="3000"/>
    <n v="5000"/>
    <n v="0"/>
  </r>
  <r>
    <n v="65"/>
    <d v="2025-12-29T00:00:00"/>
    <s v="Акционерное общество &quot;Инвестиционная компания &quot;Лидер&quot;"/>
    <x v="0"/>
    <x v="8"/>
    <x v="2"/>
    <n v="500000"/>
    <n v="700000"/>
    <e v="#VALUE!"/>
  </r>
  <r>
    <n v="66"/>
    <d v="2025-12-23T00:00:00"/>
    <s v="Кувшинова Анна Викторовна"/>
    <x v="1"/>
    <x v="4"/>
    <x v="7"/>
    <n v="3000"/>
    <n v="5000"/>
    <n v="0"/>
  </r>
  <r>
    <n v="67"/>
    <d v="2025-12-23T00:00:00"/>
    <s v="Кувшинов Роман Сергеевич"/>
    <x v="1"/>
    <x v="4"/>
    <x v="7"/>
    <n v="3000"/>
    <n v="5000"/>
    <n v="0"/>
  </r>
  <r>
    <n v="68"/>
    <d v="2025-12-23T00:00:00"/>
    <s v="Чамкин Михаил Александрович"/>
    <x v="1"/>
    <x v="4"/>
    <x v="8"/>
    <n v="3000"/>
    <n v="5000"/>
    <n v="9"/>
  </r>
  <r>
    <n v="69"/>
    <d v="2025-12-23T00:00:00"/>
    <s v="ОБЩЕСТВО С ОГРАНИЧЕННОЙ ОТВЕТСТВЕННОСТЬЮ &quot;НАРОДНАЯ ИНВЕСТИЦИОННАЯ ПЛАТФОРМА&quot;"/>
    <x v="0"/>
    <x v="5"/>
    <x v="5"/>
    <n v="500000"/>
    <n v="700000"/>
    <n v="-0.5"/>
  </r>
  <r>
    <n v="70"/>
    <d v="2025-12-23T00:00:00"/>
    <s v="Акционерное общество «Управляющая компания «Первая»"/>
    <x v="0"/>
    <x v="1"/>
    <x v="0"/>
    <n v="700000"/>
    <n v="1000000"/>
    <n v="0"/>
  </r>
  <r>
    <n v="71"/>
    <d v="2025-12-23T00:00:00"/>
    <s v="Акционерное общество_x000d__x000a_«Контрада Капитал»"/>
    <x v="0"/>
    <x v="2"/>
    <x v="9"/>
    <n v="300000"/>
    <n v="500000"/>
    <n v="-0.5"/>
  </r>
  <r>
    <n v="71"/>
    <d v="2025-12-23T00:00:00"/>
    <s v="Акционерное общество_x000d__x000a_«Контрада Капитал»"/>
    <x v="0"/>
    <x v="1"/>
    <x v="4"/>
    <n v="700000"/>
    <n v="1000000"/>
    <n v="-0.5"/>
  </r>
  <r>
    <n v="72"/>
    <d v="2025-12-19T00:00:00"/>
    <s v="Общество с ограниченной ответственностью &quot;ТОРГОВАЯ СИСТЕМА&quot;"/>
    <x v="0"/>
    <x v="4"/>
    <x v="4"/>
    <n v="700000"/>
    <s v="в размере суммы излишнего дохода… но не менее 700 000 рублей"/>
    <n v="-0.5"/>
  </r>
  <r>
    <n v="73"/>
    <d v="2025-12-19T00:00:00"/>
    <s v="Кривова Надежда Юнусовна"/>
    <x v="1"/>
    <x v="4"/>
    <x v="7"/>
    <n v="3000"/>
    <n v="5000"/>
    <n v="0"/>
  </r>
  <r>
    <n v="74"/>
    <d v="2025-12-19T00:00:00"/>
    <s v="Кривов Вадим Иванович"/>
    <x v="1"/>
    <x v="4"/>
    <x v="7"/>
    <n v="3000"/>
    <n v="5000"/>
    <n v="0"/>
  </r>
  <r>
    <n v="75"/>
    <d v="2025-12-19T00:00:00"/>
    <s v="Общество с ограниченной_x000d__x000a_ответственностью_x000d__x000a_«Совкомбанк Управление_x000d__x000a_Активами»"/>
    <x v="0"/>
    <x v="2"/>
    <x v="2"/>
    <n v="300000"/>
    <n v="500000"/>
    <e v="#VALUE!"/>
  </r>
  <r>
    <n v="76"/>
    <d v="2025-12-16T00:00:00"/>
    <s v="Общество с ограниченной ответственностью &quot;Зитрон&quot;"/>
    <x v="0"/>
    <x v="4"/>
    <x v="4"/>
    <n v="700000"/>
    <s v="в размере суммы излишнего дохода… но не менее 700 000 рублей"/>
    <n v="-0.5"/>
  </r>
  <r>
    <n v="77"/>
    <d v="2025-12-16T00:00:00"/>
    <s v="Акционерное общество «НРК-Р.О.С.Т.»"/>
    <x v="0"/>
    <x v="9"/>
    <x v="10"/>
    <n v="500000"/>
    <n v="700000"/>
    <n v="0"/>
  </r>
  <r>
    <n v="78"/>
    <d v="2025-12-16T00:00:00"/>
    <s v="Общество с ограниченной ответственностью «Бюро кредитных историй КредитИнфо»"/>
    <x v="0"/>
    <x v="6"/>
    <x v="10"/>
    <n v="500000"/>
    <n v="700000"/>
    <n v="0"/>
  </r>
  <r>
    <n v="79"/>
    <d v="2025-12-16T00:00:00"/>
    <s v="Общество с ограниченной ответственностью «Апрель Капитал Брокер»"/>
    <x v="0"/>
    <x v="8"/>
    <x v="2"/>
    <n v="500000"/>
    <n v="700000"/>
    <e v="#VALUE!"/>
  </r>
  <r>
    <n v="80"/>
    <d v="2025-12-15T00:00:00"/>
    <s v="Акционерное общество_x000d__x000a_«Всероссийский банк_x000d__x000a_развития регионов»"/>
    <x v="0"/>
    <x v="2"/>
    <x v="2"/>
    <n v="300000"/>
    <n v="500000"/>
    <e v="#VALUE!"/>
  </r>
  <r>
    <n v="81"/>
    <d v="2025-12-12T00:00:00"/>
    <s v="Денисова Екатерина Алексеевна"/>
    <x v="1"/>
    <x v="4"/>
    <x v="7"/>
    <n v="3000"/>
    <n v="5000"/>
    <n v="0"/>
  </r>
  <r>
    <n v="82"/>
    <d v="2025-12-11T00:00:00"/>
    <s v="Абхаликов Марсель Абдулвалеевич"/>
    <x v="1"/>
    <x v="4"/>
    <x v="7"/>
    <n v="3000"/>
    <n v="5000"/>
    <n v="0"/>
  </r>
  <r>
    <n v="83"/>
    <d v="2025-12-10T00:00:00"/>
    <s v="Богачев Алексей Анатольевич"/>
    <x v="1"/>
    <x v="4"/>
    <x v="7"/>
    <n v="3000"/>
    <n v="5000"/>
    <n v="0"/>
  </r>
  <r>
    <n v="84"/>
    <d v="2025-12-09T00:00:00"/>
    <s v="Акционерное общество «Управляющая компания «Парадигма»"/>
    <x v="0"/>
    <x v="2"/>
    <x v="2"/>
    <n v="300000"/>
    <n v="500000"/>
    <e v="#VALUE!"/>
  </r>
  <r>
    <n v="85"/>
    <d v="2025-12-08T00:00:00"/>
    <s v="Сысун Константин Валерьевич"/>
    <x v="1"/>
    <x v="4"/>
    <x v="7"/>
    <n v="3000"/>
    <n v="5000"/>
    <n v="0"/>
  </r>
  <r>
    <n v="86"/>
    <d v="2025-12-08T00:00:00"/>
    <s v="Краснов Борис Владимирович"/>
    <x v="1"/>
    <x v="4"/>
    <x v="7"/>
    <n v="3000"/>
    <n v="5000"/>
    <n v="0"/>
  </r>
  <r>
    <n v="87"/>
    <d v="2025-12-05T00:00:00"/>
    <s v="Общество с ограниченной ответственностью «МКБ Инвестиции»"/>
    <x v="0"/>
    <x v="0"/>
    <x v="0"/>
    <n v="700000"/>
    <n v="1000000"/>
    <n v="0"/>
  </r>
  <r>
    <n v="88"/>
    <d v="2025-12-05T00:00:00"/>
    <s v="Акционерное общество «Негосударственный пенсионный фонд «БЛАГОСОСТОЯНИЕ»"/>
    <x v="0"/>
    <x v="0"/>
    <x v="0"/>
    <n v="700000"/>
    <n v="1000000"/>
    <n v="0"/>
  </r>
  <r>
    <n v="89"/>
    <d v="2025-12-02T00:00:00"/>
    <s v="Акционерное общество «Инвестиционная компания «РИКОМ-ТРАСТ»"/>
    <x v="0"/>
    <x v="7"/>
    <x v="0"/>
    <n v="700000"/>
    <n v="1000000"/>
    <n v="0"/>
  </r>
  <r>
    <n v="90"/>
    <d v="2025-11-28T00:00:00"/>
    <s v="Акционерное общество &quot;Национальное бюро кредитных историй!"/>
    <x v="0"/>
    <x v="10"/>
    <x v="12"/>
    <n v="10000"/>
    <n v="20000"/>
    <n v="0"/>
  </r>
  <r>
    <n v="91"/>
    <d v="2025-11-25T00:00:00"/>
    <s v="Акционерное общество «Инвестиционная компания «РИКОМ-ТРАСТ»"/>
    <x v="0"/>
    <x v="6"/>
    <x v="0"/>
    <n v="500000"/>
    <n v="700000"/>
    <n v="1"/>
  </r>
  <r>
    <n v="92"/>
    <d v="2025-11-25T00:00:00"/>
    <s v="Акционерное общество «ТБанк»"/>
    <x v="0"/>
    <x v="7"/>
    <x v="0"/>
    <n v="700000"/>
    <n v="1000000"/>
    <n v="0"/>
  </r>
  <r>
    <n v="93"/>
    <d v="2025-11-25T00:00:00"/>
    <s v="Акционерное общество «Райффайзенбанк»"/>
    <x v="0"/>
    <x v="7"/>
    <x v="0"/>
    <n v="700000"/>
    <n v="1000000"/>
    <n v="0"/>
  </r>
  <r>
    <n v="94"/>
    <d v="2025-11-25T00:00:00"/>
    <s v="Общество с ограниченной ответственностью Управляющая компания «Надежное управление»"/>
    <x v="0"/>
    <x v="2"/>
    <x v="13"/>
    <n v="300000"/>
    <n v="500000"/>
    <n v="-0.46666666666666667"/>
  </r>
  <r>
    <n v="95"/>
    <d v="2025-11-24T00:00:00"/>
    <s v="Агамирова Ламара Бегларовна"/>
    <x v="1"/>
    <x v="4"/>
    <x v="7"/>
    <n v="3000"/>
    <n v="5000"/>
    <n v="0"/>
  </r>
  <r>
    <n v="96"/>
    <d v="2025-11-24T00:00:00"/>
    <s v="Третьякова Надежда Яковлевна"/>
    <x v="1"/>
    <x v="4"/>
    <x v="7"/>
    <n v="3000"/>
    <n v="5000"/>
    <n v="0"/>
  </r>
  <r>
    <n v="97"/>
    <d v="2025-11-24T00:00:00"/>
    <s v="ООО УК «ФИН-Партнер»"/>
    <x v="0"/>
    <x v="2"/>
    <x v="2"/>
    <n v="300000"/>
    <n v="500000"/>
    <e v="#VALUE!"/>
  </r>
  <r>
    <n v="98"/>
    <d v="2025-11-24T00:00:00"/>
    <s v="Акционерное общество «СОЛИД Менеджмент»"/>
    <x v="0"/>
    <x v="7"/>
    <x v="4"/>
    <n v="700000"/>
    <n v="1000000"/>
    <n v="-0.5"/>
  </r>
  <r>
    <n v="98"/>
    <d v="2025-11-24T00:00:00"/>
    <s v="Акционерное общество «СОЛИД Менеджмент»"/>
    <x v="0"/>
    <x v="7"/>
    <x v="4"/>
    <n v="700000"/>
    <n v="1000000"/>
    <n v="-0.5"/>
  </r>
  <r>
    <n v="99"/>
    <d v="2025-11-22T00:00:00"/>
    <s v="АО «НРК-Р.О.С.Т.»"/>
    <x v="0"/>
    <x v="6"/>
    <x v="2"/>
    <n v="500000"/>
    <n v="700000"/>
    <e v="#VALUE!"/>
  </r>
  <r>
    <n v="100"/>
    <d v="2025-11-21T00:00:00"/>
    <s v="ОБЩЕСТВО С ОГРАНИЧЕННОЙ ОТВЕТСТВЕННОСТЬЮ «НАРОДНАЯ ИНВЕСТИЦИОННАЯ ПЛАТФОРМА»"/>
    <x v="0"/>
    <x v="5"/>
    <x v="5"/>
    <n v="500000"/>
    <n v="700000"/>
    <n v="-0.5"/>
  </r>
  <r>
    <n v="101"/>
    <d v="2025-11-21T00:00:00"/>
    <s v="Общество с ограниченной ответственностью ВИМ Сбережения"/>
    <x v="0"/>
    <x v="0"/>
    <x v="0"/>
    <n v="700000"/>
    <n v="1000000"/>
    <n v="0"/>
  </r>
  <r>
    <n v="102"/>
    <d v="2025-11-18T00:00:00"/>
    <s v="Кислица Дмитрий Николаевич"/>
    <x v="1"/>
    <x v="4"/>
    <x v="7"/>
    <n v="3000"/>
    <n v="5000"/>
    <n v="0"/>
  </r>
  <r>
    <n v="103"/>
    <d v="2025-11-18T00:00:00"/>
    <s v="Гаспарян Сергей Эдуардович"/>
    <x v="1"/>
    <x v="4"/>
    <x v="7"/>
    <n v="3000"/>
    <n v="5000"/>
    <n v="0"/>
  </r>
  <r>
    <n v="104"/>
    <d v="2025-11-18T00:00:00"/>
    <s v="Ледник Мария Ивановна"/>
    <x v="1"/>
    <x v="4"/>
    <x v="7"/>
    <n v="3000"/>
    <n v="5000"/>
    <n v="0"/>
  </r>
  <r>
    <n v="105"/>
    <d v="2025-11-18T00:00:00"/>
    <s v="Финк Александр Яковлевич"/>
    <x v="1"/>
    <x v="4"/>
    <x v="7"/>
    <n v="3000"/>
    <n v="5000"/>
    <n v="0"/>
  </r>
  <r>
    <n v="106"/>
    <d v="2025-11-18T00:00:00"/>
    <s v="Когай Геннадий Григорьевич"/>
    <x v="1"/>
    <x v="4"/>
    <x v="7"/>
    <n v="3000"/>
    <n v="5000"/>
    <n v="0"/>
  </r>
  <r>
    <n v="107"/>
    <d v="2025-11-18T00:00:00"/>
    <s v="Багров Дмитрий Андреевич"/>
    <x v="1"/>
    <x v="4"/>
    <x v="7"/>
    <n v="3000"/>
    <n v="5000"/>
    <n v="0"/>
  </r>
  <r>
    <n v="108"/>
    <d v="2025-11-18T00:00:00"/>
    <s v="Денисов Павел Геннадьевич"/>
    <x v="1"/>
    <x v="4"/>
    <x v="7"/>
    <n v="3000"/>
    <n v="5000"/>
    <n v="0"/>
  </r>
  <r>
    <n v="109"/>
    <d v="2025-11-14T00:00:00"/>
    <s v="Бастракова Дарья Дмитриевна"/>
    <x v="1"/>
    <x v="4"/>
    <x v="7"/>
    <n v="3000"/>
    <n v="5000"/>
    <n v="0"/>
  </r>
  <r>
    <n v="110"/>
    <d v="2025-11-14T00:00:00"/>
    <s v="Трубина Наталья Владимировна"/>
    <x v="1"/>
    <x v="4"/>
    <x v="7"/>
    <n v="3000"/>
    <n v="5000"/>
    <n v="0"/>
  </r>
  <r>
    <n v="111"/>
    <d v="2025-11-13T00:00:00"/>
    <s v="Горячева Елена Петровна"/>
    <x v="1"/>
    <x v="4"/>
    <x v="7"/>
    <n v="3000"/>
    <n v="5000"/>
    <n v="0"/>
  </r>
  <r>
    <n v="112"/>
    <d v="2025-11-12T00:00:00"/>
    <s v="Медюх Игорь Иосифович"/>
    <x v="1"/>
    <x v="4"/>
    <x v="7"/>
    <n v="3000"/>
    <n v="5000"/>
    <n v="0"/>
  </r>
  <r>
    <n v="113"/>
    <d v="2025-11-12T00:00:00"/>
    <s v="Медюх Елена Геннадьевна"/>
    <x v="1"/>
    <x v="4"/>
    <x v="7"/>
    <n v="3000"/>
    <n v="5000"/>
    <n v="0"/>
  </r>
  <r>
    <n v="114"/>
    <d v="2025-11-12T00:00:00"/>
    <s v="Байкова Анастасия Юрьевна"/>
    <x v="1"/>
    <x v="4"/>
    <x v="7"/>
    <n v="3000"/>
    <n v="5000"/>
    <n v="0"/>
  </r>
  <r>
    <n v="115"/>
    <d v="2025-11-11T00:00:00"/>
    <s v="Бурыкина Оксана Валентиновна"/>
    <x v="1"/>
    <x v="4"/>
    <x v="7"/>
    <n v="3000"/>
    <n v="5000"/>
    <n v="0"/>
  </r>
  <r>
    <n v="116"/>
    <d v="2025-11-11T00:00:00"/>
    <s v="Кислица Егор Дмитриевич"/>
    <x v="1"/>
    <x v="4"/>
    <x v="7"/>
    <n v="3000"/>
    <n v="5000"/>
    <n v="0"/>
  </r>
  <r>
    <n v="117"/>
    <d v="2025-11-11T00:00:00"/>
    <s v="Савина Александра Юрьевна"/>
    <x v="1"/>
    <x v="4"/>
    <x v="7"/>
    <n v="3000"/>
    <n v="5000"/>
    <n v="0"/>
  </r>
  <r>
    <n v="118"/>
    <d v="2025-11-11T00:00:00"/>
    <s v="Комаров Михаил Владимирович"/>
    <x v="1"/>
    <x v="4"/>
    <x v="7"/>
    <n v="3000"/>
    <n v="5000"/>
    <n v="0"/>
  </r>
  <r>
    <n v="119"/>
    <d v="2025-11-11T00:00:00"/>
    <s v="Акционерное общество «Объединенное Кредитное Бюро»"/>
    <x v="0"/>
    <x v="11"/>
    <x v="14"/>
    <n v="30000"/>
    <n v="50000"/>
    <n v="1"/>
  </r>
  <r>
    <n v="119"/>
    <d v="2025-11-11T00:00:00"/>
    <s v="Акционерное общество «Объединенное Кредитное Бюро»"/>
    <x v="0"/>
    <x v="12"/>
    <x v="15"/>
    <n v="10000"/>
    <n v="20000"/>
    <n v="1"/>
  </r>
  <r>
    <n v="119"/>
    <d v="2025-11-11T00:00:00"/>
    <s v="Акционерное общество «Объединенное Кредитное Бюро»"/>
    <x v="0"/>
    <x v="12"/>
    <x v="15"/>
    <n v="10000"/>
    <n v="20000"/>
    <n v="1"/>
  </r>
  <r>
    <n v="120"/>
    <d v="2025-11-11T00:00:00"/>
    <s v="Акционерное общество «СОЛИД Менеджмент»"/>
    <x v="0"/>
    <x v="2"/>
    <x v="9"/>
    <n v="300000"/>
    <n v="500000"/>
    <n v="-0.5"/>
  </r>
  <r>
    <n v="121"/>
    <d v="2025-11-11T00:00:00"/>
    <s v="Акционерное общество_x000d__x000a_Инвестиционно-финансовая_x000d__x000a_компания «Солид»"/>
    <x v="0"/>
    <x v="8"/>
    <x v="16"/>
    <n v="500000"/>
    <n v="700000"/>
    <n v="0.1"/>
  </r>
  <r>
    <n v="122"/>
    <d v="2025-11-11T00:00:00"/>
    <s v="Общество с ограниченной ответственностью «Управляющая компания «ГЕРФИН»"/>
    <x v="0"/>
    <x v="0"/>
    <x v="4"/>
    <n v="700000"/>
    <n v="1000000"/>
    <n v="-0.5"/>
  </r>
  <r>
    <n v="122"/>
    <d v="2025-11-11T00:00:00"/>
    <s v="Общество с ограниченной ответственностью «Управляющая компания «ГЕРФИН»"/>
    <x v="0"/>
    <x v="0"/>
    <x v="4"/>
    <n v="700000"/>
    <n v="1000000"/>
    <n v="-0.5"/>
  </r>
  <r>
    <n v="122"/>
    <d v="2025-11-11T00:00:00"/>
    <s v="Общество с ограниченной ответственностью «Управляющая компания «ГЕРФИН»"/>
    <x v="0"/>
    <x v="0"/>
    <x v="4"/>
    <n v="700000"/>
    <n v="1000000"/>
    <n v="-0.5"/>
  </r>
  <r>
    <n v="122"/>
    <d v="2025-11-11T00:00:00"/>
    <s v="Общество с ограниченной ответственностью «Управляющая компания «ГЕРФИН»"/>
    <x v="0"/>
    <x v="0"/>
    <x v="4"/>
    <n v="700000"/>
    <n v="1000000"/>
    <n v="-0.5"/>
  </r>
  <r>
    <n v="122"/>
    <d v="2025-11-11T00:00:00"/>
    <s v="Общество с ограниченной ответственностью «Управляющая компания «ГЕРФИН»"/>
    <x v="0"/>
    <x v="0"/>
    <x v="4"/>
    <n v="700000"/>
    <n v="1000000"/>
    <n v="-0.5"/>
  </r>
  <r>
    <n v="122"/>
    <d v="2025-11-11T00:00:00"/>
    <s v="Общество с ограниченной ответственностью «Управляющая компания «ГЕРФИН»"/>
    <x v="0"/>
    <x v="0"/>
    <x v="4"/>
    <n v="700000"/>
    <n v="1000000"/>
    <n v="-0.5"/>
  </r>
  <r>
    <n v="122"/>
    <d v="2025-11-11T00:00:00"/>
    <s v="Общество с ограниченной ответственностью «Управляющая компания «ГЕРФИН»"/>
    <x v="0"/>
    <x v="0"/>
    <x v="4"/>
    <n v="700000"/>
    <n v="1000000"/>
    <n v="-0.5"/>
  </r>
  <r>
    <n v="123"/>
    <d v="2025-11-11T00:00:00"/>
    <s v="Акционерное общество «Управляющая компания «Первая»"/>
    <x v="0"/>
    <x v="1"/>
    <x v="0"/>
    <n v="700000"/>
    <n v="1000000"/>
    <n v="0"/>
  </r>
  <r>
    <n v="124"/>
    <d v="2025-11-10T00:00:00"/>
    <s v="Бурыкин Иван Терентьевич"/>
    <x v="1"/>
    <x v="4"/>
    <x v="7"/>
    <n v="3000"/>
    <n v="5000"/>
    <n v="0"/>
  </r>
  <r>
    <n v="125"/>
    <d v="2025-11-10T00:00:00"/>
    <s v="Глазкова Екатерина Николаевна"/>
    <x v="1"/>
    <x v="4"/>
    <x v="7"/>
    <n v="3000"/>
    <n v="5000"/>
    <n v="0"/>
  </r>
  <r>
    <n v="126"/>
    <d v="2025-11-10T00:00:00"/>
    <s v="Глазков Алексей Геннадьевич"/>
    <x v="1"/>
    <x v="4"/>
    <x v="7"/>
    <n v="3000"/>
    <n v="5000"/>
    <n v="0"/>
  </r>
  <r>
    <n v="127"/>
    <d v="2025-11-10T00:00:00"/>
    <s v="Ювженко Александр Витальевич"/>
    <x v="1"/>
    <x v="4"/>
    <x v="7"/>
    <n v="3000"/>
    <n v="5000"/>
    <n v="0"/>
  </r>
  <r>
    <n v="128"/>
    <d v="2025-11-07T00:00:00"/>
    <s v="АО «ИК «РИКОМ-ТРАСТ"/>
    <x v="0"/>
    <x v="6"/>
    <x v="0"/>
    <n v="500000"/>
    <n v="700000"/>
    <n v="1"/>
  </r>
  <r>
    <n v="129"/>
    <d v="2025-11-07T00:00:00"/>
    <s v="Сулейманова Танья Нурмухаметовна"/>
    <x v="1"/>
    <x v="4"/>
    <x v="7"/>
    <n v="3000"/>
    <n v="5000"/>
    <n v="0"/>
  </r>
  <r>
    <n v="130"/>
    <d v="2025-11-07T00:00:00"/>
    <s v="Кемайкин Григорий Владимирович"/>
    <x v="1"/>
    <x v="4"/>
    <x v="7"/>
    <n v="3000"/>
    <n v="5000"/>
    <n v="0"/>
  </r>
  <r>
    <n v="131"/>
    <d v="2025-11-07T00:00:00"/>
    <s v="Яковлева Надежда Александровна"/>
    <x v="1"/>
    <x v="4"/>
    <x v="7"/>
    <n v="3000"/>
    <n v="5000"/>
    <n v="0"/>
  </r>
  <r>
    <n v="132"/>
    <d v="2025-11-07T00:00:00"/>
    <s v="Яковлев Алексей Владимирович"/>
    <x v="1"/>
    <x v="4"/>
    <x v="7"/>
    <n v="3000"/>
    <n v="5000"/>
    <n v="0"/>
  </r>
  <r>
    <n v="133"/>
    <d v="2025-11-07T00:00:00"/>
    <s v="Акционерное общество &quot;Национальное бюро кредитных историй&quot;"/>
    <x v="0"/>
    <x v="10"/>
    <x v="12"/>
    <n v="10000"/>
    <n v="20000"/>
    <n v="0"/>
  </r>
  <r>
    <n v="134"/>
    <d v="2025-11-06T00:00:00"/>
    <s v="Горячев Дмитрий Александрович"/>
    <x v="1"/>
    <x v="4"/>
    <x v="7"/>
    <n v="3000"/>
    <n v="5000"/>
    <n v="0"/>
  </r>
  <r>
    <n v="135"/>
    <d v="2025-11-06T00:00:00"/>
    <s v="Сулейманов Алмаз Рафикович"/>
    <x v="1"/>
    <x v="4"/>
    <x v="7"/>
    <n v="3000"/>
    <n v="5000"/>
    <n v="0"/>
  </r>
  <r>
    <n v="136"/>
    <d v="2025-11-06T00:00:00"/>
    <s v="Плахута Михаил Сергеевич"/>
    <x v="1"/>
    <x v="4"/>
    <x v="7"/>
    <n v="3000"/>
    <n v="5000"/>
    <n v="0"/>
  </r>
  <r>
    <n v="137"/>
    <d v="2025-11-05T00:00:00"/>
    <s v="Шилова Елена Михайловна"/>
    <x v="1"/>
    <x v="4"/>
    <x v="7"/>
    <n v="3000"/>
    <n v="5000"/>
    <n v="0"/>
  </r>
  <r>
    <n v="138"/>
    <d v="2025-11-05T00:00:00"/>
    <s v="Шилов Дмитрий Игоревич"/>
    <x v="1"/>
    <x v="4"/>
    <x v="7"/>
    <n v="3000"/>
    <n v="5000"/>
    <n v="0"/>
  </r>
  <r>
    <n v="139"/>
    <d v="2025-11-05T00:00:00"/>
    <s v="Кемайкина Юлия Александровна"/>
    <x v="1"/>
    <x v="4"/>
    <x v="7"/>
    <n v="3000"/>
    <n v="5000"/>
    <n v="0"/>
  </r>
  <r>
    <n v="140"/>
    <d v="2025-11-05T00:00:00"/>
    <s v="Общество с ограниченной ответственностью «Инвестиционная компания «Титульный Брокер»"/>
    <x v="0"/>
    <x v="0"/>
    <x v="2"/>
    <n v="700000"/>
    <n v="1000000"/>
    <e v="#VALUE!"/>
  </r>
  <r>
    <n v="141"/>
    <d v="2025-11-01T00:00:00"/>
    <s v="Трефилова Мария Сергеевна"/>
    <x v="1"/>
    <x v="4"/>
    <x v="7"/>
    <n v="3000"/>
    <n v="5000"/>
    <n v="0"/>
  </r>
  <r>
    <n v="142"/>
    <d v="2025-10-31T00:00:00"/>
    <s v="Янковская Марина Владимировна"/>
    <x v="1"/>
    <x v="4"/>
    <x v="7"/>
    <n v="3000"/>
    <n v="5000"/>
    <n v="0"/>
  </r>
  <r>
    <n v="143"/>
    <d v="2025-10-31T00:00:00"/>
    <s v="Янковский Сергей Борисович"/>
    <x v="1"/>
    <x v="4"/>
    <x v="7"/>
    <n v="3000"/>
    <n v="5000"/>
    <n v="0"/>
  </r>
  <r>
    <n v="144"/>
    <d v="2025-10-31T00:00:00"/>
    <s v="Громовой Дмитрий Леонидович"/>
    <x v="1"/>
    <x v="4"/>
    <x v="7"/>
    <n v="3000"/>
    <n v="5000"/>
    <n v="0"/>
  </r>
  <r>
    <n v="145"/>
    <d v="2025-10-31T00:00:00"/>
    <s v="Никитин Никита Геннадьевич"/>
    <x v="1"/>
    <x v="4"/>
    <x v="7"/>
    <n v="3000"/>
    <n v="5000"/>
    <n v="0"/>
  </r>
  <r>
    <n v="146"/>
    <d v="2025-10-31T00:00:00"/>
    <s v="Плахута Эмилия Сергеевна"/>
    <x v="1"/>
    <x v="4"/>
    <x v="7"/>
    <n v="3000"/>
    <n v="5000"/>
    <n v="0"/>
  </r>
  <r>
    <n v="147"/>
    <d v="2025-10-31T00:00:00"/>
    <s v="Третьяков Александр Евгеньевич"/>
    <x v="1"/>
    <x v="4"/>
    <x v="7"/>
    <n v="3000"/>
    <n v="5000"/>
    <n v="0"/>
  </r>
  <r>
    <n v="149"/>
    <d v="2025-10-28T00:00:00"/>
    <s v="Акционерное общество коммерческий банк &quot;Ситибанк&quot;"/>
    <x v="0"/>
    <x v="2"/>
    <x v="2"/>
    <n v="300000"/>
    <n v="500000"/>
    <e v="#VALUE!"/>
  </r>
  <r>
    <n v="150"/>
    <d v="2025-10-28T00:00:00"/>
    <s v="Акционерное общество «Сбербанк КИБ»"/>
    <x v="0"/>
    <x v="0"/>
    <x v="2"/>
    <n v="700000"/>
    <n v="1000000"/>
    <e v="#VALUE!"/>
  </r>
  <r>
    <n v="151"/>
    <d v="2025-10-28T00:00:00"/>
    <s v="ООО «МКБ Инвестиции»"/>
    <x v="0"/>
    <x v="6"/>
    <x v="2"/>
    <n v="500000"/>
    <n v="700000"/>
    <e v="#VALUE!"/>
  </r>
  <r>
    <n v="152"/>
    <d v="2025-10-28T00:00:00"/>
    <s v="Общество с ограниченной_x000d__x000a_ответственностью_x000d__x000a_«Управляющая компания_x000d__x000a_«Альфа-Капитал»"/>
    <x v="0"/>
    <x v="2"/>
    <x v="6"/>
    <n v="300000"/>
    <n v="500000"/>
    <n v="0"/>
  </r>
  <r>
    <n v="153"/>
    <d v="2025-10-28T00:00:00"/>
    <s v="Маслова Елена Евгеньевна"/>
    <x v="1"/>
    <x v="4"/>
    <x v="7"/>
    <n v="3000"/>
    <n v="5000"/>
    <n v="0"/>
  </r>
  <r>
    <n v="154"/>
    <d v="2025-10-28T00:00:00"/>
    <s v="Маслов Никита Иванович"/>
    <x v="1"/>
    <x v="4"/>
    <x v="7"/>
    <n v="3000"/>
    <n v="5000"/>
    <n v="0"/>
  </r>
  <r>
    <n v="155"/>
    <d v="2025-10-28T00:00:00"/>
    <s v="Подкоморная Анастасия Петровна"/>
    <x v="1"/>
    <x v="4"/>
    <x v="7"/>
    <n v="3000"/>
    <n v="5000"/>
    <n v="0"/>
  </r>
  <r>
    <n v="156"/>
    <d v="2025-10-28T00:00:00"/>
    <s v="Общество с ограниченной ответственностью Инвестиционная компания «Прайвет Капитал»"/>
    <x v="0"/>
    <x v="2"/>
    <x v="5"/>
    <n v="300000"/>
    <n v="500000"/>
    <n v="-0.16666666666666666"/>
  </r>
  <r>
    <n v="157"/>
    <d v="2025-10-27T00:00:00"/>
    <s v="ООО «ФИНИН-К»"/>
    <x v="0"/>
    <x v="5"/>
    <x v="6"/>
    <n v="500000"/>
    <n v="700000"/>
    <n v="-0.4"/>
  </r>
  <r>
    <n v="158"/>
    <d v="2025-10-27T00:00:00"/>
    <s v="ООО «Поток.Диджитал»"/>
    <x v="0"/>
    <x v="6"/>
    <x v="2"/>
    <n v="500000"/>
    <n v="700000"/>
    <e v="#VALUE!"/>
  </r>
  <r>
    <n v="159"/>
    <d v="2025-10-27T00:00:00"/>
    <s v="ООО «СмартИнвест»"/>
    <x v="0"/>
    <x v="6"/>
    <x v="2"/>
    <n v="500000"/>
    <n v="700000"/>
    <e v="#VALUE!"/>
  </r>
  <r>
    <n v="160"/>
    <d v="2025-10-27T00:00:00"/>
    <s v="Прокопенко Андрей Владимирович"/>
    <x v="1"/>
    <x v="4"/>
    <x v="7"/>
    <n v="3000"/>
    <n v="5000"/>
    <n v="0"/>
  </r>
  <r>
    <n v="161"/>
    <d v="2025-10-27T00:00:00"/>
    <s v="Никитин Денис Геннадиевич"/>
    <x v="1"/>
    <x v="4"/>
    <x v="7"/>
    <n v="3000"/>
    <n v="5000"/>
    <n v="0"/>
  </r>
  <r>
    <n v="162"/>
    <d v="2025-10-27T00:00:00"/>
    <s v="Акционерное общество_x000d__x000a_«Контрада Капитал»"/>
    <x v="0"/>
    <x v="2"/>
    <x v="9"/>
    <n v="300000"/>
    <n v="500000"/>
    <n v="-0.5"/>
  </r>
  <r>
    <n v="163"/>
    <d v="2025-10-27T00:00:00"/>
    <s v="Трефилов Дмитрий Владимирович"/>
    <x v="1"/>
    <x v="4"/>
    <x v="7"/>
    <n v="3000"/>
    <n v="5000"/>
    <n v="0"/>
  </r>
  <r>
    <n v="164"/>
    <d v="2025-10-27T00:00:00"/>
    <s v="Дрокова Нина Михайловна"/>
    <x v="1"/>
    <x v="4"/>
    <x v="7"/>
    <n v="3000"/>
    <n v="5000"/>
    <n v="0"/>
  </r>
  <r>
    <n v="165"/>
    <d v="2025-10-24T00:00:00"/>
    <s v="Прокопенко Татьяна Александровна"/>
    <x v="1"/>
    <x v="4"/>
    <x v="7"/>
    <n v="3000"/>
    <n v="5000"/>
    <n v="0"/>
  </r>
  <r>
    <n v="166"/>
    <d v="2025-10-24T00:00:00"/>
    <s v="Воробьев Кирилл Александрович"/>
    <x v="1"/>
    <x v="4"/>
    <x v="7"/>
    <n v="3000"/>
    <n v="5000"/>
    <n v="0"/>
  </r>
  <r>
    <n v="167"/>
    <d v="2025-10-24T00:00:00"/>
    <s v="Колмаков Алексей Анатольевич"/>
    <x v="1"/>
    <x v="4"/>
    <x v="7"/>
    <n v="3000"/>
    <n v="5000"/>
    <n v="0"/>
  </r>
  <r>
    <n v="168"/>
    <d v="2025-10-21T00:00:00"/>
    <s v="Данилов Сергей Вениаминович"/>
    <x v="1"/>
    <x v="4"/>
    <x v="7"/>
    <n v="3000"/>
    <n v="5000"/>
    <n v="0"/>
  </r>
  <r>
    <n v="169"/>
    <d v="2025-10-21T00:00:00"/>
    <s v="Данилова Татьяна Владимировна"/>
    <x v="1"/>
    <x v="4"/>
    <x v="7"/>
    <n v="3000"/>
    <n v="5000"/>
    <n v="0"/>
  </r>
  <r>
    <n v="170"/>
    <d v="2025-10-21T00:00:00"/>
    <s v="Акционерное общество &quot;Объединенное Кредитное Бюро&quot;"/>
    <x v="0"/>
    <x v="12"/>
    <x v="15"/>
    <n v="10000"/>
    <n v="20000"/>
    <n v="1"/>
  </r>
  <r>
    <n v="170"/>
    <d v="2025-10-21T00:00:00"/>
    <s v="Акционерное общество &quot;Объединенное Кредитное Бюро&quot;"/>
    <x v="0"/>
    <x v="12"/>
    <x v="15"/>
    <n v="10000"/>
    <n v="20000"/>
    <n v="1"/>
  </r>
  <r>
    <n v="171"/>
    <d v="2025-10-20T00:00:00"/>
    <s v="Стародубцев Олег Александрович"/>
    <x v="1"/>
    <x v="4"/>
    <x v="7"/>
    <n v="3000"/>
    <n v="5000"/>
    <n v="0"/>
  </r>
  <r>
    <n v="172"/>
    <d v="2025-10-17T00:00:00"/>
    <s v="АО «Райффайзенбанк»"/>
    <x v="0"/>
    <x v="2"/>
    <x v="6"/>
    <n v="300000"/>
    <n v="500000"/>
    <n v="0"/>
  </r>
  <r>
    <n v="173"/>
    <d v="2025-10-17T00:00:00"/>
    <s v="Общество с ограниченной ответственностью «СПЭК ИНВЕСТМЕНТ»"/>
    <x v="0"/>
    <x v="8"/>
    <x v="2"/>
    <n v="500000"/>
    <n v="700000"/>
    <e v="#VALUE!"/>
  </r>
  <r>
    <n v="173"/>
    <d v="2025-10-17T00:00:00"/>
    <s v="Общество с ограниченной ответственностью «СПЭК ИНВЕСТМЕНТ»"/>
    <x v="0"/>
    <x v="8"/>
    <x v="2"/>
    <n v="500000"/>
    <n v="700000"/>
    <e v="#VALUE!"/>
  </r>
  <r>
    <n v="174"/>
    <d v="2025-10-17T00:00:00"/>
    <s v="Переверзев Игорь Леонидович"/>
    <x v="1"/>
    <x v="4"/>
    <x v="7"/>
    <n v="3000"/>
    <n v="5000"/>
    <n v="0"/>
  </r>
  <r>
    <n v="175"/>
    <d v="2025-10-17T00:00:00"/>
    <s v="Короленко Евгений Александрович"/>
    <x v="1"/>
    <x v="4"/>
    <x v="7"/>
    <n v="3000"/>
    <n v="5000"/>
    <n v="0"/>
  </r>
  <r>
    <n v="176"/>
    <d v="2025-10-17T00:00:00"/>
    <s v="Гараева Лейла Валерьевна"/>
    <x v="1"/>
    <x v="4"/>
    <x v="7"/>
    <n v="3000"/>
    <n v="5000"/>
    <n v="0"/>
  </r>
  <r>
    <n v="177"/>
    <d v="2025-10-16T00:00:00"/>
    <s v="Переверзева Марина Анатольевна"/>
    <x v="1"/>
    <x v="4"/>
    <x v="7"/>
    <n v="3000"/>
    <n v="5000"/>
    <n v="0"/>
  </r>
  <r>
    <n v="178"/>
    <d v="2025-10-14T00:00:00"/>
    <s v="ООО УК «Движение капитала»"/>
    <x v="0"/>
    <x v="2"/>
    <x v="2"/>
    <n v="300000"/>
    <n v="500000"/>
    <e v="#VALUE!"/>
  </r>
  <r>
    <n v="179"/>
    <d v="2025-10-10T00:00:00"/>
    <s v="Шушкина Светлана  Алексеевна"/>
    <x v="1"/>
    <x v="4"/>
    <x v="7"/>
    <n v="3000"/>
    <n v="5000"/>
    <n v="0"/>
  </r>
  <r>
    <n v="180"/>
    <d v="2025-10-10T00:00:00"/>
    <s v="Черепухина Виктория Борисовна"/>
    <x v="1"/>
    <x v="4"/>
    <x v="7"/>
    <n v="3000"/>
    <n v="5000"/>
    <n v="0"/>
  </r>
  <r>
    <n v="181"/>
    <d v="2025-10-10T00:00:00"/>
    <s v="Черепухин Константин Валерьевич"/>
    <x v="1"/>
    <x v="4"/>
    <x v="7"/>
    <n v="3000"/>
    <n v="5000"/>
    <n v="0"/>
  </r>
  <r>
    <n v="182"/>
    <d v="2025-10-10T00:00:00"/>
    <s v="Акционерное общество &quot;Объединенное Кредитное Бюро&quot;"/>
    <x v="0"/>
    <x v="12"/>
    <x v="15"/>
    <n v="10000"/>
    <n v="20000"/>
    <n v="1"/>
  </r>
  <r>
    <n v="183"/>
    <d v="2025-10-09T00:00:00"/>
    <s v="Ковтун Илья Николаевич"/>
    <x v="1"/>
    <x v="4"/>
    <x v="7"/>
    <n v="3000"/>
    <n v="5000"/>
    <n v="0"/>
  </r>
  <r>
    <n v="184"/>
    <d v="2025-10-08T00:00:00"/>
    <s v="Ковтун Лариса Николаевна"/>
    <x v="1"/>
    <x v="4"/>
    <x v="7"/>
    <n v="3000"/>
    <n v="5000"/>
    <n v="0"/>
  </r>
  <r>
    <n v="185"/>
    <d v="2025-10-07T00:00:00"/>
    <s v="Цуканов Игорь Юрьевич"/>
    <x v="1"/>
    <x v="4"/>
    <x v="7"/>
    <n v="3000"/>
    <n v="5000"/>
    <n v="0"/>
  </r>
  <r>
    <n v="186"/>
    <d v="2025-10-07T00:00:00"/>
    <s v="Цуканова Галина Николаевна"/>
    <x v="1"/>
    <x v="4"/>
    <x v="7"/>
    <n v="3000"/>
    <n v="5000"/>
    <n v="0"/>
  </r>
  <r>
    <n v="187"/>
    <d v="2025-10-07T00:00:00"/>
    <s v="Шушкин Денис Вячеславовоич"/>
    <x v="1"/>
    <x v="4"/>
    <x v="7"/>
    <n v="3000"/>
    <n v="5000"/>
    <n v="0"/>
  </r>
  <r>
    <n v="188"/>
    <d v="2025-10-03T00:00:00"/>
    <s v="Цирков Игорь Сергеевич"/>
    <x v="1"/>
    <x v="4"/>
    <x v="7"/>
    <n v="3000"/>
    <n v="5000"/>
    <n v="0"/>
  </r>
  <r>
    <n v="189"/>
    <d v="2025-10-03T00:00:00"/>
    <s v="Бушина Ольга Валерьевна"/>
    <x v="1"/>
    <x v="4"/>
    <x v="7"/>
    <n v="3000"/>
    <n v="5000"/>
    <n v="0"/>
  </r>
  <r>
    <n v="190"/>
    <d v="2025-10-03T00:00:00"/>
    <s v="Бушина Любовь Александровна"/>
    <x v="1"/>
    <x v="4"/>
    <x v="7"/>
    <n v="3000"/>
    <n v="5000"/>
    <n v="0"/>
  </r>
  <r>
    <n v="191"/>
    <d v="2025-10-03T00:00:00"/>
    <s v="Бушин Андриан Валерьевич"/>
    <x v="1"/>
    <x v="4"/>
    <x v="7"/>
    <n v="3000"/>
    <n v="5000"/>
    <n v="0"/>
  </r>
  <r>
    <n v="192"/>
    <d v="2025-09-30T00:00:00"/>
    <s v="Литвинова Ольга Борисовна"/>
    <x v="1"/>
    <x v="4"/>
    <x v="7"/>
    <n v="3000"/>
    <n v="5000"/>
    <n v="0"/>
  </r>
  <r>
    <n v="193"/>
    <d v="2025-09-30T00:00:00"/>
    <s v="Акционерное общество_x000d__x000a_Инвестиционно-финансовая_x000d__x000a_компания «Солид»"/>
    <x v="0"/>
    <x v="7"/>
    <x v="0"/>
    <n v="700000"/>
    <n v="1000000"/>
    <n v="0"/>
  </r>
  <r>
    <n v="194"/>
    <d v="2025-09-30T00:00:00"/>
    <s v="Общество с ограниченной ответственностью «Национальное Рейтинговое Агентство»"/>
    <x v="0"/>
    <x v="5"/>
    <x v="5"/>
    <n v="500000"/>
    <n v="700000"/>
    <n v="-0.5"/>
  </r>
  <r>
    <n v="195"/>
    <d v="2025-09-30T00:00:00"/>
    <s v="Литвинов Андрей Александрович"/>
    <x v="1"/>
    <x v="4"/>
    <x v="7"/>
    <n v="3000"/>
    <n v="5000"/>
    <n v="0"/>
  </r>
  <r>
    <n v="197"/>
    <d v="2025-09-26T00:00:00"/>
    <s v="АО «РЕМАНИ»"/>
    <x v="0"/>
    <x v="6"/>
    <x v="5"/>
    <n v="500000"/>
    <n v="700000"/>
    <n v="-0.5"/>
  </r>
  <r>
    <n v="198"/>
    <d v="2025-09-26T00:00:00"/>
    <s v="Акционерное общество «Москва Сити Секьюритиз»"/>
    <x v="0"/>
    <x v="13"/>
    <x v="6"/>
    <n v="300000"/>
    <n v="700000"/>
    <n v="0"/>
  </r>
  <r>
    <n v="198"/>
    <d v="2025-09-26T00:00:00"/>
    <s v="Акционерное общество «Москва Сити Секьюритиз»"/>
    <x v="0"/>
    <x v="14"/>
    <x v="2"/>
    <n v="300000"/>
    <n v="500000"/>
    <e v="#VALUE!"/>
  </r>
  <r>
    <n v="199"/>
    <d v="2025-09-26T00:00:00"/>
    <s v="Циркова Любовь Ивановна"/>
    <x v="1"/>
    <x v="4"/>
    <x v="7"/>
    <n v="3000"/>
    <n v="5000"/>
    <n v="0"/>
  </r>
  <r>
    <n v="200"/>
    <d v="2025-09-26T00:00:00"/>
    <s v="ООО «Каркаул.ру»"/>
    <x v="0"/>
    <x v="6"/>
    <x v="4"/>
    <n v="500000"/>
    <n v="700000"/>
    <n v="-0.3"/>
  </r>
  <r>
    <n v="201"/>
    <d v="2025-09-23T00:00:00"/>
    <s v="АО «Объединенное Кредитное Бюро»"/>
    <x v="0"/>
    <x v="12"/>
    <x v="15"/>
    <n v="10000"/>
    <n v="20000"/>
    <n v="1"/>
  </r>
  <r>
    <n v="202"/>
    <d v="2025-09-23T00:00:00"/>
    <s v="Акционерное общество_x000d__x000a_«Москва Сити Секьюритиз»"/>
    <x v="0"/>
    <x v="0"/>
    <x v="0"/>
    <n v="700000"/>
    <n v="1000000"/>
    <n v="0"/>
  </r>
  <r>
    <n v="202"/>
    <d v="2025-09-23T00:00:00"/>
    <s v="Акционерное общество_x000d__x000a_«Москва Сити Секьюритиз»"/>
    <x v="0"/>
    <x v="8"/>
    <x v="10"/>
    <n v="500000"/>
    <n v="700000"/>
    <n v="0"/>
  </r>
  <r>
    <n v="203"/>
    <d v="2025-09-23T00:00:00"/>
    <s v="Акционерное общество «БКС Управление Благосостоянием»"/>
    <x v="0"/>
    <x v="2"/>
    <x v="9"/>
    <n v="300000"/>
    <n v="500000"/>
    <n v="-0.5"/>
  </r>
  <r>
    <n v="204"/>
    <d v="2025-09-22T00:00:00"/>
    <s v="Публичное акционерное общество «Московская Биржа ММВБ-РТС»"/>
    <x v="0"/>
    <x v="15"/>
    <x v="2"/>
    <n v="300000"/>
    <n v="500000"/>
    <e v="#VALUE!"/>
  </r>
  <r>
    <n v="206"/>
    <d v="2025-09-19T00:00:00"/>
    <s v="АО «Специализированный депозитарий «ИНФИНИТУМ»"/>
    <x v="0"/>
    <x v="2"/>
    <x v="6"/>
    <n v="300000"/>
    <n v="500000"/>
    <n v="0"/>
  </r>
  <r>
    <n v="207"/>
    <d v="2025-09-16T00:00:00"/>
    <s v="Общество с ограниченной ответственностью Управляющая компания «Эра Инвестиций»"/>
    <x v="0"/>
    <x v="2"/>
    <x v="2"/>
    <n v="300000"/>
    <n v="500000"/>
    <e v="#VALUE!"/>
  </r>
  <r>
    <n v="208"/>
    <d v="2025-09-16T00:00:00"/>
    <s v="Общество с ограниченной ответственностью «РСХБ Управление Активами»"/>
    <x v="0"/>
    <x v="2"/>
    <x v="6"/>
    <n v="300000"/>
    <n v="500000"/>
    <n v="0"/>
  </r>
  <r>
    <n v="209"/>
    <d v="2025-09-12T00:00:00"/>
    <s v="Гребенникова Татьяна Витальевна"/>
    <x v="1"/>
    <x v="4"/>
    <x v="7"/>
    <n v="3000"/>
    <n v="5000"/>
    <n v="0"/>
  </r>
  <r>
    <n v="210"/>
    <d v="2025-09-12T00:00:00"/>
    <s v="Гуревич Вадим Александрович"/>
    <x v="1"/>
    <x v="4"/>
    <x v="7"/>
    <n v="3000"/>
    <n v="5000"/>
    <n v="0"/>
  </r>
  <r>
    <n v="211"/>
    <d v="2025-09-12T00:00:00"/>
    <s v="Гуревич Иветта Абрамовна"/>
    <x v="1"/>
    <x v="4"/>
    <x v="7"/>
    <n v="3000"/>
    <n v="5000"/>
    <n v="0"/>
  </r>
  <r>
    <n v="212"/>
    <d v="2025-09-09T00:00:00"/>
    <s v="АО «Объединенное Кредитное Бюро»"/>
    <x v="0"/>
    <x v="12"/>
    <x v="15"/>
    <n v="10000"/>
    <n v="20000"/>
    <n v="1"/>
  </r>
  <r>
    <n v="215"/>
    <d v="2025-09-02T00:00:00"/>
    <s v="Акционерное общество «Инвестиционная компания «Ай Ти Инвест»"/>
    <x v="0"/>
    <x v="8"/>
    <x v="10"/>
    <n v="500000"/>
    <n v="700000"/>
    <n v="0"/>
  </r>
  <r>
    <n v="216"/>
    <d v="2025-09-02T00:00:00"/>
    <s v="Общество с ограниченной ответственностью Управляющая компания «Надежное управление»"/>
    <x v="0"/>
    <x v="2"/>
    <x v="9"/>
    <n v="300000"/>
    <n v="500000"/>
    <n v="-0.5"/>
  </r>
  <r>
    <n v="217"/>
    <d v="2025-09-02T00:00:00"/>
    <s v="ООО «ИНВЕСТИРУЙ В»"/>
    <x v="0"/>
    <x v="5"/>
    <x v="4"/>
    <n v="500000"/>
    <n v="700000"/>
    <n v="-0.3"/>
  </r>
  <r>
    <n v="218"/>
    <d v="2025-08-29T00:00:00"/>
    <s v="АО «Объединенное Кредитное Бюро»"/>
    <x v="0"/>
    <x v="12"/>
    <x v="15"/>
    <n v="10000"/>
    <n v="20000"/>
    <n v="1"/>
  </r>
  <r>
    <n v="219"/>
    <d v="2025-08-29T00:00:00"/>
    <s v="Гребенников Александр Александрович"/>
    <x v="1"/>
    <x v="4"/>
    <x v="17"/>
    <n v="3000"/>
    <n v="5000"/>
    <n v="1"/>
  </r>
  <r>
    <n v="220"/>
    <d v="2025-08-26T00:00:00"/>
    <s v="Акционерное общество_x000d__x000a_«Инвестиционная компания_x000d__x000a_«РИКОМ-ТРАСТ»"/>
    <x v="0"/>
    <x v="0"/>
    <x v="0"/>
    <n v="700000"/>
    <n v="1000000"/>
    <n v="0"/>
  </r>
  <r>
    <n v="221"/>
    <d v="2025-08-25T00:00:00"/>
    <s v="Общество с ограниченной ответственностью «Т-Инвест Лаб»"/>
    <x v="0"/>
    <x v="8"/>
    <x v="10"/>
    <n v="500000"/>
    <n v="700000"/>
    <n v="0"/>
  </r>
  <r>
    <n v="222"/>
    <d v="2025-08-25T00:00:00"/>
    <s v="Общество с ограниченной ответственностью «Управляющая компания «Атон-менеджмент»"/>
    <x v="0"/>
    <x v="2"/>
    <x v="4"/>
    <n v="300000"/>
    <n v="500000"/>
    <n v="0.16666666666666666"/>
  </r>
  <r>
    <n v="223"/>
    <d v="2025-08-22T00:00:00"/>
    <s v="Акционерное общество «Межрегиональный негосударственный пенсионный фонд «АКВИЛОН»"/>
    <x v="0"/>
    <x v="2"/>
    <x v="2"/>
    <n v="300000"/>
    <n v="500000"/>
    <e v="#VALUE!"/>
  </r>
  <r>
    <n v="224"/>
    <d v="2025-08-19T00:00:00"/>
    <s v="Баринов Илья Игоревич"/>
    <x v="1"/>
    <x v="4"/>
    <x v="7"/>
    <n v="3000"/>
    <n v="5000"/>
    <n v="0"/>
  </r>
  <r>
    <n v="225"/>
    <d v="2025-08-19T00:00:00"/>
    <s v="Акционерное общество «ВИМ Инвестиции»"/>
    <x v="0"/>
    <x v="2"/>
    <x v="6"/>
    <n v="300000"/>
    <n v="500000"/>
    <n v="0"/>
  </r>
  <r>
    <n v="226"/>
    <d v="2025-08-19T00:00:00"/>
    <s v="Общество с ограниченной ответственностью «Управляющая компания «Терра Эссет Менеджмент»"/>
    <x v="0"/>
    <x v="7"/>
    <x v="4"/>
    <n v="700000"/>
    <n v="1000000"/>
    <n v="-0.5"/>
  </r>
  <r>
    <n v="227"/>
    <d v="2025-08-19T00:00:00"/>
    <s v="Общество с ограниченной_x000d__x000a_ответственностью_x000d__x000a_«Цифра Брокер»"/>
    <x v="0"/>
    <x v="8"/>
    <x v="2"/>
    <n v="500000"/>
    <n v="700000"/>
    <e v="#VALUE!"/>
  </r>
  <r>
    <n v="228"/>
    <d v="2025-08-18T00:00:00"/>
    <s v="Акционерное общество «ИВА Партнерс»"/>
    <x v="0"/>
    <x v="7"/>
    <x v="0"/>
    <n v="700000"/>
    <n v="1000000"/>
    <n v="0"/>
  </r>
  <r>
    <n v="229"/>
    <d v="2025-08-18T00:00:00"/>
    <s v="Акционерное общество_x000d__x000a_«ТуОушен Капитал»"/>
    <x v="0"/>
    <x v="7"/>
    <x v="2"/>
    <n v="700000"/>
    <n v="1000000"/>
    <e v="#VALUE!"/>
  </r>
  <r>
    <n v="230"/>
    <d v="2025-08-15T00:00:00"/>
    <s v="ООО «Селект мани»"/>
    <x v="0"/>
    <x v="6"/>
    <x v="5"/>
    <n v="500000"/>
    <n v="700000"/>
    <n v="-0.5"/>
  </r>
  <r>
    <n v="231"/>
    <d v="2025-08-15T00:00:00"/>
    <s v="ООО «Феир Финанс»"/>
    <x v="0"/>
    <x v="5"/>
    <x v="5"/>
    <n v="500000"/>
    <n v="700000"/>
    <n v="-0.5"/>
  </r>
  <r>
    <n v="232"/>
    <d v="2025-08-12T00:00:00"/>
    <s v="ЗАО «ПРСД»"/>
    <x v="0"/>
    <x v="2"/>
    <x v="6"/>
    <n v="300000"/>
    <n v="500000"/>
    <n v="0"/>
  </r>
  <r>
    <n v="233"/>
    <d v="2025-08-12T00:00:00"/>
    <s v="Папкин Михаил Владимирович"/>
    <x v="1"/>
    <x v="16"/>
    <x v="8"/>
    <n v="3000"/>
    <n v="5000"/>
    <n v="9"/>
  </r>
  <r>
    <n v="234"/>
    <d v="2025-08-12T00:00:00"/>
    <s v="Шигапов Радик Мулланурович"/>
    <x v="1"/>
    <x v="4"/>
    <x v="7"/>
    <n v="3000"/>
    <n v="5000"/>
    <n v="0"/>
  </r>
  <r>
    <n v="235"/>
    <d v="2025-08-12T00:00:00"/>
    <s v="Общество с ограниченной_x000d__x000a_ответственностью_x000d__x000a_«Управляющая компания_x000d__x000a_«Формула инвестиций»"/>
    <x v="0"/>
    <x v="2"/>
    <x v="9"/>
    <n v="300000"/>
    <n v="500000"/>
    <n v="-0.5"/>
  </r>
  <r>
    <n v="236"/>
    <d v="2025-08-12T00:00:00"/>
    <s v="Акционерное общество_x000d__x000a_«Инвестиционная компания_x000d__x000a_«РИКОМ-ТРАСТ»"/>
    <x v="0"/>
    <x v="7"/>
    <x v="0"/>
    <n v="700000"/>
    <n v="1000000"/>
    <n v="0"/>
  </r>
  <r>
    <n v="237"/>
    <d v="2025-08-12T00:00:00"/>
    <s v="Акционерное общество «Москва Сити Секьюритиз»"/>
    <x v="0"/>
    <x v="8"/>
    <x v="2"/>
    <n v="500000"/>
    <n v="700000"/>
    <e v="#VALUE!"/>
  </r>
  <r>
    <n v="238"/>
    <d v="2025-08-08T00:00:00"/>
    <s v="Дрожжин Антон Михайлович"/>
    <x v="1"/>
    <x v="4"/>
    <x v="7"/>
    <n v="3000"/>
    <n v="5000"/>
    <n v="0"/>
  </r>
  <r>
    <n v="239"/>
    <d v="2025-08-08T00:00:00"/>
    <s v="Фролова Ксения Владимировна"/>
    <x v="1"/>
    <x v="4"/>
    <x v="7"/>
    <n v="3000"/>
    <n v="5000"/>
    <n v="0"/>
  </r>
  <r>
    <n v="240"/>
    <d v="2025-08-08T00:00:00"/>
    <s v="Акционерное общество «ЮниКредит Банк»"/>
    <x v="0"/>
    <x v="7"/>
    <x v="2"/>
    <n v="700000"/>
    <n v="1000000"/>
    <e v="#VALUE!"/>
  </r>
  <r>
    <n v="241"/>
    <d v="2025-08-08T00:00:00"/>
    <s v="Акционерное общество «РТ-Инвест»"/>
    <x v="0"/>
    <x v="2"/>
    <x v="2"/>
    <n v="300000"/>
    <n v="500000"/>
    <e v="#VALUE!"/>
  </r>
  <r>
    <n v="242"/>
    <d v="2025-08-05T00:00:00"/>
    <s v="Фролов Михаил Сергеевич"/>
    <x v="1"/>
    <x v="4"/>
    <x v="7"/>
    <n v="3000"/>
    <n v="5000"/>
    <n v="0"/>
  </r>
  <r>
    <n v="243"/>
    <d v="2025-08-05T00:00:00"/>
    <s v="Открытое акционерное общество «РОНИН Траст»"/>
    <x v="0"/>
    <x v="2"/>
    <x v="2"/>
    <n v="300000"/>
    <n v="500000"/>
    <e v="#VALUE!"/>
  </r>
  <r>
    <n v="244"/>
    <d v="2025-08-05T00:00:00"/>
    <s v="Акционерное общество «Управляющая компания «Первая»"/>
    <x v="0"/>
    <x v="1"/>
    <x v="0"/>
    <n v="700000"/>
    <n v="1000000"/>
    <n v="0"/>
  </r>
  <r>
    <n v="244"/>
    <d v="2025-08-05T00:00:00"/>
    <s v="Акционерное общество «Управляющая компания «Первая»"/>
    <x v="0"/>
    <x v="2"/>
    <x v="6"/>
    <n v="300000"/>
    <n v="500000"/>
    <n v="0"/>
  </r>
  <r>
    <n v="245"/>
    <d v="2025-08-05T00:00:00"/>
    <s v="Акционерное общество УК «Доверительная»"/>
    <x v="0"/>
    <x v="8"/>
    <x v="2"/>
    <n v="500000"/>
    <n v="700000"/>
    <e v="#VALUE!"/>
  </r>
  <r>
    <n v="246"/>
    <d v="2025-08-05T00:00:00"/>
    <s v="ООО «ИНВЕСТИРУЙ В»"/>
    <x v="0"/>
    <x v="5"/>
    <x v="4"/>
    <n v="500000"/>
    <n v="700000"/>
    <n v="-0.3"/>
  </r>
  <r>
    <n v="247"/>
    <d v="2025-08-04T00:00:00"/>
    <s v="Кушнир Андрей Николаевич"/>
    <x v="1"/>
    <x v="4"/>
    <x v="7"/>
    <n v="3000"/>
    <n v="5000"/>
    <n v="0"/>
  </r>
  <r>
    <n v="248"/>
    <d v="2025-07-29T00:00:00"/>
    <s v="Хрусталев Иван Дмитриевич"/>
    <x v="1"/>
    <x v="4"/>
    <x v="7"/>
    <n v="3000"/>
    <n v="5000"/>
    <n v="0"/>
  </r>
  <r>
    <n v="249"/>
    <d v="2025-07-29T00:00:00"/>
    <s v="Хрусталева Альбина Дмитриевна"/>
    <x v="1"/>
    <x v="4"/>
    <x v="7"/>
    <n v="3000"/>
    <n v="5000"/>
    <n v="0"/>
  </r>
  <r>
    <n v="250"/>
    <d v="2025-07-29T00:00:00"/>
    <s v="АО &quot;Объединенное Кредитное Бюро&quot;"/>
    <x v="0"/>
    <x v="17"/>
    <x v="14"/>
    <n v="20000"/>
    <n v="50000"/>
    <n v="1"/>
  </r>
  <r>
    <n v="251"/>
    <d v="2025-07-28T00:00:00"/>
    <s v="Общество с ограниченной_x000d__x000a_ответственностью_x000d__x000a_«Управляющая компания_x000d__x000a_«Альфа-Капитал»"/>
    <x v="0"/>
    <x v="2"/>
    <x v="4"/>
    <n v="300000"/>
    <n v="500000"/>
    <n v="0.16666666666666666"/>
  </r>
  <r>
    <n v="252"/>
    <d v="2025-07-22T00:00:00"/>
    <s v="АО «Национальное бюро кредитных историй»"/>
    <x v="0"/>
    <x v="10"/>
    <x v="12"/>
    <n v="10000"/>
    <n v="20000"/>
    <n v="0"/>
  </r>
  <r>
    <n v="253"/>
    <d v="2025-07-22T00:00:00"/>
    <s v="Пашнин Михаил Анатольевич"/>
    <x v="1"/>
    <x v="4"/>
    <x v="7"/>
    <n v="3000"/>
    <n v="5000"/>
    <n v="0"/>
  </r>
  <r>
    <n v="254"/>
    <d v="2025-07-22T00:00:00"/>
    <s v="ООО «СмартИнвест»"/>
    <x v="0"/>
    <x v="5"/>
    <x v="5"/>
    <n v="500000"/>
    <n v="700000"/>
    <n v="-0.5"/>
  </r>
  <r>
    <n v="255"/>
    <d v="2025-07-22T00:00:00"/>
    <s v="Общество с ограниченной ответственностью «РСХБ Управление Активами»"/>
    <x v="0"/>
    <x v="7"/>
    <x v="0"/>
    <n v="700000"/>
    <n v="1000000"/>
    <n v="0"/>
  </r>
  <r>
    <n v="256"/>
    <d v="2025-07-22T00:00:00"/>
    <s v="Общество с ограниченной ответственностью «АКЦЕНТ УПРАВЛЕНИЕ АКТИВАМИ»"/>
    <x v="0"/>
    <x v="2"/>
    <x v="2"/>
    <n v="300000"/>
    <n v="500000"/>
    <e v="#VALUE!"/>
  </r>
  <r>
    <n v="257"/>
    <d v="2025-07-18T00:00:00"/>
    <s v="Маленко Артем Анатольевич"/>
    <x v="1"/>
    <x v="4"/>
    <x v="8"/>
    <n v="3000"/>
    <n v="5000"/>
    <n v="9"/>
  </r>
  <r>
    <n v="258"/>
    <d v="2025-07-18T00:00:00"/>
    <s v="Калинин Владимир Анатольевич"/>
    <x v="1"/>
    <x v="4"/>
    <x v="7"/>
    <n v="3000"/>
    <n v="5000"/>
    <n v="0"/>
  </r>
  <r>
    <n v="259"/>
    <d v="2025-07-18T00:00:00"/>
    <s v="Шигапова Кадрия Хисамовна"/>
    <x v="1"/>
    <x v="4"/>
    <x v="7"/>
    <n v="3000"/>
    <n v="5000"/>
    <n v="0"/>
  </r>
  <r>
    <n v="260"/>
    <d v="2025-07-18T00:00:00"/>
    <s v="ООО «ИНВЕСТИРУЙ В»"/>
    <x v="0"/>
    <x v="5"/>
    <x v="5"/>
    <n v="500000"/>
    <n v="700000"/>
    <n v="-0.5"/>
  </r>
  <r>
    <n v="261"/>
    <d v="2025-07-18T00:00:00"/>
    <s v="ООО «ПФЛ Новые Инвестиции»"/>
    <x v="0"/>
    <x v="6"/>
    <x v="4"/>
    <n v="500000"/>
    <n v="700000"/>
    <n v="-0.3"/>
  </r>
  <r>
    <n v="262"/>
    <d v="2025-07-15T00:00:00"/>
    <s v="Акционерное общество_x000d__x000a_«Негосударственный_x000d__x000a_пенсионный фонд «ВЭФ.Жизнь»"/>
    <x v="0"/>
    <x v="18"/>
    <x v="2"/>
    <n v="500000"/>
    <n v="700000"/>
    <e v="#VALUE!"/>
  </r>
  <r>
    <n v="263"/>
    <d v="2025-07-15T00:00:00"/>
    <s v="ООО «Капитализация»"/>
    <x v="0"/>
    <x v="6"/>
    <x v="5"/>
    <n v="500000"/>
    <n v="700000"/>
    <n v="-0.5"/>
  </r>
  <r>
    <n v="265"/>
    <d v="2025-07-11T00:00:00"/>
    <s v="Общество с ограниченной_x000d__x000a_ответственностью_x000d__x000a_«Управляющая компания_x000d__x000a_«Финанс Трейд Эссет_x000d__x000a_Менеджмент»"/>
    <x v="0"/>
    <x v="2"/>
    <x v="2"/>
    <n v="300000"/>
    <n v="500000"/>
    <e v="#VALUE!"/>
  </r>
  <r>
    <n v="267"/>
    <d v="2025-07-08T00:00:00"/>
    <s v="Тимофеева Дарья Сергеевна"/>
    <x v="1"/>
    <x v="4"/>
    <x v="7"/>
    <n v="3000"/>
    <n v="5000"/>
    <n v="0"/>
  </r>
  <r>
    <n v="268"/>
    <d v="2025-07-08T00:00:00"/>
    <s v="Борисова Анна Владимировна"/>
    <x v="1"/>
    <x v="4"/>
    <x v="7"/>
    <n v="3000"/>
    <n v="5000"/>
    <n v="0"/>
  </r>
  <r>
    <n v="269"/>
    <d v="2025-07-08T00:00:00"/>
    <s v="Тимофеев Александр Николаевич"/>
    <x v="1"/>
    <x v="4"/>
    <x v="7"/>
    <n v="3000"/>
    <n v="5000"/>
    <n v="0"/>
  </r>
  <r>
    <n v="270"/>
    <d v="2025-07-08T00:00:00"/>
    <s v="Железнов Андрей Юрьевич"/>
    <x v="1"/>
    <x v="4"/>
    <x v="7"/>
    <n v="3000"/>
    <n v="5000"/>
    <n v="0"/>
  </r>
  <r>
    <n v="271"/>
    <d v="2025-07-08T00:00:00"/>
    <s v="Просова Елена Игоревна"/>
    <x v="1"/>
    <x v="4"/>
    <x v="7"/>
    <n v="3000"/>
    <n v="5000"/>
    <n v="0"/>
  </r>
  <r>
    <n v="272"/>
    <d v="2025-07-08T00:00:00"/>
    <s v="Варанкина Евгения Владимировна"/>
    <x v="1"/>
    <x v="4"/>
    <x v="7"/>
    <n v="3000"/>
    <n v="5000"/>
    <n v="0"/>
  </r>
  <r>
    <n v="273"/>
    <d v="2025-07-08T00:00:00"/>
    <s v="ООО «ДжетЛенд»"/>
    <x v="0"/>
    <x v="6"/>
    <x v="5"/>
    <n v="500000"/>
    <n v="700000"/>
    <n v="-0.5"/>
  </r>
  <r>
    <n v="274"/>
    <d v="2025-07-08T00:00:00"/>
    <s v="Общество с ограниченной ответственностью «РСХБ Управление Активами»"/>
    <x v="0"/>
    <x v="1"/>
    <x v="0"/>
    <n v="700000"/>
    <n v="1000000"/>
    <n v="0"/>
  </r>
  <r>
    <n v="278"/>
    <d v="2025-07-04T00:00:00"/>
    <s v="Федоров Александр Вячеславович"/>
    <x v="1"/>
    <x v="4"/>
    <x v="7"/>
    <n v="3000"/>
    <n v="5000"/>
    <n v="0"/>
  </r>
  <r>
    <n v="279"/>
    <d v="2025-07-01T00:00:00"/>
    <s v="Общество с ограниченной ответственностью «Спектрум кредитное бюро»"/>
    <x v="0"/>
    <x v="17"/>
    <x v="2"/>
    <n v="20000"/>
    <n v="50000"/>
    <e v="#VALUE!"/>
  </r>
  <r>
    <n v="280"/>
    <d v="2025-07-01T00:00:00"/>
    <s v="Акционерное общество «Объединенное Кредитное Бюро»"/>
    <x v="0"/>
    <x v="6"/>
    <x v="0"/>
    <n v="500000"/>
    <n v="700000"/>
    <n v="1"/>
  </r>
  <r>
    <n v="283"/>
    <d v="2025-07-01T00:00:00"/>
    <s v="Байдаков Александр Владимирович"/>
    <x v="1"/>
    <x v="4"/>
    <x v="8"/>
    <n v="3000"/>
    <n v="5000"/>
    <n v="9"/>
  </r>
  <r>
    <n v="285"/>
    <d v="2025-06-30T00:00:00"/>
    <s v="ООО «КАПИТАЛИЗАЦИЯ»"/>
    <x v="0"/>
    <x v="5"/>
    <x v="5"/>
    <n v="500000"/>
    <n v="700000"/>
    <n v="-0.5"/>
  </r>
  <r>
    <n v="286"/>
    <d v="2025-06-30T00:00:00"/>
    <s v="Общество с ограниченной ответственностью «РСХБ Управление Активами»"/>
    <x v="0"/>
    <x v="7"/>
    <x v="0"/>
    <n v="700000"/>
    <n v="1000000"/>
    <n v="0"/>
  </r>
  <r>
    <n v="289"/>
    <d v="2025-06-20T00:00:00"/>
    <s v="Давтян Давид Михайлович"/>
    <x v="1"/>
    <x v="4"/>
    <x v="7"/>
    <n v="3000"/>
    <n v="5000"/>
    <n v="0"/>
  </r>
  <r>
    <n v="290"/>
    <d v="2025-06-18T00:00:00"/>
    <s v="Волик Богдан Викторович"/>
    <x v="1"/>
    <x v="4"/>
    <x v="8"/>
    <n v="3000"/>
    <n v="5000"/>
    <n v="9"/>
  </r>
  <r>
    <n v="291"/>
    <d v="2025-06-17T00:00:00"/>
    <s v="АО «ИК «РИКОМ-ТРАСТ»"/>
    <x v="0"/>
    <x v="6"/>
    <x v="10"/>
    <n v="500000"/>
    <n v="700000"/>
    <n v="0"/>
  </r>
  <r>
    <n v="292"/>
    <d v="2025-06-17T00:00:00"/>
    <s v="ООО «СмартИнвест»"/>
    <x v="0"/>
    <x v="5"/>
    <x v="5"/>
    <n v="500000"/>
    <n v="700000"/>
    <n v="-0.5"/>
  </r>
  <r>
    <n v="293"/>
    <d v="2025-06-17T00:00:00"/>
    <s v="Цатурян Наринэ Егишевна"/>
    <x v="1"/>
    <x v="4"/>
    <x v="7"/>
    <n v="3000"/>
    <n v="5000"/>
    <n v="0"/>
  </r>
  <r>
    <n v="294"/>
    <d v="2025-06-17T00:00:00"/>
    <s v="Журавлева Анастасия Андреевна"/>
    <x v="1"/>
    <x v="4"/>
    <x v="7"/>
    <n v="3000"/>
    <n v="5000"/>
    <n v="0"/>
  </r>
  <r>
    <n v="295"/>
    <d v="2025-06-17T00:00:00"/>
    <s v="Журавлев Дмитрий Михайлович"/>
    <x v="1"/>
    <x v="4"/>
    <x v="7"/>
    <n v="3000"/>
    <n v="5000"/>
    <n v="0"/>
  </r>
  <r>
    <n v="296"/>
    <d v="2025-06-17T00:00:00"/>
    <s v="ООО «Каркаул.ру»"/>
    <x v="0"/>
    <x v="6"/>
    <x v="4"/>
    <n v="500000"/>
    <n v="700000"/>
    <n v="-0.3"/>
  </r>
  <r>
    <n v="297"/>
    <d v="2025-06-17T00:00:00"/>
    <s v="Общество с ограниченной_x000d__x000a_ответственностью_x000d__x000a_«Бенефорт»"/>
    <x v="0"/>
    <x v="8"/>
    <x v="5"/>
    <n v="500000"/>
    <n v="700000"/>
    <n v="-0.5"/>
  </r>
  <r>
    <n v="298"/>
    <d v="2025-06-10T00:00:00"/>
    <s v="Акционерное общество «Национальный негосударственный пенсионный фонд»"/>
    <x v="0"/>
    <x v="0"/>
    <x v="0"/>
    <n v="700000"/>
    <n v="1000000"/>
    <n v="0"/>
  </r>
  <r>
    <n v="299"/>
    <d v="2025-06-10T00:00:00"/>
    <s v="ООО «ЛЭНДЭР-ИНВЕСТ»"/>
    <x v="0"/>
    <x v="6"/>
    <x v="5"/>
    <n v="500000"/>
    <n v="700000"/>
    <n v="-0.5"/>
  </r>
  <r>
    <n v="300"/>
    <d v="2025-06-10T00:00:00"/>
    <s v="Павлова Марина Алексеевна"/>
    <x v="1"/>
    <x v="4"/>
    <x v="7"/>
    <n v="3000"/>
    <n v="5000"/>
    <n v="0"/>
  </r>
  <r>
    <n v="301"/>
    <d v="2025-06-10T00:00:00"/>
    <s v="Павлов Александр Владиславович"/>
    <x v="1"/>
    <x v="4"/>
    <x v="7"/>
    <n v="3000"/>
    <n v="5000"/>
    <n v="0"/>
  </r>
  <r>
    <n v="302"/>
    <d v="2025-06-10T00:00:00"/>
    <s v="Общество с ограниченной_x000d__x000a_ответственностью_x000d__x000a_«Управляющая компания_x000d__x000a_«Финам Менеджмент»"/>
    <x v="0"/>
    <x v="1"/>
    <x v="2"/>
    <n v="700000"/>
    <n v="1000000"/>
    <e v="#VALUE!"/>
  </r>
  <r>
    <n v="303"/>
    <d v="2025-06-09T00:00:00"/>
    <s v="Акционерное общество «Инвестиционная компания «Ай Ти Инвест»"/>
    <x v="0"/>
    <x v="8"/>
    <x v="10"/>
    <n v="500000"/>
    <n v="700000"/>
    <n v="0"/>
  </r>
  <r>
    <n v="304"/>
    <d v="2025-06-09T00:00:00"/>
    <s v="АО «Бюро кредитных историй «Скоринг Бюро»"/>
    <x v="0"/>
    <x v="17"/>
    <x v="2"/>
    <n v="20000"/>
    <n v="50000"/>
    <e v="#VALUE!"/>
  </r>
  <r>
    <n v="305"/>
    <d v="2025-06-09T00:00:00"/>
    <s v="Общество с ограниченной_x000d__x000a_ответственностью_x000d__x000a_«Т-Капитал»"/>
    <x v="0"/>
    <x v="2"/>
    <x v="6"/>
    <n v="300000"/>
    <n v="500000"/>
    <n v="0"/>
  </r>
  <r>
    <n v="306"/>
    <d v="2025-06-06T00:00:00"/>
    <s v="Акционерное общество Инвестиционно-финансовая_x000d__x000a_компания «Солид»"/>
    <x v="0"/>
    <x v="8"/>
    <x v="10"/>
    <n v="500000"/>
    <n v="700000"/>
    <n v="0"/>
  </r>
  <r>
    <n v="307"/>
    <d v="2025-06-03T00:00:00"/>
    <s v="Акционерное общество «Управляющая компания «Первая»"/>
    <x v="0"/>
    <x v="3"/>
    <x v="10"/>
    <n v="500000"/>
    <n v="700000"/>
    <n v="0"/>
  </r>
  <r>
    <n v="307"/>
    <d v="2025-06-03T00:00:00"/>
    <s v="Акционерное общество «Управляющая компания «Первая»"/>
    <x v="0"/>
    <x v="2"/>
    <x v="6"/>
    <n v="300000"/>
    <n v="500000"/>
    <n v="0"/>
  </r>
  <r>
    <n v="309"/>
    <d v="2025-05-27T00:00:00"/>
    <s v="Общество с ограниченной ответственностью Управляющая компания «ГЕРОИ»"/>
    <x v="0"/>
    <x v="3"/>
    <x v="5"/>
    <n v="500000"/>
    <n v="700000"/>
    <n v="-0.5"/>
  </r>
  <r>
    <n v="310"/>
    <d v="2025-05-27T00:00:00"/>
    <s v="АО «Объединенное Кредитное Бюро»"/>
    <x v="0"/>
    <x v="6"/>
    <x v="0"/>
    <n v="500000"/>
    <n v="700000"/>
    <n v="1"/>
  </r>
  <r>
    <n v="311"/>
    <d v="2025-05-27T00:00:00"/>
    <s v="Акционерное общество_x000d__x000a_ВИМ Инвестиции"/>
    <x v="0"/>
    <x v="2"/>
    <x v="6"/>
    <n v="300000"/>
    <n v="500000"/>
    <n v="0"/>
  </r>
  <r>
    <n v="312"/>
    <d v="2025-05-26T00:00:00"/>
    <s v="Акционерное общество_x000d__x000a_Финансовая компания_x000d__x000a_«Профит Хауз»"/>
    <x v="0"/>
    <x v="2"/>
    <x v="9"/>
    <n v="300000"/>
    <n v="500000"/>
    <n v="-0.5"/>
  </r>
  <r>
    <n v="313"/>
    <d v="2025-05-26T00:00:00"/>
    <s v="Общество с ограниченной_x000d__x000a_ответственностью_x000d__x000a_ВИМ Сбережения"/>
    <x v="0"/>
    <x v="2"/>
    <x v="2"/>
    <n v="300000"/>
    <n v="500000"/>
    <e v="#VALUE!"/>
  </r>
  <r>
    <n v="314"/>
    <d v="2025-05-23T00:00:00"/>
    <s v="Нефедов Владимир Сергеевич"/>
    <x v="1"/>
    <x v="4"/>
    <x v="7"/>
    <n v="3000"/>
    <n v="5000"/>
    <n v="0"/>
  </r>
  <r>
    <n v="315"/>
    <d v="2025-05-20T00:00:00"/>
    <s v="Маликов Валерий Михайлович"/>
    <x v="1"/>
    <x v="4"/>
    <x v="7"/>
    <n v="3000"/>
    <n v="5000"/>
    <n v="0"/>
  </r>
  <r>
    <n v="316"/>
    <d v="2025-05-20T00:00:00"/>
    <s v="Маликова Майя Валерьевна"/>
    <x v="1"/>
    <x v="4"/>
    <x v="7"/>
    <n v="3000"/>
    <n v="5000"/>
    <n v="0"/>
  </r>
  <r>
    <n v="317"/>
    <d v="2025-05-16T00:00:00"/>
    <s v="Соловьев Вадим Сергеевич"/>
    <x v="1"/>
    <x v="4"/>
    <x v="7"/>
    <n v="3000"/>
    <n v="5000"/>
    <n v="0"/>
  </r>
  <r>
    <n v="318"/>
    <d v="2025-05-16T00:00:00"/>
    <s v="Соловьева Татьяна Владимировна"/>
    <x v="1"/>
    <x v="4"/>
    <x v="7"/>
    <n v="3000"/>
    <n v="5000"/>
    <n v="0"/>
  </r>
  <r>
    <n v="319"/>
    <d v="2025-05-16T00:00:00"/>
    <s v="ООО «Каркаул.ру»"/>
    <x v="0"/>
    <x v="6"/>
    <x v="4"/>
    <n v="500000"/>
    <n v="700000"/>
    <n v="-0.3"/>
  </r>
  <r>
    <n v="319"/>
    <d v="2025-05-16T00:00:00"/>
    <s v="ООО «Каркаул.ру»"/>
    <x v="0"/>
    <x v="5"/>
    <x v="5"/>
    <n v="500000"/>
    <n v="700000"/>
    <n v="-0.5"/>
  </r>
  <r>
    <n v="320"/>
    <d v="2025-05-16T00:00:00"/>
    <s v="Общество с ограниченной_x000d__x000a_ответственностью «Московские_x000d__x000a_партнеры»"/>
    <x v="0"/>
    <x v="8"/>
    <x v="10"/>
    <n v="500000"/>
    <n v="700000"/>
    <n v="0"/>
  </r>
  <r>
    <n v="321"/>
    <d v="2025-05-16T00:00:00"/>
    <s v="Общество с ограниченной ответственностью «Управляющая компания РИГОРА»"/>
    <x v="0"/>
    <x v="2"/>
    <x v="2"/>
    <n v="300000"/>
    <n v="500000"/>
    <e v="#VALUE!"/>
  </r>
  <r>
    <n v="322"/>
    <d v="2025-05-15T00:00:00"/>
    <s v="Акционерное общество_x000d__x000a_Управляющая компания_x000d__x000a_«НРК-Капитал (Эссет_x000d__x000a_Менеджмент)»"/>
    <x v="0"/>
    <x v="2"/>
    <x v="2"/>
    <n v="300000"/>
    <n v="500000"/>
    <e v="#VALUE!"/>
  </r>
  <r>
    <n v="323"/>
    <d v="2025-05-13T00:00:00"/>
    <s v="Публичное акционерное общество «СПБ Биржа»"/>
    <x v="0"/>
    <x v="15"/>
    <x v="2"/>
    <n v="300000"/>
    <n v="500000"/>
    <e v="#VALUE!"/>
  </r>
  <r>
    <n v="324"/>
    <d v="2025-05-13T00:00:00"/>
    <s v="Акционерное общество «Негосударственный пенсионный фонд «Ростех»"/>
    <x v="0"/>
    <x v="0"/>
    <x v="0"/>
    <n v="700000"/>
    <n v="1000000"/>
    <n v="0"/>
  </r>
  <r>
    <n v="325"/>
    <d v="2025-05-13T00:00:00"/>
    <s v="Апарин Андрей Михайлович"/>
    <x v="1"/>
    <x v="4"/>
    <x v="7"/>
    <n v="3000"/>
    <n v="5000"/>
    <n v="0"/>
  </r>
  <r>
    <n v="326"/>
    <d v="2025-05-13T00:00:00"/>
    <s v="Акционерное общество_x000d__x000a_«ААА Управление Капиталом»"/>
    <x v="0"/>
    <x v="7"/>
    <x v="0"/>
    <n v="700000"/>
    <n v="1000000"/>
    <n v="0"/>
  </r>
  <r>
    <n v="326"/>
    <d v="2025-05-13T00:00:00"/>
    <s v="Акционерное общество_x000d__x000a_«ААА Управление Капиталом»"/>
    <x v="0"/>
    <x v="2"/>
    <x v="6"/>
    <n v="300000"/>
    <n v="500000"/>
    <n v="0"/>
  </r>
  <r>
    <n v="327"/>
    <d v="2025-05-13T00:00:00"/>
    <s v="Общество с ограниченной ответственностью Управляющая компания «Арикапитал»"/>
    <x v="0"/>
    <x v="2"/>
    <x v="2"/>
    <n v="300000"/>
    <n v="500000"/>
    <e v="#VALUE!"/>
  </r>
  <r>
    <n v="328"/>
    <d v="2025-05-07T00:00:00"/>
    <s v="Быков Денис Эдуардович"/>
    <x v="1"/>
    <x v="4"/>
    <x v="7"/>
    <n v="3000"/>
    <n v="5000"/>
    <n v="0"/>
  </r>
  <r>
    <n v="329"/>
    <d v="2025-05-07T00:00:00"/>
    <s v="Быков Эдуард Юрьевич"/>
    <x v="1"/>
    <x v="4"/>
    <x v="7"/>
    <n v="3000"/>
    <n v="5000"/>
    <n v="0"/>
  </r>
  <r>
    <n v="330"/>
    <d v="2025-05-06T00:00:00"/>
    <s v="ООО &quot;КАС КЭПИТАЛ&quot;"/>
    <x v="0"/>
    <x v="4"/>
    <x v="4"/>
    <n v="700000"/>
    <s v="в размере суммы излишнего дохода… но не менее 700 000 рублей"/>
    <n v="-0.5"/>
  </r>
  <r>
    <n v="331"/>
    <d v="2025-05-06T00:00:00"/>
    <s v="Безменов Николай Николаевич"/>
    <x v="1"/>
    <x v="4"/>
    <x v="7"/>
    <n v="3000"/>
    <n v="5000"/>
    <n v="0"/>
  </r>
  <r>
    <n v="332"/>
    <d v="2025-05-06T00:00:00"/>
    <s v="Пономарева Наталья Александровна"/>
    <x v="1"/>
    <x v="4"/>
    <x v="7"/>
    <n v="3000"/>
    <n v="5000"/>
    <n v="0"/>
  </r>
  <r>
    <n v="333"/>
    <d v="2025-05-06T00:00:00"/>
    <s v="Мохов Никита Юрьевич"/>
    <x v="1"/>
    <x v="4"/>
    <x v="7"/>
    <n v="3000"/>
    <n v="5000"/>
    <n v="0"/>
  </r>
  <r>
    <n v="334"/>
    <d v="2025-05-06T00:00:00"/>
    <s v="Микшин Денис Николаевич"/>
    <x v="1"/>
    <x v="4"/>
    <x v="7"/>
    <n v="3000"/>
    <n v="5000"/>
    <n v="0"/>
  </r>
  <r>
    <n v="335"/>
    <d v="2025-05-06T00:00:00"/>
    <s v="Александрова Екатерина Павловна"/>
    <x v="1"/>
    <x v="4"/>
    <x v="7"/>
    <n v="3000"/>
    <n v="5000"/>
    <n v="0"/>
  </r>
  <r>
    <n v="336"/>
    <d v="2025-05-06T00:00:00"/>
    <s v="Дерюгин Андрей Викторович"/>
    <x v="1"/>
    <x v="4"/>
    <x v="7"/>
    <n v="3000"/>
    <n v="5000"/>
    <n v="0"/>
  </r>
  <r>
    <n v="337"/>
    <d v="2025-05-06T00:00:00"/>
    <s v="Князева Людмила Александровна"/>
    <x v="1"/>
    <x v="4"/>
    <x v="7"/>
    <n v="3000"/>
    <n v="5000"/>
    <n v="0"/>
  </r>
  <r>
    <n v="338"/>
    <d v="2025-05-06T00:00:00"/>
    <s v="АО «Объединенное Кредитное Бюро»"/>
    <x v="0"/>
    <x v="12"/>
    <x v="15"/>
    <n v="10000"/>
    <n v="20000"/>
    <n v="1"/>
  </r>
  <r>
    <n v="339"/>
    <d v="2025-05-06T00:00:00"/>
    <s v="Общество с ограниченной ответственностью «Управляющая компания «Альфа-Капитал»"/>
    <x v="0"/>
    <x v="2"/>
    <x v="6"/>
    <n v="300000"/>
    <n v="500000"/>
    <n v="0"/>
  </r>
  <r>
    <n v="340"/>
    <d v="2025-05-06T00:00:00"/>
    <s v="Акционерное общество «Контрада Капитал»"/>
    <x v="0"/>
    <x v="1"/>
    <x v="2"/>
    <n v="700000"/>
    <n v="1000000"/>
    <e v="#VALUE!"/>
  </r>
  <r>
    <n v="340"/>
    <d v="2025-05-06T00:00:00"/>
    <s v="Акционерное общество «Контрада Капитал»"/>
    <x v="0"/>
    <x v="3"/>
    <x v="2"/>
    <n v="500000"/>
    <n v="700000"/>
    <e v="#VALUE!"/>
  </r>
  <r>
    <n v="341"/>
    <d v="2025-05-05T00:00:00"/>
    <s v="Царик Дмитрий Сергеевич"/>
    <x v="1"/>
    <x v="4"/>
    <x v="7"/>
    <n v="3000"/>
    <n v="5000"/>
    <n v="0"/>
  </r>
  <r>
    <n v="342"/>
    <d v="2025-04-29T00:00:00"/>
    <s v="ООО «КраудЮнит»"/>
    <x v="0"/>
    <x v="5"/>
    <x v="5"/>
    <n v="500000"/>
    <n v="700000"/>
    <n v="-0.5"/>
  </r>
  <r>
    <n v="343"/>
    <d v="2025-04-29T00:00:00"/>
    <s v="Лазутина Линда Леонидовна"/>
    <x v="1"/>
    <x v="16"/>
    <x v="7"/>
    <n v="3000"/>
    <n v="5000"/>
    <n v="0"/>
  </r>
  <r>
    <n v="344"/>
    <d v="2025-04-29T00:00:00"/>
    <s v="Чернышев Даниил Владимирович"/>
    <x v="1"/>
    <x v="4"/>
    <x v="7"/>
    <n v="3000"/>
    <n v="5000"/>
    <n v="0"/>
  </r>
  <r>
    <n v="345"/>
    <d v="2025-04-28T00:00:00"/>
    <s v="Сас Роман Иванович"/>
    <x v="1"/>
    <x v="4"/>
    <x v="7"/>
    <n v="3000"/>
    <n v="5000"/>
    <n v="0"/>
  </r>
  <r>
    <n v="346"/>
    <d v="2025-04-28T00:00:00"/>
    <s v="Сас Надежда Валериевна"/>
    <x v="1"/>
    <x v="4"/>
    <x v="7"/>
    <n v="3000"/>
    <n v="5000"/>
    <n v="0"/>
  </r>
  <r>
    <n v="347"/>
    <d v="2025-04-28T00:00:00"/>
    <s v="Акционерное общество «Инвестиционная компания «РИКОМ-ТРАСТ»"/>
    <x v="0"/>
    <x v="0"/>
    <x v="0"/>
    <n v="700000"/>
    <n v="1000000"/>
    <n v="0"/>
  </r>
  <r>
    <n v="348"/>
    <d v="2025-04-25T00:00:00"/>
    <s v="ООО &quot;Григорян Инвест&quot;"/>
    <x v="0"/>
    <x v="4"/>
    <x v="0"/>
    <n v="700000"/>
    <s v="в размере суммы излишнего дохода… но не менее 700 000 рублей"/>
    <n v="0"/>
  </r>
  <r>
    <n v="349"/>
    <d v="2025-04-25T00:00:00"/>
    <s v="ООО «ФИНИН-К»"/>
    <x v="0"/>
    <x v="5"/>
    <x v="5"/>
    <n v="500000"/>
    <n v="700000"/>
    <n v="-0.5"/>
  </r>
  <r>
    <n v="350"/>
    <d v="2025-04-25T00:00:00"/>
    <s v="ООО «Селект мани»"/>
    <x v="0"/>
    <x v="5"/>
    <x v="5"/>
    <n v="500000"/>
    <n v="700000"/>
    <n v="-0.5"/>
  </r>
  <r>
    <n v="351"/>
    <d v="2025-04-22T00:00:00"/>
    <s v="Унеговский Дмитрий Семенович"/>
    <x v="1"/>
    <x v="4"/>
    <x v="7"/>
    <n v="3000"/>
    <n v="5000"/>
    <n v="0"/>
  </r>
  <r>
    <n v="352"/>
    <d v="2025-04-18T00:00:00"/>
    <s v="Общество с ограниченной ответственностью «РСХБ Управление Активами»"/>
    <x v="0"/>
    <x v="7"/>
    <x v="0"/>
    <n v="700000"/>
    <n v="1000000"/>
    <n v="0"/>
  </r>
  <r>
    <n v="353"/>
    <d v="2025-04-18T00:00:00"/>
    <s v="Егорова Виктория Евгеньевна"/>
    <x v="1"/>
    <x v="4"/>
    <x v="7"/>
    <n v="3000"/>
    <n v="5000"/>
    <n v="0"/>
  </r>
  <r>
    <n v="354"/>
    <d v="2025-04-17T00:00:00"/>
    <s v="Погосов Юрий Евгеньевич"/>
    <x v="1"/>
    <x v="4"/>
    <x v="7"/>
    <n v="3000"/>
    <n v="5000"/>
    <n v="0"/>
  </r>
  <r>
    <n v="355"/>
    <d v="2025-04-15T00:00:00"/>
    <s v="Погосова Ольга Владимировна"/>
    <x v="1"/>
    <x v="4"/>
    <x v="7"/>
    <n v="3000"/>
    <n v="5000"/>
    <n v="0"/>
  </r>
  <r>
    <n v="356"/>
    <d v="2025-04-15T00:00:00"/>
    <s v="ООО «Селект мани»"/>
    <x v="0"/>
    <x v="5"/>
    <x v="5"/>
    <n v="500000"/>
    <n v="700000"/>
    <n v="-0.5"/>
  </r>
  <r>
    <n v="357"/>
    <d v="2025-04-15T00:00:00"/>
    <s v="Акционерное общество «Управляющая компания «ТРАНСФИНГРУП»"/>
    <x v="0"/>
    <x v="2"/>
    <x v="6"/>
    <n v="300000"/>
    <n v="500000"/>
    <n v="0"/>
  </r>
  <r>
    <n v="358"/>
    <d v="2025-04-15T00:00:00"/>
    <s v="Общество с ограниченной ответственностью «Управляющая компания «АКРУКС КАПИТАЛ»"/>
    <x v="0"/>
    <x v="2"/>
    <x v="2"/>
    <n v="300000"/>
    <n v="500000"/>
    <e v="#VALUE!"/>
  </r>
  <r>
    <n v="359"/>
    <d v="2025-04-15T00:00:00"/>
    <s v="Акционерное общество «БКС Управление благосостоянием»"/>
    <x v="0"/>
    <x v="2"/>
    <x v="2"/>
    <n v="300000"/>
    <n v="500000"/>
    <e v="#VALUE!"/>
  </r>
  <r>
    <n v="359"/>
    <d v="2025-04-15T00:00:00"/>
    <s v="Акционерное общество «БКС Управление благосостоянием»"/>
    <x v="0"/>
    <x v="2"/>
    <x v="2"/>
    <n v="300000"/>
    <n v="500000"/>
    <e v="#VALUE!"/>
  </r>
  <r>
    <n v="360"/>
    <d v="2025-04-14T00:00:00"/>
    <s v="Акционерное общество ВИМ Инвестиции"/>
    <x v="0"/>
    <x v="2"/>
    <x v="6"/>
    <n v="300000"/>
    <n v="500000"/>
    <n v="0"/>
  </r>
  <r>
    <n v="361"/>
    <d v="2025-04-14T00:00:00"/>
    <s v="Князев Станислав Юрьевич"/>
    <x v="1"/>
    <x v="4"/>
    <x v="7"/>
    <n v="3000"/>
    <n v="5000"/>
    <n v="0"/>
  </r>
  <r>
    <n v="362"/>
    <d v="2025-04-14T00:00:00"/>
    <s v="Георгиевский Даниил Максимович"/>
    <x v="1"/>
    <x v="4"/>
    <x v="7"/>
    <n v="3000"/>
    <n v="5000"/>
    <n v="0"/>
  </r>
  <r>
    <n v="363"/>
    <d v="2025-04-11T00:00:00"/>
    <s v="АО «Специализированный депозитарий «ИНФИНИТУМ»"/>
    <x v="0"/>
    <x v="2"/>
    <x v="6"/>
    <n v="300000"/>
    <n v="500000"/>
    <n v="0"/>
  </r>
  <r>
    <n v="364"/>
    <d v="2025-04-11T00:00:00"/>
    <s v="Дерюгина Наталья Александровна"/>
    <x v="1"/>
    <x v="4"/>
    <x v="7"/>
    <n v="3000"/>
    <n v="5000"/>
    <n v="0"/>
  </r>
  <r>
    <n v="365"/>
    <d v="2025-04-08T00:00:00"/>
    <s v="ООО «РБРУ СД»"/>
    <x v="0"/>
    <x v="2"/>
    <x v="6"/>
    <n v="300000"/>
    <n v="500000"/>
    <n v="0"/>
  </r>
  <r>
    <n v="366"/>
    <d v="2025-04-08T00:00:00"/>
    <s v="АО «ИК «РИКОМ-ТРАСТ»"/>
    <x v="0"/>
    <x v="6"/>
    <x v="10"/>
    <n v="500000"/>
    <n v="700000"/>
    <n v="0"/>
  </r>
  <r>
    <n v="367"/>
    <d v="2025-04-08T00:00:00"/>
    <s v="Порохова Наталья Владимировна"/>
    <x v="1"/>
    <x v="4"/>
    <x v="7"/>
    <n v="3000"/>
    <n v="5000"/>
    <n v="0"/>
  </r>
  <r>
    <n v="368"/>
    <d v="2025-04-08T00:00:00"/>
    <s v="Унеговская Наталья Александровна"/>
    <x v="1"/>
    <x v="4"/>
    <x v="7"/>
    <n v="3000"/>
    <n v="5000"/>
    <n v="0"/>
  </r>
  <r>
    <n v="369"/>
    <d v="2025-04-08T00:00:00"/>
    <s v="Попов Алексей Александрович"/>
    <x v="1"/>
    <x v="4"/>
    <x v="7"/>
    <n v="3000"/>
    <n v="5000"/>
    <n v="0"/>
  </r>
  <r>
    <n v="370"/>
    <d v="2025-04-08T00:00:00"/>
    <s v="Общество с ограниченной ответственностью «Управляющая компания «Атон-менеджмент»"/>
    <x v="0"/>
    <x v="7"/>
    <x v="0"/>
    <n v="700000"/>
    <n v="1000000"/>
    <n v="0"/>
  </r>
  <r>
    <n v="371"/>
    <d v="2025-04-08T00:00:00"/>
    <s v="Акционерное общество_x000d__x000a_Управляющая компания_x000d__x000a_«РВМ Капитал»"/>
    <x v="0"/>
    <x v="2"/>
    <x v="2"/>
    <n v="300000"/>
    <n v="500000"/>
    <e v="#VALUE!"/>
  </r>
  <r>
    <n v="372"/>
    <d v="2025-04-04T00:00:00"/>
    <s v="Федина Марина Александровна"/>
    <x v="1"/>
    <x v="4"/>
    <x v="7"/>
    <n v="3000"/>
    <n v="5000"/>
    <n v="0"/>
  </r>
  <r>
    <n v="373"/>
    <d v="2025-04-01T00:00:00"/>
    <s v="Баринова Анастасия Юрьевна"/>
    <x v="1"/>
    <x v="4"/>
    <x v="7"/>
    <n v="3000"/>
    <n v="5000"/>
    <n v="0"/>
  </r>
  <r>
    <n v="374"/>
    <d v="2025-03-28T00:00:00"/>
    <s v="АО «Национальное бюро кредитных историй»"/>
    <x v="0"/>
    <x v="19"/>
    <x v="8"/>
    <n v="30000"/>
    <n v="50000"/>
    <n v="0"/>
  </r>
  <r>
    <n v="375"/>
    <d v="2025-03-28T00:00:00"/>
    <s v="Федин Виталий Юрьевич"/>
    <x v="1"/>
    <x v="4"/>
    <x v="7"/>
    <n v="3000"/>
    <n v="5000"/>
    <n v="0"/>
  </r>
  <r>
    <n v="376"/>
    <d v="2025-03-25T00:00:00"/>
    <s v="Юшков Никита Константинович"/>
    <x v="1"/>
    <x v="4"/>
    <x v="7"/>
    <n v="3000"/>
    <n v="5000"/>
    <n v="0"/>
  </r>
  <r>
    <n v="377"/>
    <d v="2025-03-25T00:00:00"/>
    <s v="Юшков Константин Михайлович"/>
    <x v="1"/>
    <x v="4"/>
    <x v="7"/>
    <n v="3000"/>
    <n v="5000"/>
    <n v="0"/>
  </r>
  <r>
    <n v="378"/>
    <d v="2025-03-25T00:00:00"/>
    <s v="Коростелев Андрей Юрьевич"/>
    <x v="1"/>
    <x v="4"/>
    <x v="7"/>
    <n v="3000"/>
    <n v="5000"/>
    <n v="0"/>
  </r>
  <r>
    <n v="379"/>
    <d v="2025-03-25T00:00:00"/>
    <s v="Коростелева Марина Викторовна"/>
    <x v="1"/>
    <x v="4"/>
    <x v="7"/>
    <n v="3000"/>
    <n v="5000"/>
    <n v="0"/>
  </r>
  <r>
    <n v="380"/>
    <d v="2025-03-25T00:00:00"/>
    <s v="Акционерное общество «Управляющая компания «Первая»"/>
    <x v="0"/>
    <x v="2"/>
    <x v="6"/>
    <n v="300000"/>
    <n v="500000"/>
    <n v="0"/>
  </r>
  <r>
    <n v="381"/>
    <d v="2025-03-25T00:00:00"/>
    <s v="КИТ Финанс (Акционерное общество)"/>
    <x v="0"/>
    <x v="8"/>
    <x v="2"/>
    <n v="500000"/>
    <n v="700000"/>
    <e v="#VALUE!"/>
  </r>
  <r>
    <n v="381"/>
    <d v="2025-03-25T00:00:00"/>
    <s v="КИТ Финанс (Акционерное общество)"/>
    <x v="0"/>
    <x v="20"/>
    <x v="2"/>
    <n v="300000"/>
    <n v="500000"/>
    <e v="#VALUE!"/>
  </r>
  <r>
    <n v="382"/>
    <d v="2025-03-21T00:00:00"/>
    <s v="ООО «ПФЛ Новые инвестиции»"/>
    <x v="0"/>
    <x v="6"/>
    <x v="5"/>
    <n v="500000"/>
    <n v="700000"/>
    <n v="-0.5"/>
  </r>
  <r>
    <n v="383"/>
    <d v="2025-03-21T00:00:00"/>
    <s v="Черепанов Виталий Ильич"/>
    <x v="1"/>
    <x v="4"/>
    <x v="7"/>
    <n v="3000"/>
    <n v="5000"/>
    <n v="0"/>
  </r>
  <r>
    <n v="384"/>
    <d v="2025-03-21T00:00:00"/>
    <s v="Полюбай Юлия Петровна"/>
    <x v="1"/>
    <x v="4"/>
    <x v="7"/>
    <n v="3000"/>
    <n v="5000"/>
    <n v="0"/>
  </r>
  <r>
    <n v="385"/>
    <d v="2025-03-21T00:00:00"/>
    <s v="Полюбай Алексей Владимирович"/>
    <x v="1"/>
    <x v="4"/>
    <x v="7"/>
    <n v="3000"/>
    <n v="5000"/>
    <n v="0"/>
  </r>
  <r>
    <n v="387"/>
    <d v="2025-03-18T00:00:00"/>
    <s v="АО «ИК «Ай Ти Инвест»"/>
    <x v="0"/>
    <x v="2"/>
    <x v="6"/>
    <n v="300000"/>
    <n v="500000"/>
    <n v="0"/>
  </r>
  <r>
    <n v="388"/>
    <d v="2025-03-18T00:00:00"/>
    <s v="Акционерное общество «Негосударственный пенсионный фонд «ВЭФ.Русские Фонды»"/>
    <x v="0"/>
    <x v="0"/>
    <x v="0"/>
    <n v="700000"/>
    <n v="1000000"/>
    <n v="0"/>
  </r>
  <r>
    <n v="388"/>
    <d v="2025-03-18T00:00:00"/>
    <s v="Акционерное общество «Негосударственный пенсионный фонд «ВЭФ.Русские Фонды»"/>
    <x v="0"/>
    <x v="0"/>
    <x v="0"/>
    <n v="700000"/>
    <n v="1000000"/>
    <n v="0"/>
  </r>
  <r>
    <n v="389"/>
    <d v="2025-03-18T00:00:00"/>
    <s v="Общество с ограниченной ответственностью Инвестиционная компания «Тренд»"/>
    <x v="0"/>
    <x v="8"/>
    <x v="2"/>
    <n v="500000"/>
    <n v="700000"/>
    <e v="#VALUE!"/>
  </r>
  <r>
    <n v="390"/>
    <d v="2025-03-18T00:00:00"/>
    <s v="Общество с ограниченной ответственностью «РУССКОЕ ИНВЕСТИЦИОННОЕ ОБЩЕСТВО»"/>
    <x v="0"/>
    <x v="2"/>
    <x v="2"/>
    <n v="300000"/>
    <n v="500000"/>
    <e v="#VALUE!"/>
  </r>
  <r>
    <n v="391"/>
    <d v="2025-03-18T00:00:00"/>
    <s v="Акционерное общество &quot;Управляющая компания &quot;МКБ Инвестиции&quot;"/>
    <x v="0"/>
    <x v="2"/>
    <x v="6"/>
    <n v="300000"/>
    <n v="500000"/>
    <n v="0"/>
  </r>
  <r>
    <n v="392"/>
    <d v="2025-03-17T00:00:00"/>
    <s v="Акционерное общество «ИВА Партнерс»"/>
    <x v="0"/>
    <x v="8"/>
    <x v="10"/>
    <n v="500000"/>
    <n v="700000"/>
    <n v="0"/>
  </r>
  <r>
    <n v="392"/>
    <d v="2025-03-17T00:00:00"/>
    <s v="Акционерное общество «ИВА Партнерс»"/>
    <x v="0"/>
    <x v="2"/>
    <x v="6"/>
    <n v="300000"/>
    <n v="500000"/>
    <n v="0"/>
  </r>
  <r>
    <n v="393"/>
    <d v="2025-03-14T00:00:00"/>
    <s v="Мэй Луиза Алексеевна"/>
    <x v="1"/>
    <x v="4"/>
    <x v="7"/>
    <n v="3000"/>
    <n v="5000"/>
    <n v="0"/>
  </r>
  <r>
    <n v="394"/>
    <d v="2025-03-14T00:00:00"/>
    <s v="Смирнов Дмитрий Федорович"/>
    <x v="1"/>
    <x v="4"/>
    <x v="7"/>
    <n v="3000"/>
    <n v="5000"/>
    <n v="0"/>
  </r>
  <r>
    <n v="395"/>
    <d v="2025-03-14T00:00:00"/>
    <s v="Уланов Петр Петрович"/>
    <x v="1"/>
    <x v="4"/>
    <x v="7"/>
    <n v="3000"/>
    <n v="5000"/>
    <n v="0"/>
  </r>
  <r>
    <n v="396"/>
    <d v="2025-03-14T00:00:00"/>
    <s v="Акционерное общество «Негосударственный пенсионный фонд «БЛАГОСОСТОЯНИЕ»"/>
    <x v="0"/>
    <x v="0"/>
    <x v="2"/>
    <n v="700000"/>
    <n v="1000000"/>
    <e v="#VALUE!"/>
  </r>
  <r>
    <n v="397"/>
    <d v="2025-03-11T00:00:00"/>
    <s v="Онянова Виктория Александровна"/>
    <x v="1"/>
    <x v="4"/>
    <x v="7"/>
    <n v="3000"/>
    <n v="5000"/>
    <n v="0"/>
  </r>
  <r>
    <n v="398"/>
    <d v="2025-03-11T00:00:00"/>
    <s v="Триголос Екатерина Александровна"/>
    <x v="1"/>
    <x v="4"/>
    <x v="7"/>
    <n v="3000"/>
    <n v="5000"/>
    <n v="0"/>
  </r>
  <r>
    <n v="399"/>
    <d v="2025-03-11T00:00:00"/>
    <s v="Триголос Павел Иванович"/>
    <x v="1"/>
    <x v="4"/>
    <x v="7"/>
    <n v="3000"/>
    <n v="5000"/>
    <n v="0"/>
  </r>
  <r>
    <n v="400"/>
    <d v="2025-03-10T00:00:00"/>
    <s v="Мясников Александр Валерьевич"/>
    <x v="1"/>
    <x v="4"/>
    <x v="7"/>
    <n v="3000"/>
    <n v="5000"/>
    <n v="0"/>
  </r>
  <r>
    <n v="401"/>
    <d v="2025-03-10T00:00:00"/>
    <s v="Общество с ограниченной ответственностью «Управляющая компания «Формула инвестиций»"/>
    <x v="0"/>
    <x v="2"/>
    <x v="2"/>
    <n v="300000"/>
    <n v="500000"/>
    <e v="#VALUE!"/>
  </r>
  <r>
    <n v="402"/>
    <d v="2025-03-10T00:00:00"/>
    <s v="Общество с ограниченной ответственностью «Финплан»"/>
    <x v="0"/>
    <x v="21"/>
    <x v="18"/>
    <n v="200000"/>
    <n v="300000"/>
    <n v="-0.5"/>
  </r>
  <r>
    <n v="403"/>
    <d v="2025-03-04T00:00:00"/>
    <s v="Общество с ограниченной ответственностью &quot;РОН Инвест&quot;"/>
    <x v="0"/>
    <x v="0"/>
    <x v="2"/>
    <n v="700000"/>
    <n v="1000000"/>
    <e v="#VALUE!"/>
  </r>
  <r>
    <n v="404"/>
    <d v="2025-03-03T00:00:00"/>
    <s v="Смирнова Ксения Евгеньевна"/>
    <x v="1"/>
    <x v="4"/>
    <x v="7"/>
    <n v="3000"/>
    <n v="5000"/>
    <n v="0"/>
  </r>
  <r>
    <n v="405"/>
    <d v="2025-02-28T00:00:00"/>
    <s v="Общество с ограниченной ответственностью «РСХБ Управление Активами»"/>
    <x v="0"/>
    <x v="7"/>
    <x v="0"/>
    <n v="700000"/>
    <n v="1000000"/>
    <n v="0"/>
  </r>
  <r>
    <n v="406"/>
    <d v="2025-02-28T00:00:00"/>
    <s v="Лядов Василий Рюрикович"/>
    <x v="1"/>
    <x v="4"/>
    <x v="7"/>
    <n v="3000"/>
    <n v="5000"/>
    <n v="0"/>
  </r>
  <r>
    <n v="407"/>
    <d v="2025-02-25T00:00:00"/>
    <s v="ООО «ПФЛ Новые инвестиции»"/>
    <x v="0"/>
    <x v="6"/>
    <x v="5"/>
    <n v="500000"/>
    <n v="700000"/>
    <n v="-0.5"/>
  </r>
  <r>
    <n v="408"/>
    <d v="2025-02-25T00:00:00"/>
    <s v="Общество с ограниченной ответственностью «Инвестиционная компания «Айгенис»"/>
    <x v="0"/>
    <x v="8"/>
    <x v="2"/>
    <n v="500000"/>
    <n v="700000"/>
    <e v="#VALUE!"/>
  </r>
  <r>
    <n v="409"/>
    <d v="2025-02-25T00:00:00"/>
    <s v="Усаков Евгений Игоревич"/>
    <x v="1"/>
    <x v="4"/>
    <x v="7"/>
    <n v="3000"/>
    <n v="5000"/>
    <n v="0"/>
  </r>
  <r>
    <n v="410"/>
    <d v="2025-02-25T00:00:00"/>
    <s v="Общество с ограниченной ответственностью «Управляющая компания «Альфа-Капитал»"/>
    <x v="0"/>
    <x v="2"/>
    <x v="6"/>
    <n v="300000"/>
    <n v="500000"/>
    <n v="0"/>
  </r>
  <r>
    <n v="411"/>
    <d v="2025-02-24T00:00:00"/>
    <s v="Общество с ограниченной ответственностью «Т-Капитал»"/>
    <x v="0"/>
    <x v="7"/>
    <x v="0"/>
    <n v="700000"/>
    <n v="1000000"/>
    <n v="0"/>
  </r>
  <r>
    <n v="412"/>
    <d v="2025-02-24T00:00:00"/>
    <s v="Акционерное общество «Управляющая компания «ТРАНСФИНГРУП»"/>
    <x v="0"/>
    <x v="2"/>
    <x v="6"/>
    <n v="300000"/>
    <n v="500000"/>
    <n v="0"/>
  </r>
  <r>
    <n v="413"/>
    <d v="2025-02-21T00:00:00"/>
    <s v="ООО «ЛЭНДЭР-ИНВЕСТ»"/>
    <x v="0"/>
    <x v="5"/>
    <x v="5"/>
    <n v="500000"/>
    <n v="700000"/>
    <n v="-0.5"/>
  </r>
  <r>
    <n v="414"/>
    <d v="2025-02-21T00:00:00"/>
    <s v="Перетрухина Элина Владимировна"/>
    <x v="1"/>
    <x v="4"/>
    <x v="7"/>
    <n v="3000"/>
    <n v="5000"/>
    <n v="0"/>
  </r>
  <r>
    <n v="415"/>
    <d v="2025-02-18T00:00:00"/>
    <s v="ЗАО «ПРСД»"/>
    <x v="0"/>
    <x v="9"/>
    <x v="10"/>
    <n v="500000"/>
    <n v="700000"/>
    <n v="0"/>
  </r>
  <r>
    <n v="416"/>
    <d v="2025-02-18T00:00:00"/>
    <s v="Общество с ограниченной ответственностью «РСХБ Управление Активами»"/>
    <x v="0"/>
    <x v="3"/>
    <x v="10"/>
    <n v="500000"/>
    <n v="700000"/>
    <n v="0"/>
  </r>
  <r>
    <n v="416"/>
    <d v="2025-02-18T00:00:00"/>
    <s v="Общество с ограниченной ответственностью «РСХБ Управление Активами»"/>
    <x v="0"/>
    <x v="0"/>
    <x v="0"/>
    <n v="700000"/>
    <n v="1000000"/>
    <n v="0"/>
  </r>
  <r>
    <n v="417"/>
    <d v="2025-02-18T00:00:00"/>
    <s v="«Газпромбанк» (Акционерное общество)"/>
    <x v="0"/>
    <x v="2"/>
    <x v="6"/>
    <n v="300000"/>
    <n v="500000"/>
    <n v="0"/>
  </r>
  <r>
    <n v="418"/>
    <d v="2025-02-17T00:00:00"/>
    <s v="ООО «АЛОР+»"/>
    <x v="0"/>
    <x v="2"/>
    <x v="6"/>
    <n v="300000"/>
    <n v="500000"/>
    <n v="0"/>
  </r>
  <r>
    <n v="419"/>
    <d v="2025-02-14T00:00:00"/>
    <s v="Тимиргалин Марат Рамильевич"/>
    <x v="1"/>
    <x v="4"/>
    <x v="7"/>
    <n v="3000"/>
    <n v="5000"/>
    <n v="0"/>
  </r>
  <r>
    <n v="420"/>
    <d v="2025-02-11T00:00:00"/>
    <s v="Борисова Лидия Ивановна"/>
    <x v="1"/>
    <x v="4"/>
    <x v="7"/>
    <n v="3000"/>
    <n v="5000"/>
    <n v="0"/>
  </r>
  <r>
    <n v="421"/>
    <d v="2025-02-11T00:00:00"/>
    <s v="Общество с ограниченной ответственностью «Управляющая компания «Терра Эссет Менеджмент»"/>
    <x v="0"/>
    <x v="7"/>
    <x v="4"/>
    <n v="700000"/>
    <n v="1000000"/>
    <n v="-0.5"/>
  </r>
  <r>
    <n v="422"/>
    <d v="2025-02-10T00:00:00"/>
    <s v="Новокрещенова Ангелина Станиславовна"/>
    <x v="1"/>
    <x v="4"/>
    <x v="7"/>
    <n v="3000"/>
    <n v="5000"/>
    <n v="0"/>
  </r>
  <r>
    <n v="423"/>
    <d v="2025-02-10T00:00:00"/>
    <s v="Общество с ограниченной ответственностью Концерн «ДЖЕНЕРАЛ-ИНВЕСТ»"/>
    <x v="0"/>
    <x v="8"/>
    <x v="2"/>
    <n v="500000"/>
    <n v="700000"/>
    <e v="#VALUE!"/>
  </r>
  <r>
    <n v="424"/>
    <d v="2025-01-28T00:00:00"/>
    <s v="Меленкова Ирина Евгеньевна"/>
    <x v="1"/>
    <x v="4"/>
    <x v="7"/>
    <n v="3000"/>
    <n v="5000"/>
    <n v="0"/>
  </r>
  <r>
    <n v="425"/>
    <d v="2025-01-27T00:00:00"/>
    <s v="Воропаев Александр Андреевич"/>
    <x v="1"/>
    <x v="2"/>
    <x v="2"/>
    <n v="1000"/>
    <n v="3000"/>
    <e v="#VALUE!"/>
  </r>
  <r>
    <n v="426"/>
    <d v="2025-01-27T00:00:00"/>
    <s v="Общество с ограниченной ответственностью «Управляющая компания «Джи Пи Ай»"/>
    <x v="0"/>
    <x v="2"/>
    <x v="9"/>
    <n v="300000"/>
    <n v="500000"/>
    <n v="-0.5"/>
  </r>
  <r>
    <n v="427"/>
    <d v="2025-01-21T00:00:00"/>
    <s v="Меленкова Валентина Андреевна"/>
    <x v="1"/>
    <x v="4"/>
    <x v="7"/>
    <n v="3000"/>
    <n v="5000"/>
    <n v="0"/>
  </r>
  <r>
    <n v="428"/>
    <d v="2025-01-10T00:00:00"/>
    <s v="Акционерное общество «Инвестиционная компания «РИКОМ-ТРАСТ»"/>
    <x v="0"/>
    <x v="0"/>
    <x v="0"/>
    <n v="700000"/>
    <n v="1000000"/>
    <n v="0"/>
  </r>
  <r>
    <n v="428"/>
    <d v="2025-01-10T00:00:00"/>
    <s v="Акционерное общество «Инвестиционная компания «РИКОМ-ТРАСТ»"/>
    <x v="0"/>
    <x v="0"/>
    <x v="0"/>
    <n v="700000"/>
    <n v="1000000"/>
    <n v="0"/>
  </r>
  <r>
    <n v="429"/>
    <d v="2025-01-10T00:00:00"/>
    <s v="Акционерное общество «Управляющая компания «Первая»"/>
    <x v="0"/>
    <x v="7"/>
    <x v="0"/>
    <n v="700000"/>
    <n v="1000000"/>
    <n v="0"/>
  </r>
  <r>
    <n v="430"/>
    <d v="2025-01-10T00:00:00"/>
    <s v="Общество с ограниченной ответственностью «РСХБ Управление Активами»"/>
    <x v="0"/>
    <x v="1"/>
    <x v="0"/>
    <n v="700000"/>
    <n v="1000000"/>
    <n v="0"/>
  </r>
  <r>
    <n v="430"/>
    <d v="2025-01-10T00:00:00"/>
    <s v="Общество с ограниченной ответственностью «РСХБ Управление Активами»"/>
    <x v="0"/>
    <x v="2"/>
    <x v="6"/>
    <n v="300000"/>
    <n v="500000"/>
    <n v="0"/>
  </r>
  <r>
    <n v="431"/>
    <d v="2025-01-10T00:00:00"/>
    <s v="Акционерное общество «Инвестиционная компания «Ай Ти Инвест»"/>
    <x v="0"/>
    <x v="8"/>
    <x v="10"/>
    <n v="500000"/>
    <n v="700000"/>
    <n v="0"/>
  </r>
  <r>
    <n v="432"/>
    <d v="2025-01-10T00:00:00"/>
    <s v="Общество с ограниченной ответственностью Инвестиционная компания «Айсберг Финанс»"/>
    <x v="0"/>
    <x v="8"/>
    <x v="2"/>
    <n v="500000"/>
    <n v="700000"/>
    <e v="#VALUE!"/>
  </r>
  <r>
    <n v="433"/>
    <d v="2025-01-09T00:00:00"/>
    <s v="ООО «ИНВЕСТИРУЙ В»"/>
    <x v="0"/>
    <x v="6"/>
    <x v="2"/>
    <n v="500000"/>
    <n v="700000"/>
    <e v="#VALUE!"/>
  </r>
  <r>
    <n v="433"/>
    <d v="2025-01-09T00:00:00"/>
    <s v="ООО «ИНВЕСТИРУЙ В»"/>
    <x v="0"/>
    <x v="5"/>
    <x v="5"/>
    <n v="500000"/>
    <n v="700000"/>
    <n v="-0.5"/>
  </r>
  <r>
    <n v="434"/>
    <d v="2025-01-09T00:00:00"/>
    <s v="Общество с ограниченной ответственностью &quot;Т2 Мобайл&quot;"/>
    <x v="0"/>
    <x v="6"/>
    <x v="2"/>
    <n v="500000"/>
    <n v="700000"/>
    <e v="#VALUE!"/>
  </r>
  <r>
    <n v="435"/>
    <d v="2025-01-09T00:00:00"/>
    <s v="Юшков Никита Константинович"/>
    <x v="1"/>
    <x v="4"/>
    <x v="7"/>
    <n v="3000"/>
    <n v="5000"/>
    <n v="0"/>
  </r>
  <r>
    <n v="436"/>
    <d v="2025-01-09T00:00:00"/>
    <s v="Юшков Константин Михайлович"/>
    <x v="1"/>
    <x v="4"/>
    <x v="7"/>
    <n v="3000"/>
    <n v="5000"/>
    <n v="0"/>
  </r>
  <r>
    <n v="437"/>
    <d v="2025-01-09T00:00:00"/>
    <s v="Акционерное общество «Управляющая компания «Первая»"/>
    <x v="0"/>
    <x v="2"/>
    <x v="6"/>
    <n v="300000"/>
    <n v="50000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9">
  <r>
    <n v="1"/>
    <d v="2026-02-17T00:00:00"/>
    <x v="0"/>
    <x v="0"/>
    <x v="0"/>
    <x v="0"/>
    <n v="700000"/>
    <n v="1000000"/>
    <n v="0"/>
  </r>
  <r>
    <n v="2"/>
    <d v="2026-02-17T00:00:00"/>
    <x v="1"/>
    <x v="0"/>
    <x v="1"/>
    <x v="0"/>
    <n v="700000"/>
    <n v="1000000"/>
    <n v="0"/>
  </r>
  <r>
    <n v="2"/>
    <d v="2026-02-17T00:00:00"/>
    <x v="1"/>
    <x v="0"/>
    <x v="2"/>
    <x v="1"/>
    <n v="300000"/>
    <n v="500000"/>
    <n v="6.6666666666666666E-2"/>
  </r>
  <r>
    <n v="3"/>
    <d v="2026-02-13T00:00:00"/>
    <x v="2"/>
    <x v="0"/>
    <x v="2"/>
    <x v="2"/>
    <n v="300000"/>
    <n v="500000"/>
    <e v="#VALUE!"/>
  </r>
  <r>
    <n v="4"/>
    <d v="2026-02-10T00:00:00"/>
    <x v="3"/>
    <x v="0"/>
    <x v="0"/>
    <x v="3"/>
    <n v="700000"/>
    <n v="1000000"/>
    <n v="1"/>
  </r>
  <r>
    <n v="5"/>
    <d v="2026-02-10T00:00:00"/>
    <x v="4"/>
    <x v="0"/>
    <x v="2"/>
    <x v="4"/>
    <n v="300000"/>
    <n v="500000"/>
    <n v="0.16666666666666666"/>
  </r>
  <r>
    <n v="6"/>
    <d v="2026-02-10T00:00:00"/>
    <x v="5"/>
    <x v="0"/>
    <x v="1"/>
    <x v="2"/>
    <n v="700000"/>
    <n v="1000000"/>
    <e v="#VALUE!"/>
  </r>
  <r>
    <n v="7"/>
    <d v="2026-02-10T00:00:00"/>
    <x v="6"/>
    <x v="0"/>
    <x v="2"/>
    <x v="2"/>
    <n v="300000"/>
    <n v="500000"/>
    <e v="#VALUE!"/>
  </r>
  <r>
    <n v="8"/>
    <d v="2026-02-10T00:00:00"/>
    <x v="7"/>
    <x v="0"/>
    <x v="3"/>
    <x v="5"/>
    <n v="500000"/>
    <n v="700000"/>
    <n v="-0.5"/>
  </r>
  <r>
    <n v="9"/>
    <d v="2026-02-09T00:00:00"/>
    <x v="8"/>
    <x v="0"/>
    <x v="2"/>
    <x v="6"/>
    <n v="300000"/>
    <n v="500000"/>
    <n v="0"/>
  </r>
  <r>
    <n v="10"/>
    <d v="2026-02-06T00:00:00"/>
    <x v="9"/>
    <x v="1"/>
    <x v="4"/>
    <x v="7"/>
    <n v="3000"/>
    <n v="5000"/>
    <n v="0"/>
  </r>
  <r>
    <n v="11"/>
    <d v="2026-02-06T00:00:00"/>
    <x v="10"/>
    <x v="2"/>
    <x v="4"/>
    <x v="8"/>
    <n v="30000"/>
    <n v="50000"/>
    <n v="0"/>
  </r>
  <r>
    <n v="12"/>
    <d v="2026-02-06T00:00:00"/>
    <x v="11"/>
    <x v="1"/>
    <x v="4"/>
    <x v="7"/>
    <n v="3000"/>
    <n v="5000"/>
    <n v="0"/>
  </r>
  <r>
    <n v="13"/>
    <d v="2026-02-03T00:00:00"/>
    <x v="12"/>
    <x v="1"/>
    <x v="4"/>
    <x v="7"/>
    <n v="3000"/>
    <n v="5000"/>
    <n v="0"/>
  </r>
  <r>
    <n v="14"/>
    <d v="2026-01-30T00:00:00"/>
    <x v="13"/>
    <x v="1"/>
    <x v="4"/>
    <x v="7"/>
    <n v="3000"/>
    <n v="5000"/>
    <n v="0"/>
  </r>
  <r>
    <n v="15"/>
    <d v="2026-01-30T00:00:00"/>
    <x v="14"/>
    <x v="1"/>
    <x v="4"/>
    <x v="7"/>
    <n v="3000"/>
    <n v="5000"/>
    <n v="0"/>
  </r>
  <r>
    <n v="16"/>
    <d v="2026-01-30T00:00:00"/>
    <x v="15"/>
    <x v="1"/>
    <x v="4"/>
    <x v="7"/>
    <n v="3000"/>
    <n v="5000"/>
    <n v="0"/>
  </r>
  <r>
    <n v="17"/>
    <d v="2026-01-30T00:00:00"/>
    <x v="16"/>
    <x v="1"/>
    <x v="4"/>
    <x v="7"/>
    <n v="3000"/>
    <n v="5000"/>
    <n v="0"/>
  </r>
  <r>
    <n v="18"/>
    <d v="2026-01-30T00:00:00"/>
    <x v="17"/>
    <x v="1"/>
    <x v="4"/>
    <x v="7"/>
    <n v="3000"/>
    <n v="5000"/>
    <n v="0"/>
  </r>
  <r>
    <n v="19"/>
    <d v="2026-01-30T00:00:00"/>
    <x v="18"/>
    <x v="1"/>
    <x v="4"/>
    <x v="7"/>
    <n v="3000"/>
    <n v="5000"/>
    <n v="0"/>
  </r>
  <r>
    <n v="20"/>
    <d v="2026-01-30T00:00:00"/>
    <x v="19"/>
    <x v="1"/>
    <x v="4"/>
    <x v="7"/>
    <n v="3000"/>
    <n v="5000"/>
    <n v="0"/>
  </r>
  <r>
    <n v="21"/>
    <d v="2026-01-27T00:00:00"/>
    <x v="20"/>
    <x v="1"/>
    <x v="4"/>
    <x v="7"/>
    <n v="3000"/>
    <n v="5000"/>
    <n v="0"/>
  </r>
  <r>
    <n v="22"/>
    <d v="2026-01-27T00:00:00"/>
    <x v="21"/>
    <x v="1"/>
    <x v="4"/>
    <x v="7"/>
    <n v="3000"/>
    <n v="5000"/>
    <n v="0"/>
  </r>
  <r>
    <n v="23"/>
    <d v="2026-01-26T00:00:00"/>
    <x v="22"/>
    <x v="1"/>
    <x v="4"/>
    <x v="7"/>
    <n v="3000"/>
    <n v="5000"/>
    <n v="0"/>
  </r>
  <r>
    <n v="24"/>
    <d v="2026-01-23T00:00:00"/>
    <x v="23"/>
    <x v="1"/>
    <x v="4"/>
    <x v="7"/>
    <n v="3000"/>
    <n v="5000"/>
    <n v="0"/>
  </r>
  <r>
    <n v="25"/>
    <d v="2026-01-23T00:00:00"/>
    <x v="24"/>
    <x v="1"/>
    <x v="4"/>
    <x v="7"/>
    <n v="3000"/>
    <n v="5000"/>
    <n v="0"/>
  </r>
  <r>
    <n v="26"/>
    <d v="2026-01-23T00:00:00"/>
    <x v="25"/>
    <x v="1"/>
    <x v="4"/>
    <x v="7"/>
    <n v="3000"/>
    <n v="5000"/>
    <n v="0"/>
  </r>
  <r>
    <n v="27"/>
    <d v="2026-01-23T00:00:00"/>
    <x v="26"/>
    <x v="1"/>
    <x v="4"/>
    <x v="7"/>
    <n v="3000"/>
    <n v="5000"/>
    <n v="0"/>
  </r>
  <r>
    <n v="28"/>
    <d v="2026-01-23T00:00:00"/>
    <x v="27"/>
    <x v="1"/>
    <x v="4"/>
    <x v="7"/>
    <n v="3000"/>
    <n v="5000"/>
    <n v="0"/>
  </r>
  <r>
    <n v="29"/>
    <d v="2026-01-23T00:00:00"/>
    <x v="28"/>
    <x v="1"/>
    <x v="4"/>
    <x v="7"/>
    <n v="3000"/>
    <n v="5000"/>
    <n v="0"/>
  </r>
  <r>
    <n v="30"/>
    <d v="2026-01-19T00:00:00"/>
    <x v="29"/>
    <x v="1"/>
    <x v="4"/>
    <x v="8"/>
    <n v="3000"/>
    <n v="5000"/>
    <n v="9"/>
  </r>
  <r>
    <n v="31"/>
    <d v="2026-01-19T00:00:00"/>
    <x v="30"/>
    <x v="1"/>
    <x v="4"/>
    <x v="8"/>
    <n v="3000"/>
    <n v="5000"/>
    <n v="9"/>
  </r>
  <r>
    <n v="32"/>
    <d v="2026-01-19T00:00:00"/>
    <x v="31"/>
    <x v="1"/>
    <x v="4"/>
    <x v="7"/>
    <n v="3000"/>
    <n v="5000"/>
    <n v="0"/>
  </r>
  <r>
    <n v="33"/>
    <d v="2026-01-19T00:00:00"/>
    <x v="32"/>
    <x v="1"/>
    <x v="4"/>
    <x v="7"/>
    <n v="3000"/>
    <n v="5000"/>
    <n v="0"/>
  </r>
  <r>
    <n v="34"/>
    <d v="2026-01-19T00:00:00"/>
    <x v="33"/>
    <x v="1"/>
    <x v="4"/>
    <x v="7"/>
    <n v="3000"/>
    <n v="5000"/>
    <n v="0"/>
  </r>
  <r>
    <n v="35"/>
    <d v="2026-01-15T00:00:00"/>
    <x v="34"/>
    <x v="0"/>
    <x v="4"/>
    <x v="0"/>
    <n v="700000"/>
    <s v="в размере суммы излишнего дохода… но не менее 700 000 рублей"/>
    <n v="0"/>
  </r>
  <r>
    <n v="36"/>
    <d v="2026-01-15T00:00:00"/>
    <x v="35"/>
    <x v="1"/>
    <x v="4"/>
    <x v="7"/>
    <n v="3000"/>
    <n v="5000"/>
    <n v="0"/>
  </r>
  <r>
    <n v="37"/>
    <d v="2026-01-13T00:00:00"/>
    <x v="36"/>
    <x v="1"/>
    <x v="4"/>
    <x v="7"/>
    <n v="3000"/>
    <n v="5000"/>
    <n v="0"/>
  </r>
  <r>
    <n v="38"/>
    <d v="2026-01-13T00:00:00"/>
    <x v="37"/>
    <x v="1"/>
    <x v="4"/>
    <x v="7"/>
    <n v="3000"/>
    <n v="5000"/>
    <n v="0"/>
  </r>
  <r>
    <n v="39"/>
    <d v="2026-01-13T00:00:00"/>
    <x v="38"/>
    <x v="1"/>
    <x v="4"/>
    <x v="7"/>
    <n v="3000"/>
    <n v="5000"/>
    <n v="0"/>
  </r>
  <r>
    <n v="40"/>
    <d v="2026-01-13T00:00:00"/>
    <x v="39"/>
    <x v="1"/>
    <x v="4"/>
    <x v="7"/>
    <n v="3000"/>
    <n v="5000"/>
    <n v="0"/>
  </r>
  <r>
    <n v="41"/>
    <d v="2026-01-13T00:00:00"/>
    <x v="40"/>
    <x v="1"/>
    <x v="4"/>
    <x v="7"/>
    <n v="3000"/>
    <n v="5000"/>
    <n v="0"/>
  </r>
  <r>
    <n v="42"/>
    <d v="2026-01-13T00:00:00"/>
    <x v="41"/>
    <x v="1"/>
    <x v="4"/>
    <x v="7"/>
    <n v="3000"/>
    <n v="5000"/>
    <n v="0"/>
  </r>
  <r>
    <n v="43"/>
    <d v="2026-01-13T00:00:00"/>
    <x v="42"/>
    <x v="1"/>
    <x v="4"/>
    <x v="7"/>
    <n v="3000"/>
    <n v="5000"/>
    <n v="0"/>
  </r>
  <r>
    <n v="44"/>
    <d v="2026-01-13T00:00:00"/>
    <x v="43"/>
    <x v="1"/>
    <x v="4"/>
    <x v="7"/>
    <n v="3000"/>
    <n v="5000"/>
    <n v="0"/>
  </r>
  <r>
    <n v="45"/>
    <d v="2026-01-13T00:00:00"/>
    <x v="44"/>
    <x v="1"/>
    <x v="4"/>
    <x v="7"/>
    <n v="3000"/>
    <n v="5000"/>
    <n v="0"/>
  </r>
  <r>
    <n v="46"/>
    <d v="2026-01-13T00:00:00"/>
    <x v="45"/>
    <x v="1"/>
    <x v="4"/>
    <x v="7"/>
    <n v="3000"/>
    <n v="5000"/>
    <n v="0"/>
  </r>
  <r>
    <n v="47"/>
    <d v="2026-01-13T00:00:00"/>
    <x v="46"/>
    <x v="1"/>
    <x v="4"/>
    <x v="7"/>
    <n v="3000"/>
    <n v="5000"/>
    <n v="0"/>
  </r>
  <r>
    <n v="48"/>
    <d v="2026-01-13T00:00:00"/>
    <x v="3"/>
    <x v="0"/>
    <x v="0"/>
    <x v="3"/>
    <n v="700000"/>
    <n v="1000000"/>
    <n v="1"/>
  </r>
  <r>
    <n v="49"/>
    <d v="2026-01-13T00:00:00"/>
    <x v="47"/>
    <x v="0"/>
    <x v="5"/>
    <x v="5"/>
    <n v="500000"/>
    <n v="700000"/>
    <n v="-0.5"/>
  </r>
  <r>
    <n v="50"/>
    <d v="2026-01-13T00:00:00"/>
    <x v="48"/>
    <x v="0"/>
    <x v="5"/>
    <x v="5"/>
    <n v="500000"/>
    <n v="700000"/>
    <n v="-0.5"/>
  </r>
  <r>
    <n v="51"/>
    <d v="2026-01-13T00:00:00"/>
    <x v="49"/>
    <x v="0"/>
    <x v="6"/>
    <x v="4"/>
    <n v="500000"/>
    <n v="700000"/>
    <n v="-0.3"/>
  </r>
  <r>
    <n v="52"/>
    <d v="2026-01-13T00:00:00"/>
    <x v="50"/>
    <x v="0"/>
    <x v="6"/>
    <x v="2"/>
    <n v="500000"/>
    <n v="700000"/>
    <e v="#VALUE!"/>
  </r>
  <r>
    <n v="53"/>
    <d v="2026-01-13T00:00:00"/>
    <x v="51"/>
    <x v="0"/>
    <x v="2"/>
    <x v="2"/>
    <n v="300000"/>
    <n v="500000"/>
    <e v="#VALUE!"/>
  </r>
  <r>
    <n v="54"/>
    <d v="2026-01-13T00:00:00"/>
    <x v="52"/>
    <x v="0"/>
    <x v="0"/>
    <x v="4"/>
    <n v="700000"/>
    <n v="1000000"/>
    <n v="-0.5"/>
  </r>
  <r>
    <n v="54"/>
    <d v="2026-01-13T00:00:00"/>
    <x v="52"/>
    <x v="0"/>
    <x v="2"/>
    <x v="9"/>
    <n v="300000"/>
    <n v="500000"/>
    <n v="-0.5"/>
  </r>
  <r>
    <n v="55"/>
    <d v="2026-01-13T00:00:00"/>
    <x v="53"/>
    <x v="0"/>
    <x v="0"/>
    <x v="0"/>
    <n v="700000"/>
    <n v="1000000"/>
    <n v="0"/>
  </r>
  <r>
    <n v="56"/>
    <d v="2026-01-13T00:00:00"/>
    <x v="7"/>
    <x v="0"/>
    <x v="7"/>
    <x v="2"/>
    <n v="700000"/>
    <n v="1000000"/>
    <e v="#VALUE!"/>
  </r>
  <r>
    <n v="57"/>
    <d v="2026-01-13T00:00:00"/>
    <x v="54"/>
    <x v="0"/>
    <x v="7"/>
    <x v="2"/>
    <n v="700000"/>
    <n v="1000000"/>
    <e v="#VALUE!"/>
  </r>
  <r>
    <n v="58"/>
    <d v="2026-01-13T00:00:00"/>
    <x v="55"/>
    <x v="0"/>
    <x v="8"/>
    <x v="10"/>
    <n v="500000"/>
    <n v="700000"/>
    <n v="0"/>
  </r>
  <r>
    <n v="59"/>
    <d v="2026-01-13T00:00:00"/>
    <x v="56"/>
    <x v="0"/>
    <x v="7"/>
    <x v="0"/>
    <n v="700000"/>
    <n v="1000000"/>
    <n v="0"/>
  </r>
  <r>
    <n v="60"/>
    <d v="2026-01-13T00:00:00"/>
    <x v="57"/>
    <x v="0"/>
    <x v="2"/>
    <x v="11"/>
    <n v="300000"/>
    <n v="500000"/>
    <n v="0.33333333333333331"/>
  </r>
  <r>
    <n v="61"/>
    <d v="2025-12-30T00:00:00"/>
    <x v="58"/>
    <x v="0"/>
    <x v="6"/>
    <x v="0"/>
    <n v="500000"/>
    <n v="700000"/>
    <n v="1"/>
  </r>
  <r>
    <n v="62"/>
    <d v="2025-12-30T00:00:00"/>
    <x v="59"/>
    <x v="1"/>
    <x v="4"/>
    <x v="7"/>
    <n v="3000"/>
    <n v="5000"/>
    <n v="0"/>
  </r>
  <r>
    <n v="63"/>
    <d v="2025-12-30T00:00:00"/>
    <x v="60"/>
    <x v="0"/>
    <x v="6"/>
    <x v="0"/>
    <n v="500000"/>
    <n v="700000"/>
    <n v="1"/>
  </r>
  <r>
    <n v="64"/>
    <d v="2025-12-30T00:00:00"/>
    <x v="61"/>
    <x v="1"/>
    <x v="4"/>
    <x v="7"/>
    <n v="3000"/>
    <n v="5000"/>
    <n v="0"/>
  </r>
  <r>
    <n v="65"/>
    <d v="2025-12-29T00:00:00"/>
    <x v="62"/>
    <x v="0"/>
    <x v="8"/>
    <x v="2"/>
    <n v="500000"/>
    <n v="700000"/>
    <e v="#VALUE!"/>
  </r>
  <r>
    <n v="66"/>
    <d v="2025-12-23T00:00:00"/>
    <x v="63"/>
    <x v="1"/>
    <x v="4"/>
    <x v="7"/>
    <n v="3000"/>
    <n v="5000"/>
    <n v="0"/>
  </r>
  <r>
    <n v="67"/>
    <d v="2025-12-23T00:00:00"/>
    <x v="64"/>
    <x v="1"/>
    <x v="4"/>
    <x v="7"/>
    <n v="3000"/>
    <n v="5000"/>
    <n v="0"/>
  </r>
  <r>
    <n v="68"/>
    <d v="2025-12-23T00:00:00"/>
    <x v="65"/>
    <x v="1"/>
    <x v="4"/>
    <x v="8"/>
    <n v="3000"/>
    <n v="5000"/>
    <n v="9"/>
  </r>
  <r>
    <n v="69"/>
    <d v="2025-12-23T00:00:00"/>
    <x v="66"/>
    <x v="0"/>
    <x v="5"/>
    <x v="5"/>
    <n v="500000"/>
    <n v="700000"/>
    <n v="-0.5"/>
  </r>
  <r>
    <n v="70"/>
    <d v="2025-12-23T00:00:00"/>
    <x v="67"/>
    <x v="0"/>
    <x v="1"/>
    <x v="0"/>
    <n v="700000"/>
    <n v="1000000"/>
    <n v="0"/>
  </r>
  <r>
    <n v="71"/>
    <d v="2025-12-23T00:00:00"/>
    <x v="68"/>
    <x v="0"/>
    <x v="2"/>
    <x v="9"/>
    <n v="300000"/>
    <n v="500000"/>
    <n v="-0.5"/>
  </r>
  <r>
    <n v="71"/>
    <d v="2025-12-23T00:00:00"/>
    <x v="68"/>
    <x v="0"/>
    <x v="1"/>
    <x v="4"/>
    <n v="700000"/>
    <n v="1000000"/>
    <n v="-0.5"/>
  </r>
  <r>
    <n v="72"/>
    <d v="2025-12-19T00:00:00"/>
    <x v="69"/>
    <x v="0"/>
    <x v="4"/>
    <x v="4"/>
    <n v="700000"/>
    <s v="в размере суммы излишнего дохода… но не менее 700 000 рублей"/>
    <n v="-0.5"/>
  </r>
  <r>
    <n v="73"/>
    <d v="2025-12-19T00:00:00"/>
    <x v="70"/>
    <x v="1"/>
    <x v="4"/>
    <x v="7"/>
    <n v="3000"/>
    <n v="5000"/>
    <n v="0"/>
  </r>
  <r>
    <n v="74"/>
    <d v="2025-12-19T00:00:00"/>
    <x v="71"/>
    <x v="1"/>
    <x v="4"/>
    <x v="7"/>
    <n v="3000"/>
    <n v="5000"/>
    <n v="0"/>
  </r>
  <r>
    <n v="75"/>
    <d v="2025-12-19T00:00:00"/>
    <x v="72"/>
    <x v="0"/>
    <x v="2"/>
    <x v="2"/>
    <n v="300000"/>
    <n v="500000"/>
    <e v="#VALUE!"/>
  </r>
  <r>
    <n v="76"/>
    <d v="2025-12-16T00:00:00"/>
    <x v="73"/>
    <x v="0"/>
    <x v="4"/>
    <x v="4"/>
    <n v="700000"/>
    <s v="в размере суммы излишнего дохода… но не менее 700 000 рублей"/>
    <n v="-0.5"/>
  </r>
  <r>
    <n v="77"/>
    <d v="2025-12-16T00:00:00"/>
    <x v="74"/>
    <x v="0"/>
    <x v="9"/>
    <x v="10"/>
    <n v="500000"/>
    <n v="700000"/>
    <n v="0"/>
  </r>
  <r>
    <n v="78"/>
    <d v="2025-12-16T00:00:00"/>
    <x v="75"/>
    <x v="0"/>
    <x v="6"/>
    <x v="10"/>
    <n v="500000"/>
    <n v="700000"/>
    <n v="0"/>
  </r>
  <r>
    <n v="79"/>
    <d v="2025-12-16T00:00:00"/>
    <x v="76"/>
    <x v="0"/>
    <x v="8"/>
    <x v="2"/>
    <n v="500000"/>
    <n v="700000"/>
    <e v="#VALUE!"/>
  </r>
  <r>
    <n v="80"/>
    <d v="2025-12-15T00:00:00"/>
    <x v="77"/>
    <x v="0"/>
    <x v="2"/>
    <x v="2"/>
    <n v="300000"/>
    <n v="500000"/>
    <e v="#VALUE!"/>
  </r>
  <r>
    <n v="81"/>
    <d v="2025-12-12T00:00:00"/>
    <x v="78"/>
    <x v="1"/>
    <x v="4"/>
    <x v="7"/>
    <n v="3000"/>
    <n v="5000"/>
    <n v="0"/>
  </r>
  <r>
    <n v="82"/>
    <d v="2025-12-11T00:00:00"/>
    <x v="79"/>
    <x v="1"/>
    <x v="4"/>
    <x v="7"/>
    <n v="3000"/>
    <n v="5000"/>
    <n v="0"/>
  </r>
  <r>
    <n v="83"/>
    <d v="2025-12-10T00:00:00"/>
    <x v="80"/>
    <x v="1"/>
    <x v="4"/>
    <x v="7"/>
    <n v="3000"/>
    <n v="5000"/>
    <n v="0"/>
  </r>
  <r>
    <n v="84"/>
    <d v="2025-12-09T00:00:00"/>
    <x v="81"/>
    <x v="0"/>
    <x v="2"/>
    <x v="2"/>
    <n v="300000"/>
    <n v="500000"/>
    <e v="#VALUE!"/>
  </r>
  <r>
    <n v="85"/>
    <d v="2025-12-08T00:00:00"/>
    <x v="82"/>
    <x v="1"/>
    <x v="4"/>
    <x v="7"/>
    <n v="3000"/>
    <n v="5000"/>
    <n v="0"/>
  </r>
  <r>
    <n v="86"/>
    <d v="2025-12-08T00:00:00"/>
    <x v="83"/>
    <x v="1"/>
    <x v="4"/>
    <x v="7"/>
    <n v="3000"/>
    <n v="5000"/>
    <n v="0"/>
  </r>
  <r>
    <n v="87"/>
    <d v="2025-12-05T00:00:00"/>
    <x v="84"/>
    <x v="0"/>
    <x v="0"/>
    <x v="0"/>
    <n v="700000"/>
    <n v="1000000"/>
    <n v="0"/>
  </r>
  <r>
    <n v="88"/>
    <d v="2025-12-05T00:00:00"/>
    <x v="85"/>
    <x v="0"/>
    <x v="0"/>
    <x v="0"/>
    <n v="700000"/>
    <n v="1000000"/>
    <n v="0"/>
  </r>
  <r>
    <n v="89"/>
    <d v="2025-12-02T00:00:00"/>
    <x v="55"/>
    <x v="0"/>
    <x v="7"/>
    <x v="0"/>
    <n v="700000"/>
    <n v="1000000"/>
    <n v="0"/>
  </r>
  <r>
    <n v="90"/>
    <d v="2025-11-28T00:00:00"/>
    <x v="86"/>
    <x v="0"/>
    <x v="10"/>
    <x v="12"/>
    <n v="10000"/>
    <n v="20000"/>
    <n v="0"/>
  </r>
  <r>
    <n v="91"/>
    <d v="2025-11-25T00:00:00"/>
    <x v="55"/>
    <x v="0"/>
    <x v="6"/>
    <x v="0"/>
    <n v="500000"/>
    <n v="700000"/>
    <n v="1"/>
  </r>
  <r>
    <n v="92"/>
    <d v="2025-11-25T00:00:00"/>
    <x v="87"/>
    <x v="0"/>
    <x v="7"/>
    <x v="0"/>
    <n v="700000"/>
    <n v="1000000"/>
    <n v="0"/>
  </r>
  <r>
    <n v="93"/>
    <d v="2025-11-25T00:00:00"/>
    <x v="88"/>
    <x v="0"/>
    <x v="7"/>
    <x v="0"/>
    <n v="700000"/>
    <n v="1000000"/>
    <n v="0"/>
  </r>
  <r>
    <n v="94"/>
    <d v="2025-11-25T00:00:00"/>
    <x v="89"/>
    <x v="0"/>
    <x v="2"/>
    <x v="13"/>
    <n v="300000"/>
    <n v="500000"/>
    <n v="-0.46666666666666667"/>
  </r>
  <r>
    <n v="95"/>
    <d v="2025-11-24T00:00:00"/>
    <x v="90"/>
    <x v="1"/>
    <x v="4"/>
    <x v="7"/>
    <n v="3000"/>
    <n v="5000"/>
    <n v="0"/>
  </r>
  <r>
    <n v="96"/>
    <d v="2025-11-24T00:00:00"/>
    <x v="91"/>
    <x v="1"/>
    <x v="4"/>
    <x v="7"/>
    <n v="3000"/>
    <n v="5000"/>
    <n v="0"/>
  </r>
  <r>
    <n v="97"/>
    <d v="2025-11-24T00:00:00"/>
    <x v="92"/>
    <x v="0"/>
    <x v="2"/>
    <x v="2"/>
    <n v="300000"/>
    <n v="500000"/>
    <e v="#VALUE!"/>
  </r>
  <r>
    <n v="98"/>
    <d v="2025-11-24T00:00:00"/>
    <x v="93"/>
    <x v="0"/>
    <x v="7"/>
    <x v="4"/>
    <n v="700000"/>
    <n v="1000000"/>
    <n v="-0.5"/>
  </r>
  <r>
    <n v="98"/>
    <d v="2025-11-24T00:00:00"/>
    <x v="93"/>
    <x v="0"/>
    <x v="7"/>
    <x v="4"/>
    <n v="700000"/>
    <n v="1000000"/>
    <n v="-0.5"/>
  </r>
  <r>
    <n v="99"/>
    <d v="2025-11-22T00:00:00"/>
    <x v="94"/>
    <x v="0"/>
    <x v="6"/>
    <x v="2"/>
    <n v="500000"/>
    <n v="700000"/>
    <e v="#VALUE!"/>
  </r>
  <r>
    <n v="100"/>
    <d v="2025-11-21T00:00:00"/>
    <x v="95"/>
    <x v="0"/>
    <x v="5"/>
    <x v="5"/>
    <n v="500000"/>
    <n v="700000"/>
    <n v="-0.5"/>
  </r>
  <r>
    <n v="101"/>
    <d v="2025-11-21T00:00:00"/>
    <x v="96"/>
    <x v="0"/>
    <x v="0"/>
    <x v="0"/>
    <n v="700000"/>
    <n v="1000000"/>
    <n v="0"/>
  </r>
  <r>
    <n v="102"/>
    <d v="2025-11-18T00:00:00"/>
    <x v="97"/>
    <x v="1"/>
    <x v="4"/>
    <x v="7"/>
    <n v="3000"/>
    <n v="5000"/>
    <n v="0"/>
  </r>
  <r>
    <n v="103"/>
    <d v="2025-11-18T00:00:00"/>
    <x v="98"/>
    <x v="1"/>
    <x v="4"/>
    <x v="7"/>
    <n v="3000"/>
    <n v="5000"/>
    <n v="0"/>
  </r>
  <r>
    <n v="104"/>
    <d v="2025-11-18T00:00:00"/>
    <x v="99"/>
    <x v="1"/>
    <x v="4"/>
    <x v="7"/>
    <n v="3000"/>
    <n v="5000"/>
    <n v="0"/>
  </r>
  <r>
    <n v="105"/>
    <d v="2025-11-18T00:00:00"/>
    <x v="100"/>
    <x v="1"/>
    <x v="4"/>
    <x v="7"/>
    <n v="3000"/>
    <n v="5000"/>
    <n v="0"/>
  </r>
  <r>
    <n v="106"/>
    <d v="2025-11-18T00:00:00"/>
    <x v="101"/>
    <x v="1"/>
    <x v="4"/>
    <x v="7"/>
    <n v="3000"/>
    <n v="5000"/>
    <n v="0"/>
  </r>
  <r>
    <n v="107"/>
    <d v="2025-11-18T00:00:00"/>
    <x v="102"/>
    <x v="1"/>
    <x v="4"/>
    <x v="7"/>
    <n v="3000"/>
    <n v="5000"/>
    <n v="0"/>
  </r>
  <r>
    <n v="108"/>
    <d v="2025-11-18T00:00:00"/>
    <x v="103"/>
    <x v="1"/>
    <x v="4"/>
    <x v="7"/>
    <n v="3000"/>
    <n v="5000"/>
    <n v="0"/>
  </r>
  <r>
    <n v="109"/>
    <d v="2025-11-14T00:00:00"/>
    <x v="104"/>
    <x v="1"/>
    <x v="4"/>
    <x v="7"/>
    <n v="3000"/>
    <n v="5000"/>
    <n v="0"/>
  </r>
  <r>
    <n v="110"/>
    <d v="2025-11-14T00:00:00"/>
    <x v="105"/>
    <x v="1"/>
    <x v="4"/>
    <x v="7"/>
    <n v="3000"/>
    <n v="5000"/>
    <n v="0"/>
  </r>
  <r>
    <n v="111"/>
    <d v="2025-11-13T00:00:00"/>
    <x v="106"/>
    <x v="1"/>
    <x v="4"/>
    <x v="7"/>
    <n v="3000"/>
    <n v="5000"/>
    <n v="0"/>
  </r>
  <r>
    <n v="112"/>
    <d v="2025-11-12T00:00:00"/>
    <x v="107"/>
    <x v="1"/>
    <x v="4"/>
    <x v="7"/>
    <n v="3000"/>
    <n v="5000"/>
    <n v="0"/>
  </r>
  <r>
    <n v="113"/>
    <d v="2025-11-12T00:00:00"/>
    <x v="108"/>
    <x v="1"/>
    <x v="4"/>
    <x v="7"/>
    <n v="3000"/>
    <n v="5000"/>
    <n v="0"/>
  </r>
  <r>
    <n v="114"/>
    <d v="2025-11-12T00:00:00"/>
    <x v="109"/>
    <x v="1"/>
    <x v="4"/>
    <x v="7"/>
    <n v="3000"/>
    <n v="5000"/>
    <n v="0"/>
  </r>
  <r>
    <n v="115"/>
    <d v="2025-11-11T00:00:00"/>
    <x v="110"/>
    <x v="1"/>
    <x v="4"/>
    <x v="7"/>
    <n v="3000"/>
    <n v="5000"/>
    <n v="0"/>
  </r>
  <r>
    <n v="116"/>
    <d v="2025-11-11T00:00:00"/>
    <x v="111"/>
    <x v="1"/>
    <x v="4"/>
    <x v="7"/>
    <n v="3000"/>
    <n v="5000"/>
    <n v="0"/>
  </r>
  <r>
    <n v="117"/>
    <d v="2025-11-11T00:00:00"/>
    <x v="112"/>
    <x v="1"/>
    <x v="4"/>
    <x v="7"/>
    <n v="3000"/>
    <n v="5000"/>
    <n v="0"/>
  </r>
  <r>
    <n v="118"/>
    <d v="2025-11-11T00:00:00"/>
    <x v="113"/>
    <x v="1"/>
    <x v="4"/>
    <x v="7"/>
    <n v="3000"/>
    <n v="5000"/>
    <n v="0"/>
  </r>
  <r>
    <n v="119"/>
    <d v="2025-11-11T00:00:00"/>
    <x v="60"/>
    <x v="0"/>
    <x v="11"/>
    <x v="14"/>
    <n v="30000"/>
    <n v="50000"/>
    <n v="1"/>
  </r>
  <r>
    <n v="119"/>
    <d v="2025-11-11T00:00:00"/>
    <x v="60"/>
    <x v="0"/>
    <x v="12"/>
    <x v="15"/>
    <n v="10000"/>
    <n v="20000"/>
    <n v="1"/>
  </r>
  <r>
    <n v="119"/>
    <d v="2025-11-11T00:00:00"/>
    <x v="60"/>
    <x v="0"/>
    <x v="12"/>
    <x v="15"/>
    <n v="10000"/>
    <n v="20000"/>
    <n v="1"/>
  </r>
  <r>
    <n v="120"/>
    <d v="2025-11-11T00:00:00"/>
    <x v="93"/>
    <x v="0"/>
    <x v="2"/>
    <x v="9"/>
    <n v="300000"/>
    <n v="500000"/>
    <n v="-0.5"/>
  </r>
  <r>
    <n v="121"/>
    <d v="2025-11-11T00:00:00"/>
    <x v="114"/>
    <x v="0"/>
    <x v="8"/>
    <x v="16"/>
    <n v="500000"/>
    <n v="700000"/>
    <n v="0.1"/>
  </r>
  <r>
    <n v="122"/>
    <d v="2025-11-11T00:00:00"/>
    <x v="115"/>
    <x v="0"/>
    <x v="0"/>
    <x v="4"/>
    <n v="700000"/>
    <n v="1000000"/>
    <n v="-0.5"/>
  </r>
  <r>
    <n v="122"/>
    <d v="2025-11-11T00:00:00"/>
    <x v="115"/>
    <x v="0"/>
    <x v="0"/>
    <x v="4"/>
    <n v="700000"/>
    <n v="1000000"/>
    <n v="-0.5"/>
  </r>
  <r>
    <n v="122"/>
    <d v="2025-11-11T00:00:00"/>
    <x v="115"/>
    <x v="0"/>
    <x v="0"/>
    <x v="4"/>
    <n v="700000"/>
    <n v="1000000"/>
    <n v="-0.5"/>
  </r>
  <r>
    <n v="122"/>
    <d v="2025-11-11T00:00:00"/>
    <x v="115"/>
    <x v="0"/>
    <x v="0"/>
    <x v="4"/>
    <n v="700000"/>
    <n v="1000000"/>
    <n v="-0.5"/>
  </r>
  <r>
    <n v="122"/>
    <d v="2025-11-11T00:00:00"/>
    <x v="115"/>
    <x v="0"/>
    <x v="0"/>
    <x v="4"/>
    <n v="700000"/>
    <n v="1000000"/>
    <n v="-0.5"/>
  </r>
  <r>
    <n v="122"/>
    <d v="2025-11-11T00:00:00"/>
    <x v="115"/>
    <x v="0"/>
    <x v="0"/>
    <x v="4"/>
    <n v="700000"/>
    <n v="1000000"/>
    <n v="-0.5"/>
  </r>
  <r>
    <n v="122"/>
    <d v="2025-11-11T00:00:00"/>
    <x v="115"/>
    <x v="0"/>
    <x v="0"/>
    <x v="4"/>
    <n v="700000"/>
    <n v="1000000"/>
    <n v="-0.5"/>
  </r>
  <r>
    <n v="123"/>
    <d v="2025-11-11T00:00:00"/>
    <x v="67"/>
    <x v="0"/>
    <x v="1"/>
    <x v="0"/>
    <n v="700000"/>
    <n v="1000000"/>
    <n v="0"/>
  </r>
  <r>
    <n v="124"/>
    <d v="2025-11-10T00:00:00"/>
    <x v="35"/>
    <x v="1"/>
    <x v="4"/>
    <x v="7"/>
    <n v="3000"/>
    <n v="5000"/>
    <n v="0"/>
  </r>
  <r>
    <n v="125"/>
    <d v="2025-11-10T00:00:00"/>
    <x v="116"/>
    <x v="1"/>
    <x v="4"/>
    <x v="7"/>
    <n v="3000"/>
    <n v="5000"/>
    <n v="0"/>
  </r>
  <r>
    <n v="126"/>
    <d v="2025-11-10T00:00:00"/>
    <x v="117"/>
    <x v="1"/>
    <x v="4"/>
    <x v="7"/>
    <n v="3000"/>
    <n v="5000"/>
    <n v="0"/>
  </r>
  <r>
    <n v="127"/>
    <d v="2025-11-10T00:00:00"/>
    <x v="118"/>
    <x v="1"/>
    <x v="4"/>
    <x v="7"/>
    <n v="3000"/>
    <n v="5000"/>
    <n v="0"/>
  </r>
  <r>
    <n v="128"/>
    <d v="2025-11-07T00:00:00"/>
    <x v="119"/>
    <x v="0"/>
    <x v="6"/>
    <x v="0"/>
    <n v="500000"/>
    <n v="700000"/>
    <n v="1"/>
  </r>
  <r>
    <n v="129"/>
    <d v="2025-11-07T00:00:00"/>
    <x v="120"/>
    <x v="1"/>
    <x v="4"/>
    <x v="7"/>
    <n v="3000"/>
    <n v="5000"/>
    <n v="0"/>
  </r>
  <r>
    <n v="130"/>
    <d v="2025-11-07T00:00:00"/>
    <x v="121"/>
    <x v="1"/>
    <x v="4"/>
    <x v="7"/>
    <n v="3000"/>
    <n v="5000"/>
    <n v="0"/>
  </r>
  <r>
    <n v="131"/>
    <d v="2025-11-07T00:00:00"/>
    <x v="122"/>
    <x v="1"/>
    <x v="4"/>
    <x v="7"/>
    <n v="3000"/>
    <n v="5000"/>
    <n v="0"/>
  </r>
  <r>
    <n v="132"/>
    <d v="2025-11-07T00:00:00"/>
    <x v="123"/>
    <x v="1"/>
    <x v="4"/>
    <x v="7"/>
    <n v="3000"/>
    <n v="5000"/>
    <n v="0"/>
  </r>
  <r>
    <n v="133"/>
    <d v="2025-11-07T00:00:00"/>
    <x v="124"/>
    <x v="0"/>
    <x v="10"/>
    <x v="12"/>
    <n v="10000"/>
    <n v="20000"/>
    <n v="0"/>
  </r>
  <r>
    <n v="134"/>
    <d v="2025-11-06T00:00:00"/>
    <x v="125"/>
    <x v="1"/>
    <x v="4"/>
    <x v="7"/>
    <n v="3000"/>
    <n v="5000"/>
    <n v="0"/>
  </r>
  <r>
    <n v="135"/>
    <d v="2025-11-06T00:00:00"/>
    <x v="126"/>
    <x v="1"/>
    <x v="4"/>
    <x v="7"/>
    <n v="3000"/>
    <n v="5000"/>
    <n v="0"/>
  </r>
  <r>
    <n v="136"/>
    <d v="2025-11-06T00:00:00"/>
    <x v="127"/>
    <x v="1"/>
    <x v="4"/>
    <x v="7"/>
    <n v="3000"/>
    <n v="5000"/>
    <n v="0"/>
  </r>
  <r>
    <n v="137"/>
    <d v="2025-11-05T00:00:00"/>
    <x v="128"/>
    <x v="1"/>
    <x v="4"/>
    <x v="7"/>
    <n v="3000"/>
    <n v="5000"/>
    <n v="0"/>
  </r>
  <r>
    <n v="138"/>
    <d v="2025-11-05T00:00:00"/>
    <x v="129"/>
    <x v="1"/>
    <x v="4"/>
    <x v="7"/>
    <n v="3000"/>
    <n v="5000"/>
    <n v="0"/>
  </r>
  <r>
    <n v="139"/>
    <d v="2025-11-05T00:00:00"/>
    <x v="130"/>
    <x v="1"/>
    <x v="4"/>
    <x v="7"/>
    <n v="3000"/>
    <n v="5000"/>
    <n v="0"/>
  </r>
  <r>
    <n v="140"/>
    <d v="2025-11-05T00:00:00"/>
    <x v="131"/>
    <x v="0"/>
    <x v="0"/>
    <x v="2"/>
    <n v="700000"/>
    <n v="1000000"/>
    <e v="#VALUE!"/>
  </r>
  <r>
    <n v="141"/>
    <d v="2025-11-01T00:00:00"/>
    <x v="132"/>
    <x v="1"/>
    <x v="4"/>
    <x v="7"/>
    <n v="3000"/>
    <n v="5000"/>
    <n v="0"/>
  </r>
  <r>
    <n v="142"/>
    <d v="2025-10-31T00:00:00"/>
    <x v="133"/>
    <x v="1"/>
    <x v="4"/>
    <x v="7"/>
    <n v="3000"/>
    <n v="5000"/>
    <n v="0"/>
  </r>
  <r>
    <n v="143"/>
    <d v="2025-10-31T00:00:00"/>
    <x v="134"/>
    <x v="1"/>
    <x v="4"/>
    <x v="7"/>
    <n v="3000"/>
    <n v="5000"/>
    <n v="0"/>
  </r>
  <r>
    <n v="144"/>
    <d v="2025-10-31T00:00:00"/>
    <x v="135"/>
    <x v="1"/>
    <x v="4"/>
    <x v="7"/>
    <n v="3000"/>
    <n v="5000"/>
    <n v="0"/>
  </r>
  <r>
    <n v="145"/>
    <d v="2025-10-31T00:00:00"/>
    <x v="136"/>
    <x v="1"/>
    <x v="4"/>
    <x v="7"/>
    <n v="3000"/>
    <n v="5000"/>
    <n v="0"/>
  </r>
  <r>
    <n v="146"/>
    <d v="2025-10-31T00:00:00"/>
    <x v="137"/>
    <x v="1"/>
    <x v="4"/>
    <x v="7"/>
    <n v="3000"/>
    <n v="5000"/>
    <n v="0"/>
  </r>
  <r>
    <n v="147"/>
    <d v="2025-10-31T00:00:00"/>
    <x v="138"/>
    <x v="1"/>
    <x v="4"/>
    <x v="7"/>
    <n v="3000"/>
    <n v="5000"/>
    <n v="0"/>
  </r>
  <r>
    <n v="149"/>
    <d v="2025-10-28T00:00:00"/>
    <x v="139"/>
    <x v="0"/>
    <x v="2"/>
    <x v="2"/>
    <n v="300000"/>
    <n v="500000"/>
    <e v="#VALUE!"/>
  </r>
  <r>
    <n v="150"/>
    <d v="2025-10-28T00:00:00"/>
    <x v="140"/>
    <x v="0"/>
    <x v="0"/>
    <x v="2"/>
    <n v="700000"/>
    <n v="1000000"/>
    <e v="#VALUE!"/>
  </r>
  <r>
    <n v="151"/>
    <d v="2025-10-28T00:00:00"/>
    <x v="141"/>
    <x v="0"/>
    <x v="6"/>
    <x v="2"/>
    <n v="500000"/>
    <n v="700000"/>
    <e v="#VALUE!"/>
  </r>
  <r>
    <n v="152"/>
    <d v="2025-10-28T00:00:00"/>
    <x v="142"/>
    <x v="0"/>
    <x v="2"/>
    <x v="6"/>
    <n v="300000"/>
    <n v="500000"/>
    <n v="0"/>
  </r>
  <r>
    <n v="153"/>
    <d v="2025-10-28T00:00:00"/>
    <x v="143"/>
    <x v="1"/>
    <x v="4"/>
    <x v="7"/>
    <n v="3000"/>
    <n v="5000"/>
    <n v="0"/>
  </r>
  <r>
    <n v="154"/>
    <d v="2025-10-28T00:00:00"/>
    <x v="144"/>
    <x v="1"/>
    <x v="4"/>
    <x v="7"/>
    <n v="3000"/>
    <n v="5000"/>
    <n v="0"/>
  </r>
  <r>
    <n v="155"/>
    <d v="2025-10-28T00:00:00"/>
    <x v="145"/>
    <x v="1"/>
    <x v="4"/>
    <x v="7"/>
    <n v="3000"/>
    <n v="5000"/>
    <n v="0"/>
  </r>
  <r>
    <n v="156"/>
    <d v="2025-10-28T00:00:00"/>
    <x v="146"/>
    <x v="0"/>
    <x v="2"/>
    <x v="5"/>
    <n v="300000"/>
    <n v="500000"/>
    <n v="-0.16666666666666666"/>
  </r>
  <r>
    <n v="157"/>
    <d v="2025-10-27T00:00:00"/>
    <x v="147"/>
    <x v="0"/>
    <x v="5"/>
    <x v="6"/>
    <n v="500000"/>
    <n v="700000"/>
    <n v="-0.4"/>
  </r>
  <r>
    <n v="158"/>
    <d v="2025-10-27T00:00:00"/>
    <x v="148"/>
    <x v="0"/>
    <x v="6"/>
    <x v="2"/>
    <n v="500000"/>
    <n v="700000"/>
    <e v="#VALUE!"/>
  </r>
  <r>
    <n v="159"/>
    <d v="2025-10-27T00:00:00"/>
    <x v="149"/>
    <x v="0"/>
    <x v="6"/>
    <x v="2"/>
    <n v="500000"/>
    <n v="700000"/>
    <e v="#VALUE!"/>
  </r>
  <r>
    <n v="160"/>
    <d v="2025-10-27T00:00:00"/>
    <x v="150"/>
    <x v="1"/>
    <x v="4"/>
    <x v="7"/>
    <n v="3000"/>
    <n v="5000"/>
    <n v="0"/>
  </r>
  <r>
    <n v="161"/>
    <d v="2025-10-27T00:00:00"/>
    <x v="151"/>
    <x v="1"/>
    <x v="4"/>
    <x v="7"/>
    <n v="3000"/>
    <n v="5000"/>
    <n v="0"/>
  </r>
  <r>
    <n v="162"/>
    <d v="2025-10-27T00:00:00"/>
    <x v="68"/>
    <x v="0"/>
    <x v="2"/>
    <x v="9"/>
    <n v="300000"/>
    <n v="500000"/>
    <n v="-0.5"/>
  </r>
  <r>
    <n v="163"/>
    <d v="2025-10-27T00:00:00"/>
    <x v="152"/>
    <x v="1"/>
    <x v="4"/>
    <x v="7"/>
    <n v="3000"/>
    <n v="5000"/>
    <n v="0"/>
  </r>
  <r>
    <n v="164"/>
    <d v="2025-10-27T00:00:00"/>
    <x v="153"/>
    <x v="1"/>
    <x v="4"/>
    <x v="7"/>
    <n v="3000"/>
    <n v="5000"/>
    <n v="0"/>
  </r>
  <r>
    <n v="165"/>
    <d v="2025-10-24T00:00:00"/>
    <x v="154"/>
    <x v="1"/>
    <x v="4"/>
    <x v="7"/>
    <n v="3000"/>
    <n v="5000"/>
    <n v="0"/>
  </r>
  <r>
    <n v="166"/>
    <d v="2025-10-24T00:00:00"/>
    <x v="155"/>
    <x v="1"/>
    <x v="4"/>
    <x v="7"/>
    <n v="3000"/>
    <n v="5000"/>
    <n v="0"/>
  </r>
  <r>
    <n v="167"/>
    <d v="2025-10-24T00:00:00"/>
    <x v="156"/>
    <x v="1"/>
    <x v="4"/>
    <x v="7"/>
    <n v="3000"/>
    <n v="5000"/>
    <n v="0"/>
  </r>
  <r>
    <n v="168"/>
    <d v="2025-10-21T00:00:00"/>
    <x v="157"/>
    <x v="1"/>
    <x v="4"/>
    <x v="7"/>
    <n v="3000"/>
    <n v="5000"/>
    <n v="0"/>
  </r>
  <r>
    <n v="169"/>
    <d v="2025-10-21T00:00:00"/>
    <x v="158"/>
    <x v="1"/>
    <x v="4"/>
    <x v="7"/>
    <n v="3000"/>
    <n v="5000"/>
    <n v="0"/>
  </r>
  <r>
    <n v="170"/>
    <d v="2025-10-21T00:00:00"/>
    <x v="159"/>
    <x v="0"/>
    <x v="12"/>
    <x v="15"/>
    <n v="10000"/>
    <n v="20000"/>
    <n v="1"/>
  </r>
  <r>
    <n v="170"/>
    <d v="2025-10-21T00:00:00"/>
    <x v="159"/>
    <x v="0"/>
    <x v="12"/>
    <x v="15"/>
    <n v="10000"/>
    <n v="20000"/>
    <n v="1"/>
  </r>
  <r>
    <n v="171"/>
    <d v="2025-10-20T00:00:00"/>
    <x v="160"/>
    <x v="1"/>
    <x v="4"/>
    <x v="7"/>
    <n v="3000"/>
    <n v="5000"/>
    <n v="0"/>
  </r>
  <r>
    <n v="172"/>
    <d v="2025-10-17T00:00:00"/>
    <x v="161"/>
    <x v="0"/>
    <x v="2"/>
    <x v="6"/>
    <n v="300000"/>
    <n v="500000"/>
    <n v="0"/>
  </r>
  <r>
    <n v="173"/>
    <d v="2025-10-17T00:00:00"/>
    <x v="162"/>
    <x v="0"/>
    <x v="8"/>
    <x v="2"/>
    <n v="500000"/>
    <n v="700000"/>
    <e v="#VALUE!"/>
  </r>
  <r>
    <n v="173"/>
    <d v="2025-10-17T00:00:00"/>
    <x v="162"/>
    <x v="0"/>
    <x v="8"/>
    <x v="2"/>
    <n v="500000"/>
    <n v="700000"/>
    <e v="#VALUE!"/>
  </r>
  <r>
    <n v="174"/>
    <d v="2025-10-17T00:00:00"/>
    <x v="163"/>
    <x v="1"/>
    <x v="4"/>
    <x v="7"/>
    <n v="3000"/>
    <n v="5000"/>
    <n v="0"/>
  </r>
  <r>
    <n v="175"/>
    <d v="2025-10-17T00:00:00"/>
    <x v="164"/>
    <x v="1"/>
    <x v="4"/>
    <x v="7"/>
    <n v="3000"/>
    <n v="5000"/>
    <n v="0"/>
  </r>
  <r>
    <n v="176"/>
    <d v="2025-10-17T00:00:00"/>
    <x v="165"/>
    <x v="1"/>
    <x v="4"/>
    <x v="7"/>
    <n v="3000"/>
    <n v="5000"/>
    <n v="0"/>
  </r>
  <r>
    <n v="177"/>
    <d v="2025-10-16T00:00:00"/>
    <x v="166"/>
    <x v="1"/>
    <x v="4"/>
    <x v="7"/>
    <n v="3000"/>
    <n v="5000"/>
    <n v="0"/>
  </r>
  <r>
    <n v="178"/>
    <d v="2025-10-14T00:00:00"/>
    <x v="167"/>
    <x v="0"/>
    <x v="2"/>
    <x v="2"/>
    <n v="300000"/>
    <n v="500000"/>
    <e v="#VALUE!"/>
  </r>
  <r>
    <n v="179"/>
    <d v="2025-10-10T00:00:00"/>
    <x v="168"/>
    <x v="1"/>
    <x v="4"/>
    <x v="7"/>
    <n v="3000"/>
    <n v="5000"/>
    <n v="0"/>
  </r>
  <r>
    <n v="180"/>
    <d v="2025-10-10T00:00:00"/>
    <x v="169"/>
    <x v="1"/>
    <x v="4"/>
    <x v="7"/>
    <n v="3000"/>
    <n v="5000"/>
    <n v="0"/>
  </r>
  <r>
    <n v="181"/>
    <d v="2025-10-10T00:00:00"/>
    <x v="170"/>
    <x v="1"/>
    <x v="4"/>
    <x v="7"/>
    <n v="3000"/>
    <n v="5000"/>
    <n v="0"/>
  </r>
  <r>
    <n v="182"/>
    <d v="2025-10-10T00:00:00"/>
    <x v="159"/>
    <x v="0"/>
    <x v="12"/>
    <x v="15"/>
    <n v="10000"/>
    <n v="20000"/>
    <n v="1"/>
  </r>
  <r>
    <n v="183"/>
    <d v="2025-10-09T00:00:00"/>
    <x v="171"/>
    <x v="1"/>
    <x v="4"/>
    <x v="7"/>
    <n v="3000"/>
    <n v="5000"/>
    <n v="0"/>
  </r>
  <r>
    <n v="184"/>
    <d v="2025-10-08T00:00:00"/>
    <x v="172"/>
    <x v="1"/>
    <x v="4"/>
    <x v="7"/>
    <n v="3000"/>
    <n v="5000"/>
    <n v="0"/>
  </r>
  <r>
    <n v="185"/>
    <d v="2025-10-07T00:00:00"/>
    <x v="173"/>
    <x v="1"/>
    <x v="4"/>
    <x v="7"/>
    <n v="3000"/>
    <n v="5000"/>
    <n v="0"/>
  </r>
  <r>
    <n v="186"/>
    <d v="2025-10-07T00:00:00"/>
    <x v="174"/>
    <x v="1"/>
    <x v="4"/>
    <x v="7"/>
    <n v="3000"/>
    <n v="5000"/>
    <n v="0"/>
  </r>
  <r>
    <n v="187"/>
    <d v="2025-10-07T00:00:00"/>
    <x v="175"/>
    <x v="1"/>
    <x v="4"/>
    <x v="7"/>
    <n v="3000"/>
    <n v="5000"/>
    <n v="0"/>
  </r>
  <r>
    <n v="188"/>
    <d v="2025-10-03T00:00:00"/>
    <x v="176"/>
    <x v="1"/>
    <x v="4"/>
    <x v="7"/>
    <n v="3000"/>
    <n v="5000"/>
    <n v="0"/>
  </r>
  <r>
    <n v="189"/>
    <d v="2025-10-03T00:00:00"/>
    <x v="177"/>
    <x v="1"/>
    <x v="4"/>
    <x v="7"/>
    <n v="3000"/>
    <n v="5000"/>
    <n v="0"/>
  </r>
  <r>
    <n v="190"/>
    <d v="2025-10-03T00:00:00"/>
    <x v="178"/>
    <x v="1"/>
    <x v="4"/>
    <x v="7"/>
    <n v="3000"/>
    <n v="5000"/>
    <n v="0"/>
  </r>
  <r>
    <n v="191"/>
    <d v="2025-10-03T00:00:00"/>
    <x v="179"/>
    <x v="1"/>
    <x v="4"/>
    <x v="7"/>
    <n v="3000"/>
    <n v="5000"/>
    <n v="0"/>
  </r>
  <r>
    <n v="192"/>
    <d v="2025-09-30T00:00:00"/>
    <x v="180"/>
    <x v="1"/>
    <x v="4"/>
    <x v="7"/>
    <n v="3000"/>
    <n v="5000"/>
    <n v="0"/>
  </r>
  <r>
    <n v="193"/>
    <d v="2025-09-30T00:00:00"/>
    <x v="114"/>
    <x v="0"/>
    <x v="7"/>
    <x v="0"/>
    <n v="700000"/>
    <n v="1000000"/>
    <n v="0"/>
  </r>
  <r>
    <n v="194"/>
    <d v="2025-09-30T00:00:00"/>
    <x v="181"/>
    <x v="0"/>
    <x v="5"/>
    <x v="5"/>
    <n v="500000"/>
    <n v="700000"/>
    <n v="-0.5"/>
  </r>
  <r>
    <n v="195"/>
    <d v="2025-09-30T00:00:00"/>
    <x v="182"/>
    <x v="1"/>
    <x v="4"/>
    <x v="7"/>
    <n v="3000"/>
    <n v="5000"/>
    <n v="0"/>
  </r>
  <r>
    <n v="197"/>
    <d v="2025-09-26T00:00:00"/>
    <x v="183"/>
    <x v="0"/>
    <x v="6"/>
    <x v="5"/>
    <n v="500000"/>
    <n v="700000"/>
    <n v="-0.5"/>
  </r>
  <r>
    <n v="198"/>
    <d v="2025-09-26T00:00:00"/>
    <x v="184"/>
    <x v="0"/>
    <x v="13"/>
    <x v="6"/>
    <n v="300000"/>
    <n v="700000"/>
    <n v="0"/>
  </r>
  <r>
    <n v="198"/>
    <d v="2025-09-26T00:00:00"/>
    <x v="184"/>
    <x v="0"/>
    <x v="14"/>
    <x v="2"/>
    <n v="300000"/>
    <n v="500000"/>
    <e v="#VALUE!"/>
  </r>
  <r>
    <n v="199"/>
    <d v="2025-09-26T00:00:00"/>
    <x v="185"/>
    <x v="1"/>
    <x v="4"/>
    <x v="7"/>
    <n v="3000"/>
    <n v="5000"/>
    <n v="0"/>
  </r>
  <r>
    <n v="200"/>
    <d v="2025-09-26T00:00:00"/>
    <x v="186"/>
    <x v="0"/>
    <x v="6"/>
    <x v="4"/>
    <n v="500000"/>
    <n v="700000"/>
    <n v="-0.3"/>
  </r>
  <r>
    <n v="201"/>
    <d v="2025-09-23T00:00:00"/>
    <x v="187"/>
    <x v="0"/>
    <x v="12"/>
    <x v="15"/>
    <n v="10000"/>
    <n v="20000"/>
    <n v="1"/>
  </r>
  <r>
    <n v="202"/>
    <d v="2025-09-23T00:00:00"/>
    <x v="188"/>
    <x v="0"/>
    <x v="0"/>
    <x v="0"/>
    <n v="700000"/>
    <n v="1000000"/>
    <n v="0"/>
  </r>
  <r>
    <n v="202"/>
    <d v="2025-09-23T00:00:00"/>
    <x v="188"/>
    <x v="0"/>
    <x v="8"/>
    <x v="10"/>
    <n v="500000"/>
    <n v="700000"/>
    <n v="0"/>
  </r>
  <r>
    <n v="203"/>
    <d v="2025-09-23T00:00:00"/>
    <x v="189"/>
    <x v="0"/>
    <x v="2"/>
    <x v="9"/>
    <n v="300000"/>
    <n v="500000"/>
    <n v="-0.5"/>
  </r>
  <r>
    <n v="204"/>
    <d v="2025-09-22T00:00:00"/>
    <x v="190"/>
    <x v="0"/>
    <x v="15"/>
    <x v="2"/>
    <n v="300000"/>
    <n v="500000"/>
    <e v="#VALUE!"/>
  </r>
  <r>
    <n v="206"/>
    <d v="2025-09-19T00:00:00"/>
    <x v="191"/>
    <x v="0"/>
    <x v="2"/>
    <x v="6"/>
    <n v="300000"/>
    <n v="500000"/>
    <n v="0"/>
  </r>
  <r>
    <n v="207"/>
    <d v="2025-09-16T00:00:00"/>
    <x v="192"/>
    <x v="0"/>
    <x v="2"/>
    <x v="2"/>
    <n v="300000"/>
    <n v="500000"/>
    <e v="#VALUE!"/>
  </r>
  <r>
    <n v="208"/>
    <d v="2025-09-16T00:00:00"/>
    <x v="57"/>
    <x v="0"/>
    <x v="2"/>
    <x v="6"/>
    <n v="300000"/>
    <n v="500000"/>
    <n v="0"/>
  </r>
  <r>
    <n v="209"/>
    <d v="2025-09-12T00:00:00"/>
    <x v="193"/>
    <x v="1"/>
    <x v="4"/>
    <x v="7"/>
    <n v="3000"/>
    <n v="5000"/>
    <n v="0"/>
  </r>
  <r>
    <n v="210"/>
    <d v="2025-09-12T00:00:00"/>
    <x v="194"/>
    <x v="1"/>
    <x v="4"/>
    <x v="7"/>
    <n v="3000"/>
    <n v="5000"/>
    <n v="0"/>
  </r>
  <r>
    <n v="211"/>
    <d v="2025-09-12T00:00:00"/>
    <x v="195"/>
    <x v="1"/>
    <x v="4"/>
    <x v="7"/>
    <n v="3000"/>
    <n v="5000"/>
    <n v="0"/>
  </r>
  <r>
    <n v="212"/>
    <d v="2025-09-09T00:00:00"/>
    <x v="187"/>
    <x v="0"/>
    <x v="12"/>
    <x v="15"/>
    <n v="10000"/>
    <n v="20000"/>
    <n v="1"/>
  </r>
  <r>
    <n v="215"/>
    <d v="2025-09-02T00:00:00"/>
    <x v="196"/>
    <x v="0"/>
    <x v="8"/>
    <x v="10"/>
    <n v="500000"/>
    <n v="700000"/>
    <n v="0"/>
  </r>
  <r>
    <n v="216"/>
    <d v="2025-09-02T00:00:00"/>
    <x v="89"/>
    <x v="0"/>
    <x v="2"/>
    <x v="9"/>
    <n v="300000"/>
    <n v="500000"/>
    <n v="-0.5"/>
  </r>
  <r>
    <n v="217"/>
    <d v="2025-09-02T00:00:00"/>
    <x v="197"/>
    <x v="0"/>
    <x v="5"/>
    <x v="4"/>
    <n v="500000"/>
    <n v="700000"/>
    <n v="-0.3"/>
  </r>
  <r>
    <n v="218"/>
    <d v="2025-08-29T00:00:00"/>
    <x v="187"/>
    <x v="0"/>
    <x v="12"/>
    <x v="15"/>
    <n v="10000"/>
    <n v="20000"/>
    <n v="1"/>
  </r>
  <r>
    <n v="219"/>
    <d v="2025-08-29T00:00:00"/>
    <x v="198"/>
    <x v="1"/>
    <x v="4"/>
    <x v="17"/>
    <n v="3000"/>
    <n v="5000"/>
    <n v="1"/>
  </r>
  <r>
    <n v="220"/>
    <d v="2025-08-26T00:00:00"/>
    <x v="199"/>
    <x v="0"/>
    <x v="0"/>
    <x v="0"/>
    <n v="700000"/>
    <n v="1000000"/>
    <n v="0"/>
  </r>
  <r>
    <n v="221"/>
    <d v="2025-08-25T00:00:00"/>
    <x v="200"/>
    <x v="0"/>
    <x v="8"/>
    <x v="10"/>
    <n v="500000"/>
    <n v="700000"/>
    <n v="0"/>
  </r>
  <r>
    <n v="222"/>
    <d v="2025-08-25T00:00:00"/>
    <x v="201"/>
    <x v="0"/>
    <x v="2"/>
    <x v="4"/>
    <n v="300000"/>
    <n v="500000"/>
    <n v="0.16666666666666666"/>
  </r>
  <r>
    <n v="223"/>
    <d v="2025-08-22T00:00:00"/>
    <x v="202"/>
    <x v="0"/>
    <x v="2"/>
    <x v="2"/>
    <n v="300000"/>
    <n v="500000"/>
    <e v="#VALUE!"/>
  </r>
  <r>
    <n v="224"/>
    <d v="2025-08-19T00:00:00"/>
    <x v="203"/>
    <x v="1"/>
    <x v="4"/>
    <x v="7"/>
    <n v="3000"/>
    <n v="5000"/>
    <n v="0"/>
  </r>
  <r>
    <n v="225"/>
    <d v="2025-08-19T00:00:00"/>
    <x v="204"/>
    <x v="0"/>
    <x v="2"/>
    <x v="6"/>
    <n v="300000"/>
    <n v="500000"/>
    <n v="0"/>
  </r>
  <r>
    <n v="226"/>
    <d v="2025-08-19T00:00:00"/>
    <x v="205"/>
    <x v="0"/>
    <x v="7"/>
    <x v="4"/>
    <n v="700000"/>
    <n v="1000000"/>
    <n v="-0.5"/>
  </r>
  <r>
    <n v="227"/>
    <d v="2025-08-19T00:00:00"/>
    <x v="206"/>
    <x v="0"/>
    <x v="8"/>
    <x v="2"/>
    <n v="500000"/>
    <n v="700000"/>
    <e v="#VALUE!"/>
  </r>
  <r>
    <n v="228"/>
    <d v="2025-08-18T00:00:00"/>
    <x v="207"/>
    <x v="0"/>
    <x v="7"/>
    <x v="0"/>
    <n v="700000"/>
    <n v="1000000"/>
    <n v="0"/>
  </r>
  <r>
    <n v="229"/>
    <d v="2025-08-18T00:00:00"/>
    <x v="208"/>
    <x v="0"/>
    <x v="7"/>
    <x v="2"/>
    <n v="700000"/>
    <n v="1000000"/>
    <e v="#VALUE!"/>
  </r>
  <r>
    <n v="230"/>
    <d v="2025-08-15T00:00:00"/>
    <x v="209"/>
    <x v="0"/>
    <x v="6"/>
    <x v="5"/>
    <n v="500000"/>
    <n v="700000"/>
    <n v="-0.5"/>
  </r>
  <r>
    <n v="231"/>
    <d v="2025-08-15T00:00:00"/>
    <x v="210"/>
    <x v="0"/>
    <x v="5"/>
    <x v="5"/>
    <n v="500000"/>
    <n v="700000"/>
    <n v="-0.5"/>
  </r>
  <r>
    <n v="232"/>
    <d v="2025-08-12T00:00:00"/>
    <x v="211"/>
    <x v="0"/>
    <x v="2"/>
    <x v="6"/>
    <n v="300000"/>
    <n v="500000"/>
    <n v="0"/>
  </r>
  <r>
    <n v="233"/>
    <d v="2025-08-12T00:00:00"/>
    <x v="212"/>
    <x v="1"/>
    <x v="16"/>
    <x v="8"/>
    <n v="3000"/>
    <n v="5000"/>
    <n v="9"/>
  </r>
  <r>
    <n v="234"/>
    <d v="2025-08-12T00:00:00"/>
    <x v="213"/>
    <x v="1"/>
    <x v="4"/>
    <x v="7"/>
    <n v="3000"/>
    <n v="5000"/>
    <n v="0"/>
  </r>
  <r>
    <n v="235"/>
    <d v="2025-08-12T00:00:00"/>
    <x v="214"/>
    <x v="0"/>
    <x v="2"/>
    <x v="9"/>
    <n v="300000"/>
    <n v="500000"/>
    <n v="-0.5"/>
  </r>
  <r>
    <n v="236"/>
    <d v="2025-08-12T00:00:00"/>
    <x v="199"/>
    <x v="0"/>
    <x v="7"/>
    <x v="0"/>
    <n v="700000"/>
    <n v="1000000"/>
    <n v="0"/>
  </r>
  <r>
    <n v="237"/>
    <d v="2025-08-12T00:00:00"/>
    <x v="184"/>
    <x v="0"/>
    <x v="8"/>
    <x v="2"/>
    <n v="500000"/>
    <n v="700000"/>
    <e v="#VALUE!"/>
  </r>
  <r>
    <n v="238"/>
    <d v="2025-08-08T00:00:00"/>
    <x v="215"/>
    <x v="1"/>
    <x v="4"/>
    <x v="7"/>
    <n v="3000"/>
    <n v="5000"/>
    <n v="0"/>
  </r>
  <r>
    <n v="239"/>
    <d v="2025-08-08T00:00:00"/>
    <x v="216"/>
    <x v="1"/>
    <x v="4"/>
    <x v="7"/>
    <n v="3000"/>
    <n v="5000"/>
    <n v="0"/>
  </r>
  <r>
    <n v="240"/>
    <d v="2025-08-08T00:00:00"/>
    <x v="217"/>
    <x v="0"/>
    <x v="7"/>
    <x v="2"/>
    <n v="700000"/>
    <n v="1000000"/>
    <e v="#VALUE!"/>
  </r>
  <r>
    <n v="241"/>
    <d v="2025-08-08T00:00:00"/>
    <x v="218"/>
    <x v="0"/>
    <x v="2"/>
    <x v="2"/>
    <n v="300000"/>
    <n v="500000"/>
    <e v="#VALUE!"/>
  </r>
  <r>
    <n v="242"/>
    <d v="2025-08-05T00:00:00"/>
    <x v="219"/>
    <x v="1"/>
    <x v="4"/>
    <x v="7"/>
    <n v="3000"/>
    <n v="5000"/>
    <n v="0"/>
  </r>
  <r>
    <n v="243"/>
    <d v="2025-08-05T00:00:00"/>
    <x v="220"/>
    <x v="0"/>
    <x v="2"/>
    <x v="2"/>
    <n v="300000"/>
    <n v="500000"/>
    <e v="#VALUE!"/>
  </r>
  <r>
    <n v="244"/>
    <d v="2025-08-05T00:00:00"/>
    <x v="67"/>
    <x v="0"/>
    <x v="1"/>
    <x v="0"/>
    <n v="700000"/>
    <n v="1000000"/>
    <n v="0"/>
  </r>
  <r>
    <n v="244"/>
    <d v="2025-08-05T00:00:00"/>
    <x v="67"/>
    <x v="0"/>
    <x v="2"/>
    <x v="6"/>
    <n v="300000"/>
    <n v="500000"/>
    <n v="0"/>
  </r>
  <r>
    <n v="245"/>
    <d v="2025-08-05T00:00:00"/>
    <x v="221"/>
    <x v="0"/>
    <x v="8"/>
    <x v="2"/>
    <n v="500000"/>
    <n v="700000"/>
    <e v="#VALUE!"/>
  </r>
  <r>
    <n v="246"/>
    <d v="2025-08-05T00:00:00"/>
    <x v="197"/>
    <x v="0"/>
    <x v="5"/>
    <x v="4"/>
    <n v="500000"/>
    <n v="700000"/>
    <n v="-0.3"/>
  </r>
  <r>
    <n v="247"/>
    <d v="2025-08-04T00:00:00"/>
    <x v="222"/>
    <x v="1"/>
    <x v="4"/>
    <x v="7"/>
    <n v="3000"/>
    <n v="5000"/>
    <n v="0"/>
  </r>
  <r>
    <n v="248"/>
    <d v="2025-07-29T00:00:00"/>
    <x v="223"/>
    <x v="1"/>
    <x v="4"/>
    <x v="7"/>
    <n v="3000"/>
    <n v="5000"/>
    <n v="0"/>
  </r>
  <r>
    <n v="249"/>
    <d v="2025-07-29T00:00:00"/>
    <x v="224"/>
    <x v="1"/>
    <x v="4"/>
    <x v="7"/>
    <n v="3000"/>
    <n v="5000"/>
    <n v="0"/>
  </r>
  <r>
    <n v="250"/>
    <d v="2025-07-29T00:00:00"/>
    <x v="225"/>
    <x v="0"/>
    <x v="17"/>
    <x v="14"/>
    <n v="20000"/>
    <n v="50000"/>
    <n v="1"/>
  </r>
  <r>
    <n v="251"/>
    <d v="2025-07-28T00:00:00"/>
    <x v="142"/>
    <x v="0"/>
    <x v="2"/>
    <x v="4"/>
    <n v="300000"/>
    <n v="500000"/>
    <n v="0.16666666666666666"/>
  </r>
  <r>
    <n v="252"/>
    <d v="2025-07-22T00:00:00"/>
    <x v="226"/>
    <x v="0"/>
    <x v="10"/>
    <x v="12"/>
    <n v="10000"/>
    <n v="20000"/>
    <n v="0"/>
  </r>
  <r>
    <n v="253"/>
    <d v="2025-07-22T00:00:00"/>
    <x v="227"/>
    <x v="1"/>
    <x v="4"/>
    <x v="7"/>
    <n v="3000"/>
    <n v="5000"/>
    <n v="0"/>
  </r>
  <r>
    <n v="254"/>
    <d v="2025-07-22T00:00:00"/>
    <x v="149"/>
    <x v="0"/>
    <x v="5"/>
    <x v="5"/>
    <n v="500000"/>
    <n v="700000"/>
    <n v="-0.5"/>
  </r>
  <r>
    <n v="255"/>
    <d v="2025-07-22T00:00:00"/>
    <x v="57"/>
    <x v="0"/>
    <x v="7"/>
    <x v="0"/>
    <n v="700000"/>
    <n v="1000000"/>
    <n v="0"/>
  </r>
  <r>
    <n v="256"/>
    <d v="2025-07-22T00:00:00"/>
    <x v="228"/>
    <x v="0"/>
    <x v="2"/>
    <x v="2"/>
    <n v="300000"/>
    <n v="500000"/>
    <e v="#VALUE!"/>
  </r>
  <r>
    <n v="257"/>
    <d v="2025-07-18T00:00:00"/>
    <x v="229"/>
    <x v="1"/>
    <x v="4"/>
    <x v="8"/>
    <n v="3000"/>
    <n v="5000"/>
    <n v="9"/>
  </r>
  <r>
    <n v="258"/>
    <d v="2025-07-18T00:00:00"/>
    <x v="230"/>
    <x v="1"/>
    <x v="4"/>
    <x v="7"/>
    <n v="3000"/>
    <n v="5000"/>
    <n v="0"/>
  </r>
  <r>
    <n v="259"/>
    <d v="2025-07-18T00:00:00"/>
    <x v="231"/>
    <x v="1"/>
    <x v="4"/>
    <x v="7"/>
    <n v="3000"/>
    <n v="5000"/>
    <n v="0"/>
  </r>
  <r>
    <n v="260"/>
    <d v="2025-07-18T00:00:00"/>
    <x v="197"/>
    <x v="0"/>
    <x v="5"/>
    <x v="5"/>
    <n v="500000"/>
    <n v="700000"/>
    <n v="-0.5"/>
  </r>
  <r>
    <n v="261"/>
    <d v="2025-07-18T00:00:00"/>
    <x v="49"/>
    <x v="0"/>
    <x v="6"/>
    <x v="4"/>
    <n v="500000"/>
    <n v="700000"/>
    <n v="-0.3"/>
  </r>
  <r>
    <n v="262"/>
    <d v="2025-07-15T00:00:00"/>
    <x v="232"/>
    <x v="0"/>
    <x v="18"/>
    <x v="2"/>
    <n v="500000"/>
    <n v="700000"/>
    <e v="#VALUE!"/>
  </r>
  <r>
    <n v="263"/>
    <d v="2025-07-15T00:00:00"/>
    <x v="233"/>
    <x v="0"/>
    <x v="6"/>
    <x v="5"/>
    <n v="500000"/>
    <n v="700000"/>
    <n v="-0.5"/>
  </r>
  <r>
    <n v="265"/>
    <d v="2025-07-11T00:00:00"/>
    <x v="234"/>
    <x v="0"/>
    <x v="2"/>
    <x v="2"/>
    <n v="300000"/>
    <n v="500000"/>
    <e v="#VALUE!"/>
  </r>
  <r>
    <n v="267"/>
    <d v="2025-07-08T00:00:00"/>
    <x v="235"/>
    <x v="1"/>
    <x v="4"/>
    <x v="7"/>
    <n v="3000"/>
    <n v="5000"/>
    <n v="0"/>
  </r>
  <r>
    <n v="268"/>
    <d v="2025-07-08T00:00:00"/>
    <x v="236"/>
    <x v="1"/>
    <x v="4"/>
    <x v="7"/>
    <n v="3000"/>
    <n v="5000"/>
    <n v="0"/>
  </r>
  <r>
    <n v="269"/>
    <d v="2025-07-08T00:00:00"/>
    <x v="237"/>
    <x v="1"/>
    <x v="4"/>
    <x v="7"/>
    <n v="3000"/>
    <n v="5000"/>
    <n v="0"/>
  </r>
  <r>
    <n v="270"/>
    <d v="2025-07-08T00:00:00"/>
    <x v="238"/>
    <x v="1"/>
    <x v="4"/>
    <x v="7"/>
    <n v="3000"/>
    <n v="5000"/>
    <n v="0"/>
  </r>
  <r>
    <n v="271"/>
    <d v="2025-07-08T00:00:00"/>
    <x v="239"/>
    <x v="1"/>
    <x v="4"/>
    <x v="7"/>
    <n v="3000"/>
    <n v="5000"/>
    <n v="0"/>
  </r>
  <r>
    <n v="272"/>
    <d v="2025-07-08T00:00:00"/>
    <x v="240"/>
    <x v="1"/>
    <x v="4"/>
    <x v="7"/>
    <n v="3000"/>
    <n v="5000"/>
    <n v="0"/>
  </r>
  <r>
    <n v="273"/>
    <d v="2025-07-08T00:00:00"/>
    <x v="241"/>
    <x v="0"/>
    <x v="6"/>
    <x v="5"/>
    <n v="500000"/>
    <n v="700000"/>
    <n v="-0.5"/>
  </r>
  <r>
    <n v="274"/>
    <d v="2025-07-08T00:00:00"/>
    <x v="57"/>
    <x v="0"/>
    <x v="1"/>
    <x v="0"/>
    <n v="700000"/>
    <n v="1000000"/>
    <n v="0"/>
  </r>
  <r>
    <n v="278"/>
    <d v="2025-07-04T00:00:00"/>
    <x v="242"/>
    <x v="1"/>
    <x v="4"/>
    <x v="7"/>
    <n v="3000"/>
    <n v="5000"/>
    <n v="0"/>
  </r>
  <r>
    <n v="279"/>
    <d v="2025-07-01T00:00:00"/>
    <x v="243"/>
    <x v="0"/>
    <x v="17"/>
    <x v="2"/>
    <n v="20000"/>
    <n v="50000"/>
    <e v="#VALUE!"/>
  </r>
  <r>
    <n v="280"/>
    <d v="2025-07-01T00:00:00"/>
    <x v="60"/>
    <x v="0"/>
    <x v="6"/>
    <x v="0"/>
    <n v="500000"/>
    <n v="700000"/>
    <n v="1"/>
  </r>
  <r>
    <n v="283"/>
    <d v="2025-07-01T00:00:00"/>
    <x v="244"/>
    <x v="1"/>
    <x v="4"/>
    <x v="8"/>
    <n v="3000"/>
    <n v="5000"/>
    <n v="9"/>
  </r>
  <r>
    <n v="285"/>
    <d v="2025-06-30T00:00:00"/>
    <x v="233"/>
    <x v="0"/>
    <x v="5"/>
    <x v="5"/>
    <n v="500000"/>
    <n v="700000"/>
    <n v="-0.5"/>
  </r>
  <r>
    <n v="286"/>
    <d v="2025-06-30T00:00:00"/>
    <x v="57"/>
    <x v="0"/>
    <x v="7"/>
    <x v="0"/>
    <n v="700000"/>
    <n v="1000000"/>
    <n v="0"/>
  </r>
  <r>
    <n v="289"/>
    <d v="2025-06-20T00:00:00"/>
    <x v="245"/>
    <x v="1"/>
    <x v="4"/>
    <x v="7"/>
    <n v="3000"/>
    <n v="5000"/>
    <n v="0"/>
  </r>
  <r>
    <n v="290"/>
    <d v="2025-06-18T00:00:00"/>
    <x v="246"/>
    <x v="1"/>
    <x v="4"/>
    <x v="8"/>
    <n v="3000"/>
    <n v="5000"/>
    <n v="9"/>
  </r>
  <r>
    <n v="291"/>
    <d v="2025-06-17T00:00:00"/>
    <x v="3"/>
    <x v="0"/>
    <x v="6"/>
    <x v="10"/>
    <n v="500000"/>
    <n v="700000"/>
    <n v="0"/>
  </r>
  <r>
    <n v="292"/>
    <d v="2025-06-17T00:00:00"/>
    <x v="149"/>
    <x v="0"/>
    <x v="5"/>
    <x v="5"/>
    <n v="500000"/>
    <n v="700000"/>
    <n v="-0.5"/>
  </r>
  <r>
    <n v="293"/>
    <d v="2025-06-17T00:00:00"/>
    <x v="247"/>
    <x v="1"/>
    <x v="4"/>
    <x v="7"/>
    <n v="3000"/>
    <n v="5000"/>
    <n v="0"/>
  </r>
  <r>
    <n v="294"/>
    <d v="2025-06-17T00:00:00"/>
    <x v="248"/>
    <x v="1"/>
    <x v="4"/>
    <x v="7"/>
    <n v="3000"/>
    <n v="5000"/>
    <n v="0"/>
  </r>
  <r>
    <n v="295"/>
    <d v="2025-06-17T00:00:00"/>
    <x v="249"/>
    <x v="1"/>
    <x v="4"/>
    <x v="7"/>
    <n v="3000"/>
    <n v="5000"/>
    <n v="0"/>
  </r>
  <r>
    <n v="296"/>
    <d v="2025-06-17T00:00:00"/>
    <x v="186"/>
    <x v="0"/>
    <x v="6"/>
    <x v="4"/>
    <n v="500000"/>
    <n v="700000"/>
    <n v="-0.3"/>
  </r>
  <r>
    <n v="297"/>
    <d v="2025-06-17T00:00:00"/>
    <x v="250"/>
    <x v="0"/>
    <x v="8"/>
    <x v="5"/>
    <n v="500000"/>
    <n v="700000"/>
    <n v="-0.5"/>
  </r>
  <r>
    <n v="298"/>
    <d v="2025-06-10T00:00:00"/>
    <x v="251"/>
    <x v="0"/>
    <x v="0"/>
    <x v="0"/>
    <n v="700000"/>
    <n v="1000000"/>
    <n v="0"/>
  </r>
  <r>
    <n v="299"/>
    <d v="2025-06-10T00:00:00"/>
    <x v="252"/>
    <x v="0"/>
    <x v="6"/>
    <x v="5"/>
    <n v="500000"/>
    <n v="700000"/>
    <n v="-0.5"/>
  </r>
  <r>
    <n v="300"/>
    <d v="2025-06-10T00:00:00"/>
    <x v="253"/>
    <x v="1"/>
    <x v="4"/>
    <x v="7"/>
    <n v="3000"/>
    <n v="5000"/>
    <n v="0"/>
  </r>
  <r>
    <n v="301"/>
    <d v="2025-06-10T00:00:00"/>
    <x v="254"/>
    <x v="1"/>
    <x v="4"/>
    <x v="7"/>
    <n v="3000"/>
    <n v="5000"/>
    <n v="0"/>
  </r>
  <r>
    <n v="302"/>
    <d v="2025-06-10T00:00:00"/>
    <x v="255"/>
    <x v="0"/>
    <x v="1"/>
    <x v="2"/>
    <n v="700000"/>
    <n v="1000000"/>
    <e v="#VALUE!"/>
  </r>
  <r>
    <n v="303"/>
    <d v="2025-06-09T00:00:00"/>
    <x v="196"/>
    <x v="0"/>
    <x v="8"/>
    <x v="10"/>
    <n v="500000"/>
    <n v="700000"/>
    <n v="0"/>
  </r>
  <r>
    <n v="304"/>
    <d v="2025-06-09T00:00:00"/>
    <x v="256"/>
    <x v="0"/>
    <x v="17"/>
    <x v="2"/>
    <n v="20000"/>
    <n v="50000"/>
    <e v="#VALUE!"/>
  </r>
  <r>
    <n v="305"/>
    <d v="2025-06-09T00:00:00"/>
    <x v="257"/>
    <x v="0"/>
    <x v="2"/>
    <x v="6"/>
    <n v="300000"/>
    <n v="500000"/>
    <n v="0"/>
  </r>
  <r>
    <n v="306"/>
    <d v="2025-06-06T00:00:00"/>
    <x v="258"/>
    <x v="0"/>
    <x v="8"/>
    <x v="10"/>
    <n v="500000"/>
    <n v="700000"/>
    <n v="0"/>
  </r>
  <r>
    <n v="307"/>
    <d v="2025-06-03T00:00:00"/>
    <x v="67"/>
    <x v="0"/>
    <x v="3"/>
    <x v="10"/>
    <n v="500000"/>
    <n v="700000"/>
    <n v="0"/>
  </r>
  <r>
    <n v="307"/>
    <d v="2025-06-03T00:00:00"/>
    <x v="67"/>
    <x v="0"/>
    <x v="2"/>
    <x v="6"/>
    <n v="300000"/>
    <n v="500000"/>
    <n v="0"/>
  </r>
  <r>
    <n v="309"/>
    <d v="2025-05-27T00:00:00"/>
    <x v="259"/>
    <x v="0"/>
    <x v="3"/>
    <x v="5"/>
    <n v="500000"/>
    <n v="700000"/>
    <n v="-0.5"/>
  </r>
  <r>
    <n v="310"/>
    <d v="2025-05-27T00:00:00"/>
    <x v="187"/>
    <x v="0"/>
    <x v="6"/>
    <x v="0"/>
    <n v="500000"/>
    <n v="700000"/>
    <n v="1"/>
  </r>
  <r>
    <n v="311"/>
    <d v="2025-05-27T00:00:00"/>
    <x v="260"/>
    <x v="0"/>
    <x v="2"/>
    <x v="6"/>
    <n v="300000"/>
    <n v="500000"/>
    <n v="0"/>
  </r>
  <r>
    <n v="312"/>
    <d v="2025-05-26T00:00:00"/>
    <x v="261"/>
    <x v="0"/>
    <x v="2"/>
    <x v="9"/>
    <n v="300000"/>
    <n v="500000"/>
    <n v="-0.5"/>
  </r>
  <r>
    <n v="313"/>
    <d v="2025-05-26T00:00:00"/>
    <x v="262"/>
    <x v="0"/>
    <x v="2"/>
    <x v="2"/>
    <n v="300000"/>
    <n v="500000"/>
    <e v="#VALUE!"/>
  </r>
  <r>
    <n v="314"/>
    <d v="2025-05-23T00:00:00"/>
    <x v="263"/>
    <x v="1"/>
    <x v="4"/>
    <x v="7"/>
    <n v="3000"/>
    <n v="5000"/>
    <n v="0"/>
  </r>
  <r>
    <n v="315"/>
    <d v="2025-05-20T00:00:00"/>
    <x v="264"/>
    <x v="1"/>
    <x v="4"/>
    <x v="7"/>
    <n v="3000"/>
    <n v="5000"/>
    <n v="0"/>
  </r>
  <r>
    <n v="316"/>
    <d v="2025-05-20T00:00:00"/>
    <x v="265"/>
    <x v="1"/>
    <x v="4"/>
    <x v="7"/>
    <n v="3000"/>
    <n v="5000"/>
    <n v="0"/>
  </r>
  <r>
    <n v="317"/>
    <d v="2025-05-16T00:00:00"/>
    <x v="266"/>
    <x v="1"/>
    <x v="4"/>
    <x v="7"/>
    <n v="3000"/>
    <n v="5000"/>
    <n v="0"/>
  </r>
  <r>
    <n v="318"/>
    <d v="2025-05-16T00:00:00"/>
    <x v="267"/>
    <x v="1"/>
    <x v="4"/>
    <x v="7"/>
    <n v="3000"/>
    <n v="5000"/>
    <n v="0"/>
  </r>
  <r>
    <n v="319"/>
    <d v="2025-05-16T00:00:00"/>
    <x v="186"/>
    <x v="0"/>
    <x v="6"/>
    <x v="4"/>
    <n v="500000"/>
    <n v="700000"/>
    <n v="-0.3"/>
  </r>
  <r>
    <n v="319"/>
    <d v="2025-05-16T00:00:00"/>
    <x v="186"/>
    <x v="0"/>
    <x v="5"/>
    <x v="5"/>
    <n v="500000"/>
    <n v="700000"/>
    <n v="-0.5"/>
  </r>
  <r>
    <n v="320"/>
    <d v="2025-05-16T00:00:00"/>
    <x v="268"/>
    <x v="0"/>
    <x v="8"/>
    <x v="10"/>
    <n v="500000"/>
    <n v="700000"/>
    <n v="0"/>
  </r>
  <r>
    <n v="321"/>
    <d v="2025-05-16T00:00:00"/>
    <x v="269"/>
    <x v="0"/>
    <x v="2"/>
    <x v="2"/>
    <n v="300000"/>
    <n v="500000"/>
    <e v="#VALUE!"/>
  </r>
  <r>
    <n v="322"/>
    <d v="2025-05-15T00:00:00"/>
    <x v="270"/>
    <x v="0"/>
    <x v="2"/>
    <x v="2"/>
    <n v="300000"/>
    <n v="500000"/>
    <e v="#VALUE!"/>
  </r>
  <r>
    <n v="323"/>
    <d v="2025-05-13T00:00:00"/>
    <x v="271"/>
    <x v="0"/>
    <x v="15"/>
    <x v="2"/>
    <n v="300000"/>
    <n v="500000"/>
    <e v="#VALUE!"/>
  </r>
  <r>
    <n v="324"/>
    <d v="2025-05-13T00:00:00"/>
    <x v="0"/>
    <x v="0"/>
    <x v="0"/>
    <x v="0"/>
    <n v="700000"/>
    <n v="1000000"/>
    <n v="0"/>
  </r>
  <r>
    <n v="325"/>
    <d v="2025-05-13T00:00:00"/>
    <x v="272"/>
    <x v="1"/>
    <x v="4"/>
    <x v="7"/>
    <n v="3000"/>
    <n v="5000"/>
    <n v="0"/>
  </r>
  <r>
    <n v="326"/>
    <d v="2025-05-13T00:00:00"/>
    <x v="273"/>
    <x v="0"/>
    <x v="7"/>
    <x v="0"/>
    <n v="700000"/>
    <n v="1000000"/>
    <n v="0"/>
  </r>
  <r>
    <n v="326"/>
    <d v="2025-05-13T00:00:00"/>
    <x v="273"/>
    <x v="0"/>
    <x v="2"/>
    <x v="6"/>
    <n v="300000"/>
    <n v="500000"/>
    <n v="0"/>
  </r>
  <r>
    <n v="327"/>
    <d v="2025-05-13T00:00:00"/>
    <x v="274"/>
    <x v="0"/>
    <x v="2"/>
    <x v="2"/>
    <n v="300000"/>
    <n v="500000"/>
    <e v="#VALUE!"/>
  </r>
  <r>
    <n v="328"/>
    <d v="2025-05-07T00:00:00"/>
    <x v="275"/>
    <x v="1"/>
    <x v="4"/>
    <x v="7"/>
    <n v="3000"/>
    <n v="5000"/>
    <n v="0"/>
  </r>
  <r>
    <n v="329"/>
    <d v="2025-05-07T00:00:00"/>
    <x v="276"/>
    <x v="1"/>
    <x v="4"/>
    <x v="7"/>
    <n v="3000"/>
    <n v="5000"/>
    <n v="0"/>
  </r>
  <r>
    <n v="330"/>
    <d v="2025-05-06T00:00:00"/>
    <x v="277"/>
    <x v="0"/>
    <x v="4"/>
    <x v="4"/>
    <n v="700000"/>
    <s v="в размере суммы излишнего дохода… но не менее 700 000 рублей"/>
    <n v="-0.5"/>
  </r>
  <r>
    <n v="331"/>
    <d v="2025-05-06T00:00:00"/>
    <x v="278"/>
    <x v="1"/>
    <x v="4"/>
    <x v="7"/>
    <n v="3000"/>
    <n v="5000"/>
    <n v="0"/>
  </r>
  <r>
    <n v="332"/>
    <d v="2025-05-06T00:00:00"/>
    <x v="279"/>
    <x v="1"/>
    <x v="4"/>
    <x v="7"/>
    <n v="3000"/>
    <n v="5000"/>
    <n v="0"/>
  </r>
  <r>
    <n v="333"/>
    <d v="2025-05-06T00:00:00"/>
    <x v="280"/>
    <x v="1"/>
    <x v="4"/>
    <x v="7"/>
    <n v="3000"/>
    <n v="5000"/>
    <n v="0"/>
  </r>
  <r>
    <n v="334"/>
    <d v="2025-05-06T00:00:00"/>
    <x v="281"/>
    <x v="1"/>
    <x v="4"/>
    <x v="7"/>
    <n v="3000"/>
    <n v="5000"/>
    <n v="0"/>
  </r>
  <r>
    <n v="335"/>
    <d v="2025-05-06T00:00:00"/>
    <x v="282"/>
    <x v="1"/>
    <x v="4"/>
    <x v="7"/>
    <n v="3000"/>
    <n v="5000"/>
    <n v="0"/>
  </r>
  <r>
    <n v="336"/>
    <d v="2025-05-06T00:00:00"/>
    <x v="283"/>
    <x v="1"/>
    <x v="4"/>
    <x v="7"/>
    <n v="3000"/>
    <n v="5000"/>
    <n v="0"/>
  </r>
  <r>
    <n v="337"/>
    <d v="2025-05-06T00:00:00"/>
    <x v="284"/>
    <x v="1"/>
    <x v="4"/>
    <x v="7"/>
    <n v="3000"/>
    <n v="5000"/>
    <n v="0"/>
  </r>
  <r>
    <n v="338"/>
    <d v="2025-05-06T00:00:00"/>
    <x v="187"/>
    <x v="0"/>
    <x v="12"/>
    <x v="15"/>
    <n v="10000"/>
    <n v="20000"/>
    <n v="1"/>
  </r>
  <r>
    <n v="339"/>
    <d v="2025-05-06T00:00:00"/>
    <x v="285"/>
    <x v="0"/>
    <x v="2"/>
    <x v="6"/>
    <n v="300000"/>
    <n v="500000"/>
    <n v="0"/>
  </r>
  <r>
    <n v="340"/>
    <d v="2025-05-06T00:00:00"/>
    <x v="286"/>
    <x v="0"/>
    <x v="1"/>
    <x v="2"/>
    <n v="700000"/>
    <n v="1000000"/>
    <e v="#VALUE!"/>
  </r>
  <r>
    <n v="340"/>
    <d v="2025-05-06T00:00:00"/>
    <x v="286"/>
    <x v="0"/>
    <x v="3"/>
    <x v="2"/>
    <n v="500000"/>
    <n v="700000"/>
    <e v="#VALUE!"/>
  </r>
  <r>
    <n v="341"/>
    <d v="2025-05-05T00:00:00"/>
    <x v="287"/>
    <x v="1"/>
    <x v="4"/>
    <x v="7"/>
    <n v="3000"/>
    <n v="5000"/>
    <n v="0"/>
  </r>
  <r>
    <n v="342"/>
    <d v="2025-04-29T00:00:00"/>
    <x v="288"/>
    <x v="0"/>
    <x v="5"/>
    <x v="5"/>
    <n v="500000"/>
    <n v="700000"/>
    <n v="-0.5"/>
  </r>
  <r>
    <n v="343"/>
    <d v="2025-04-29T00:00:00"/>
    <x v="289"/>
    <x v="1"/>
    <x v="16"/>
    <x v="7"/>
    <n v="3000"/>
    <n v="5000"/>
    <n v="0"/>
  </r>
  <r>
    <n v="344"/>
    <d v="2025-04-29T00:00:00"/>
    <x v="290"/>
    <x v="1"/>
    <x v="4"/>
    <x v="7"/>
    <n v="3000"/>
    <n v="5000"/>
    <n v="0"/>
  </r>
  <r>
    <n v="345"/>
    <d v="2025-04-28T00:00:00"/>
    <x v="291"/>
    <x v="1"/>
    <x v="4"/>
    <x v="7"/>
    <n v="3000"/>
    <n v="5000"/>
    <n v="0"/>
  </r>
  <r>
    <n v="346"/>
    <d v="2025-04-28T00:00:00"/>
    <x v="292"/>
    <x v="1"/>
    <x v="4"/>
    <x v="7"/>
    <n v="3000"/>
    <n v="5000"/>
    <n v="0"/>
  </r>
  <r>
    <n v="347"/>
    <d v="2025-04-28T00:00:00"/>
    <x v="55"/>
    <x v="0"/>
    <x v="0"/>
    <x v="0"/>
    <n v="700000"/>
    <n v="1000000"/>
    <n v="0"/>
  </r>
  <r>
    <n v="348"/>
    <d v="2025-04-25T00:00:00"/>
    <x v="293"/>
    <x v="0"/>
    <x v="4"/>
    <x v="0"/>
    <n v="700000"/>
    <s v="в размере суммы излишнего дохода… но не менее 700 000 рублей"/>
    <n v="0"/>
  </r>
  <r>
    <n v="349"/>
    <d v="2025-04-25T00:00:00"/>
    <x v="147"/>
    <x v="0"/>
    <x v="5"/>
    <x v="5"/>
    <n v="500000"/>
    <n v="700000"/>
    <n v="-0.5"/>
  </r>
  <r>
    <n v="350"/>
    <d v="2025-04-25T00:00:00"/>
    <x v="209"/>
    <x v="0"/>
    <x v="5"/>
    <x v="5"/>
    <n v="500000"/>
    <n v="700000"/>
    <n v="-0.5"/>
  </r>
  <r>
    <n v="351"/>
    <d v="2025-04-22T00:00:00"/>
    <x v="294"/>
    <x v="1"/>
    <x v="4"/>
    <x v="7"/>
    <n v="3000"/>
    <n v="5000"/>
    <n v="0"/>
  </r>
  <r>
    <n v="352"/>
    <d v="2025-04-18T00:00:00"/>
    <x v="57"/>
    <x v="0"/>
    <x v="7"/>
    <x v="0"/>
    <n v="700000"/>
    <n v="1000000"/>
    <n v="0"/>
  </r>
  <r>
    <n v="353"/>
    <d v="2025-04-18T00:00:00"/>
    <x v="295"/>
    <x v="1"/>
    <x v="4"/>
    <x v="7"/>
    <n v="3000"/>
    <n v="5000"/>
    <n v="0"/>
  </r>
  <r>
    <n v="354"/>
    <d v="2025-04-17T00:00:00"/>
    <x v="296"/>
    <x v="1"/>
    <x v="4"/>
    <x v="7"/>
    <n v="3000"/>
    <n v="5000"/>
    <n v="0"/>
  </r>
  <r>
    <n v="355"/>
    <d v="2025-04-15T00:00:00"/>
    <x v="297"/>
    <x v="1"/>
    <x v="4"/>
    <x v="7"/>
    <n v="3000"/>
    <n v="5000"/>
    <n v="0"/>
  </r>
  <r>
    <n v="356"/>
    <d v="2025-04-15T00:00:00"/>
    <x v="209"/>
    <x v="0"/>
    <x v="5"/>
    <x v="5"/>
    <n v="500000"/>
    <n v="700000"/>
    <n v="-0.5"/>
  </r>
  <r>
    <n v="357"/>
    <d v="2025-04-15T00:00:00"/>
    <x v="298"/>
    <x v="0"/>
    <x v="2"/>
    <x v="6"/>
    <n v="300000"/>
    <n v="500000"/>
    <n v="0"/>
  </r>
  <r>
    <n v="358"/>
    <d v="2025-04-15T00:00:00"/>
    <x v="299"/>
    <x v="0"/>
    <x v="2"/>
    <x v="2"/>
    <n v="300000"/>
    <n v="500000"/>
    <e v="#VALUE!"/>
  </r>
  <r>
    <n v="359"/>
    <d v="2025-04-15T00:00:00"/>
    <x v="189"/>
    <x v="0"/>
    <x v="2"/>
    <x v="2"/>
    <n v="300000"/>
    <n v="500000"/>
    <e v="#VALUE!"/>
  </r>
  <r>
    <n v="359"/>
    <d v="2025-04-15T00:00:00"/>
    <x v="189"/>
    <x v="0"/>
    <x v="2"/>
    <x v="2"/>
    <n v="300000"/>
    <n v="500000"/>
    <e v="#VALUE!"/>
  </r>
  <r>
    <n v="360"/>
    <d v="2025-04-14T00:00:00"/>
    <x v="4"/>
    <x v="0"/>
    <x v="2"/>
    <x v="6"/>
    <n v="300000"/>
    <n v="500000"/>
    <n v="0"/>
  </r>
  <r>
    <n v="361"/>
    <d v="2025-04-14T00:00:00"/>
    <x v="300"/>
    <x v="1"/>
    <x v="4"/>
    <x v="7"/>
    <n v="3000"/>
    <n v="5000"/>
    <n v="0"/>
  </r>
  <r>
    <n v="362"/>
    <d v="2025-04-14T00:00:00"/>
    <x v="301"/>
    <x v="1"/>
    <x v="4"/>
    <x v="7"/>
    <n v="3000"/>
    <n v="5000"/>
    <n v="0"/>
  </r>
  <r>
    <n v="363"/>
    <d v="2025-04-11T00:00:00"/>
    <x v="191"/>
    <x v="0"/>
    <x v="2"/>
    <x v="6"/>
    <n v="300000"/>
    <n v="500000"/>
    <n v="0"/>
  </r>
  <r>
    <n v="364"/>
    <d v="2025-04-11T00:00:00"/>
    <x v="302"/>
    <x v="1"/>
    <x v="4"/>
    <x v="7"/>
    <n v="3000"/>
    <n v="5000"/>
    <n v="0"/>
  </r>
  <r>
    <n v="365"/>
    <d v="2025-04-08T00:00:00"/>
    <x v="303"/>
    <x v="0"/>
    <x v="2"/>
    <x v="6"/>
    <n v="300000"/>
    <n v="500000"/>
    <n v="0"/>
  </r>
  <r>
    <n v="366"/>
    <d v="2025-04-08T00:00:00"/>
    <x v="3"/>
    <x v="0"/>
    <x v="6"/>
    <x v="10"/>
    <n v="500000"/>
    <n v="700000"/>
    <n v="0"/>
  </r>
  <r>
    <n v="367"/>
    <d v="2025-04-08T00:00:00"/>
    <x v="304"/>
    <x v="1"/>
    <x v="4"/>
    <x v="7"/>
    <n v="3000"/>
    <n v="5000"/>
    <n v="0"/>
  </r>
  <r>
    <n v="368"/>
    <d v="2025-04-08T00:00:00"/>
    <x v="305"/>
    <x v="1"/>
    <x v="4"/>
    <x v="7"/>
    <n v="3000"/>
    <n v="5000"/>
    <n v="0"/>
  </r>
  <r>
    <n v="369"/>
    <d v="2025-04-08T00:00:00"/>
    <x v="306"/>
    <x v="1"/>
    <x v="4"/>
    <x v="7"/>
    <n v="3000"/>
    <n v="5000"/>
    <n v="0"/>
  </r>
  <r>
    <n v="370"/>
    <d v="2025-04-08T00:00:00"/>
    <x v="201"/>
    <x v="0"/>
    <x v="7"/>
    <x v="0"/>
    <n v="700000"/>
    <n v="1000000"/>
    <n v="0"/>
  </r>
  <r>
    <n v="371"/>
    <d v="2025-04-08T00:00:00"/>
    <x v="307"/>
    <x v="0"/>
    <x v="2"/>
    <x v="2"/>
    <n v="300000"/>
    <n v="500000"/>
    <e v="#VALUE!"/>
  </r>
  <r>
    <n v="372"/>
    <d v="2025-04-04T00:00:00"/>
    <x v="308"/>
    <x v="1"/>
    <x v="4"/>
    <x v="7"/>
    <n v="3000"/>
    <n v="5000"/>
    <n v="0"/>
  </r>
  <r>
    <n v="373"/>
    <d v="2025-04-01T00:00:00"/>
    <x v="309"/>
    <x v="1"/>
    <x v="4"/>
    <x v="7"/>
    <n v="3000"/>
    <n v="5000"/>
    <n v="0"/>
  </r>
  <r>
    <n v="374"/>
    <d v="2025-03-28T00:00:00"/>
    <x v="226"/>
    <x v="0"/>
    <x v="19"/>
    <x v="8"/>
    <n v="30000"/>
    <n v="50000"/>
    <n v="0"/>
  </r>
  <r>
    <n v="375"/>
    <d v="2025-03-28T00:00:00"/>
    <x v="310"/>
    <x v="1"/>
    <x v="4"/>
    <x v="7"/>
    <n v="3000"/>
    <n v="5000"/>
    <n v="0"/>
  </r>
  <r>
    <n v="376"/>
    <d v="2025-03-25T00:00:00"/>
    <x v="311"/>
    <x v="1"/>
    <x v="4"/>
    <x v="7"/>
    <n v="3000"/>
    <n v="5000"/>
    <n v="0"/>
  </r>
  <r>
    <n v="377"/>
    <d v="2025-03-25T00:00:00"/>
    <x v="312"/>
    <x v="1"/>
    <x v="4"/>
    <x v="7"/>
    <n v="3000"/>
    <n v="5000"/>
    <n v="0"/>
  </r>
  <r>
    <n v="378"/>
    <d v="2025-03-25T00:00:00"/>
    <x v="313"/>
    <x v="1"/>
    <x v="4"/>
    <x v="7"/>
    <n v="3000"/>
    <n v="5000"/>
    <n v="0"/>
  </r>
  <r>
    <n v="379"/>
    <d v="2025-03-25T00:00:00"/>
    <x v="314"/>
    <x v="1"/>
    <x v="4"/>
    <x v="7"/>
    <n v="3000"/>
    <n v="5000"/>
    <n v="0"/>
  </r>
  <r>
    <n v="380"/>
    <d v="2025-03-25T00:00:00"/>
    <x v="67"/>
    <x v="0"/>
    <x v="2"/>
    <x v="6"/>
    <n v="300000"/>
    <n v="500000"/>
    <n v="0"/>
  </r>
  <r>
    <n v="381"/>
    <d v="2025-03-25T00:00:00"/>
    <x v="315"/>
    <x v="0"/>
    <x v="8"/>
    <x v="2"/>
    <n v="500000"/>
    <n v="700000"/>
    <e v="#VALUE!"/>
  </r>
  <r>
    <n v="381"/>
    <d v="2025-03-25T00:00:00"/>
    <x v="315"/>
    <x v="0"/>
    <x v="20"/>
    <x v="2"/>
    <n v="300000"/>
    <n v="500000"/>
    <e v="#VALUE!"/>
  </r>
  <r>
    <n v="382"/>
    <d v="2025-03-21T00:00:00"/>
    <x v="49"/>
    <x v="0"/>
    <x v="6"/>
    <x v="5"/>
    <n v="500000"/>
    <n v="700000"/>
    <n v="-0.5"/>
  </r>
  <r>
    <n v="383"/>
    <d v="2025-03-21T00:00:00"/>
    <x v="316"/>
    <x v="1"/>
    <x v="4"/>
    <x v="7"/>
    <n v="3000"/>
    <n v="5000"/>
    <n v="0"/>
  </r>
  <r>
    <n v="384"/>
    <d v="2025-03-21T00:00:00"/>
    <x v="317"/>
    <x v="1"/>
    <x v="4"/>
    <x v="7"/>
    <n v="3000"/>
    <n v="5000"/>
    <n v="0"/>
  </r>
  <r>
    <n v="385"/>
    <d v="2025-03-21T00:00:00"/>
    <x v="318"/>
    <x v="1"/>
    <x v="4"/>
    <x v="7"/>
    <n v="3000"/>
    <n v="5000"/>
    <n v="0"/>
  </r>
  <r>
    <n v="387"/>
    <d v="2025-03-18T00:00:00"/>
    <x v="319"/>
    <x v="0"/>
    <x v="2"/>
    <x v="6"/>
    <n v="300000"/>
    <n v="500000"/>
    <n v="0"/>
  </r>
  <r>
    <n v="388"/>
    <d v="2025-03-18T00:00:00"/>
    <x v="320"/>
    <x v="0"/>
    <x v="0"/>
    <x v="0"/>
    <n v="700000"/>
    <n v="1000000"/>
    <n v="0"/>
  </r>
  <r>
    <n v="388"/>
    <d v="2025-03-18T00:00:00"/>
    <x v="320"/>
    <x v="0"/>
    <x v="0"/>
    <x v="0"/>
    <n v="700000"/>
    <n v="1000000"/>
    <n v="0"/>
  </r>
  <r>
    <n v="389"/>
    <d v="2025-03-18T00:00:00"/>
    <x v="321"/>
    <x v="0"/>
    <x v="8"/>
    <x v="2"/>
    <n v="500000"/>
    <n v="700000"/>
    <e v="#VALUE!"/>
  </r>
  <r>
    <n v="390"/>
    <d v="2025-03-18T00:00:00"/>
    <x v="322"/>
    <x v="0"/>
    <x v="2"/>
    <x v="2"/>
    <n v="300000"/>
    <n v="500000"/>
    <e v="#VALUE!"/>
  </r>
  <r>
    <n v="391"/>
    <d v="2025-03-18T00:00:00"/>
    <x v="323"/>
    <x v="0"/>
    <x v="2"/>
    <x v="6"/>
    <n v="300000"/>
    <n v="500000"/>
    <n v="0"/>
  </r>
  <r>
    <n v="392"/>
    <d v="2025-03-17T00:00:00"/>
    <x v="207"/>
    <x v="0"/>
    <x v="8"/>
    <x v="10"/>
    <n v="500000"/>
    <n v="700000"/>
    <n v="0"/>
  </r>
  <r>
    <n v="392"/>
    <d v="2025-03-17T00:00:00"/>
    <x v="207"/>
    <x v="0"/>
    <x v="2"/>
    <x v="6"/>
    <n v="300000"/>
    <n v="500000"/>
    <n v="0"/>
  </r>
  <r>
    <n v="393"/>
    <d v="2025-03-14T00:00:00"/>
    <x v="324"/>
    <x v="1"/>
    <x v="4"/>
    <x v="7"/>
    <n v="3000"/>
    <n v="5000"/>
    <n v="0"/>
  </r>
  <r>
    <n v="394"/>
    <d v="2025-03-14T00:00:00"/>
    <x v="325"/>
    <x v="1"/>
    <x v="4"/>
    <x v="7"/>
    <n v="3000"/>
    <n v="5000"/>
    <n v="0"/>
  </r>
  <r>
    <n v="395"/>
    <d v="2025-03-14T00:00:00"/>
    <x v="326"/>
    <x v="1"/>
    <x v="4"/>
    <x v="7"/>
    <n v="3000"/>
    <n v="5000"/>
    <n v="0"/>
  </r>
  <r>
    <n v="396"/>
    <d v="2025-03-14T00:00:00"/>
    <x v="85"/>
    <x v="0"/>
    <x v="0"/>
    <x v="2"/>
    <n v="700000"/>
    <n v="1000000"/>
    <e v="#VALUE!"/>
  </r>
  <r>
    <n v="397"/>
    <d v="2025-03-11T00:00:00"/>
    <x v="327"/>
    <x v="1"/>
    <x v="4"/>
    <x v="7"/>
    <n v="3000"/>
    <n v="5000"/>
    <n v="0"/>
  </r>
  <r>
    <n v="398"/>
    <d v="2025-03-11T00:00:00"/>
    <x v="328"/>
    <x v="1"/>
    <x v="4"/>
    <x v="7"/>
    <n v="3000"/>
    <n v="5000"/>
    <n v="0"/>
  </r>
  <r>
    <n v="399"/>
    <d v="2025-03-11T00:00:00"/>
    <x v="329"/>
    <x v="1"/>
    <x v="4"/>
    <x v="7"/>
    <n v="3000"/>
    <n v="5000"/>
    <n v="0"/>
  </r>
  <r>
    <n v="400"/>
    <d v="2025-03-10T00:00:00"/>
    <x v="330"/>
    <x v="1"/>
    <x v="4"/>
    <x v="7"/>
    <n v="3000"/>
    <n v="5000"/>
    <n v="0"/>
  </r>
  <r>
    <n v="401"/>
    <d v="2025-03-10T00:00:00"/>
    <x v="331"/>
    <x v="0"/>
    <x v="2"/>
    <x v="2"/>
    <n v="300000"/>
    <n v="500000"/>
    <e v="#VALUE!"/>
  </r>
  <r>
    <n v="402"/>
    <d v="2025-03-10T00:00:00"/>
    <x v="332"/>
    <x v="0"/>
    <x v="21"/>
    <x v="18"/>
    <n v="200000"/>
    <n v="300000"/>
    <n v="-0.5"/>
  </r>
  <r>
    <n v="403"/>
    <d v="2025-03-04T00:00:00"/>
    <x v="333"/>
    <x v="0"/>
    <x v="0"/>
    <x v="2"/>
    <n v="700000"/>
    <n v="1000000"/>
    <e v="#VALUE!"/>
  </r>
  <r>
    <n v="404"/>
    <d v="2025-03-03T00:00:00"/>
    <x v="334"/>
    <x v="1"/>
    <x v="4"/>
    <x v="7"/>
    <n v="3000"/>
    <n v="5000"/>
    <n v="0"/>
  </r>
  <r>
    <n v="405"/>
    <d v="2025-02-28T00:00:00"/>
    <x v="57"/>
    <x v="0"/>
    <x v="7"/>
    <x v="0"/>
    <n v="700000"/>
    <n v="1000000"/>
    <n v="0"/>
  </r>
  <r>
    <n v="406"/>
    <d v="2025-02-28T00:00:00"/>
    <x v="335"/>
    <x v="1"/>
    <x v="4"/>
    <x v="7"/>
    <n v="3000"/>
    <n v="5000"/>
    <n v="0"/>
  </r>
  <r>
    <n v="407"/>
    <d v="2025-02-25T00:00:00"/>
    <x v="49"/>
    <x v="0"/>
    <x v="6"/>
    <x v="5"/>
    <n v="500000"/>
    <n v="700000"/>
    <n v="-0.5"/>
  </r>
  <r>
    <n v="408"/>
    <d v="2025-02-25T00:00:00"/>
    <x v="336"/>
    <x v="0"/>
    <x v="8"/>
    <x v="2"/>
    <n v="500000"/>
    <n v="700000"/>
    <e v="#VALUE!"/>
  </r>
  <r>
    <n v="409"/>
    <d v="2025-02-25T00:00:00"/>
    <x v="337"/>
    <x v="1"/>
    <x v="4"/>
    <x v="7"/>
    <n v="3000"/>
    <n v="5000"/>
    <n v="0"/>
  </r>
  <r>
    <n v="410"/>
    <d v="2025-02-25T00:00:00"/>
    <x v="285"/>
    <x v="0"/>
    <x v="2"/>
    <x v="6"/>
    <n v="300000"/>
    <n v="500000"/>
    <n v="0"/>
  </r>
  <r>
    <n v="411"/>
    <d v="2025-02-24T00:00:00"/>
    <x v="56"/>
    <x v="0"/>
    <x v="7"/>
    <x v="0"/>
    <n v="700000"/>
    <n v="1000000"/>
    <n v="0"/>
  </r>
  <r>
    <n v="412"/>
    <d v="2025-02-24T00:00:00"/>
    <x v="298"/>
    <x v="0"/>
    <x v="2"/>
    <x v="6"/>
    <n v="300000"/>
    <n v="500000"/>
    <n v="0"/>
  </r>
  <r>
    <n v="413"/>
    <d v="2025-02-21T00:00:00"/>
    <x v="252"/>
    <x v="0"/>
    <x v="5"/>
    <x v="5"/>
    <n v="500000"/>
    <n v="700000"/>
    <n v="-0.5"/>
  </r>
  <r>
    <n v="414"/>
    <d v="2025-02-21T00:00:00"/>
    <x v="338"/>
    <x v="1"/>
    <x v="4"/>
    <x v="7"/>
    <n v="3000"/>
    <n v="5000"/>
    <n v="0"/>
  </r>
  <r>
    <n v="415"/>
    <d v="2025-02-18T00:00:00"/>
    <x v="211"/>
    <x v="0"/>
    <x v="9"/>
    <x v="10"/>
    <n v="500000"/>
    <n v="700000"/>
    <n v="0"/>
  </r>
  <r>
    <n v="416"/>
    <d v="2025-02-18T00:00:00"/>
    <x v="57"/>
    <x v="0"/>
    <x v="3"/>
    <x v="10"/>
    <n v="500000"/>
    <n v="700000"/>
    <n v="0"/>
  </r>
  <r>
    <n v="416"/>
    <d v="2025-02-18T00:00:00"/>
    <x v="57"/>
    <x v="0"/>
    <x v="0"/>
    <x v="0"/>
    <n v="700000"/>
    <n v="1000000"/>
    <n v="0"/>
  </r>
  <r>
    <n v="417"/>
    <d v="2025-02-18T00:00:00"/>
    <x v="339"/>
    <x v="0"/>
    <x v="2"/>
    <x v="6"/>
    <n v="300000"/>
    <n v="500000"/>
    <n v="0"/>
  </r>
  <r>
    <n v="418"/>
    <d v="2025-02-17T00:00:00"/>
    <x v="340"/>
    <x v="0"/>
    <x v="2"/>
    <x v="6"/>
    <n v="300000"/>
    <n v="500000"/>
    <n v="0"/>
  </r>
  <r>
    <n v="419"/>
    <d v="2025-02-14T00:00:00"/>
    <x v="341"/>
    <x v="1"/>
    <x v="4"/>
    <x v="7"/>
    <n v="3000"/>
    <n v="5000"/>
    <n v="0"/>
  </r>
  <r>
    <n v="420"/>
    <d v="2025-02-11T00:00:00"/>
    <x v="342"/>
    <x v="1"/>
    <x v="4"/>
    <x v="7"/>
    <n v="3000"/>
    <n v="5000"/>
    <n v="0"/>
  </r>
  <r>
    <n v="421"/>
    <d v="2025-02-11T00:00:00"/>
    <x v="205"/>
    <x v="0"/>
    <x v="7"/>
    <x v="4"/>
    <n v="700000"/>
    <n v="1000000"/>
    <n v="-0.5"/>
  </r>
  <r>
    <n v="422"/>
    <d v="2025-02-10T00:00:00"/>
    <x v="343"/>
    <x v="1"/>
    <x v="4"/>
    <x v="7"/>
    <n v="3000"/>
    <n v="5000"/>
    <n v="0"/>
  </r>
  <r>
    <n v="423"/>
    <d v="2025-02-10T00:00:00"/>
    <x v="344"/>
    <x v="0"/>
    <x v="8"/>
    <x v="2"/>
    <n v="500000"/>
    <n v="700000"/>
    <e v="#VALUE!"/>
  </r>
  <r>
    <n v="424"/>
    <d v="2025-01-28T00:00:00"/>
    <x v="345"/>
    <x v="1"/>
    <x v="4"/>
    <x v="7"/>
    <n v="3000"/>
    <n v="5000"/>
    <n v="0"/>
  </r>
  <r>
    <n v="425"/>
    <d v="2025-01-27T00:00:00"/>
    <x v="346"/>
    <x v="1"/>
    <x v="2"/>
    <x v="2"/>
    <n v="1000"/>
    <n v="3000"/>
    <e v="#VALUE!"/>
  </r>
  <r>
    <n v="426"/>
    <d v="2025-01-27T00:00:00"/>
    <x v="347"/>
    <x v="0"/>
    <x v="2"/>
    <x v="9"/>
    <n v="300000"/>
    <n v="500000"/>
    <n v="-0.5"/>
  </r>
  <r>
    <n v="427"/>
    <d v="2025-01-21T00:00:00"/>
    <x v="348"/>
    <x v="1"/>
    <x v="4"/>
    <x v="7"/>
    <n v="3000"/>
    <n v="5000"/>
    <n v="0"/>
  </r>
  <r>
    <n v="428"/>
    <d v="2025-01-10T00:00:00"/>
    <x v="55"/>
    <x v="0"/>
    <x v="0"/>
    <x v="0"/>
    <n v="700000"/>
    <n v="1000000"/>
    <n v="0"/>
  </r>
  <r>
    <n v="428"/>
    <d v="2025-01-10T00:00:00"/>
    <x v="55"/>
    <x v="0"/>
    <x v="0"/>
    <x v="0"/>
    <n v="700000"/>
    <n v="1000000"/>
    <n v="0"/>
  </r>
  <r>
    <n v="429"/>
    <d v="2025-01-10T00:00:00"/>
    <x v="67"/>
    <x v="0"/>
    <x v="7"/>
    <x v="0"/>
    <n v="700000"/>
    <n v="1000000"/>
    <n v="0"/>
  </r>
  <r>
    <n v="430"/>
    <d v="2025-01-10T00:00:00"/>
    <x v="57"/>
    <x v="0"/>
    <x v="1"/>
    <x v="0"/>
    <n v="700000"/>
    <n v="1000000"/>
    <n v="0"/>
  </r>
  <r>
    <n v="430"/>
    <d v="2025-01-10T00:00:00"/>
    <x v="57"/>
    <x v="0"/>
    <x v="2"/>
    <x v="6"/>
    <n v="300000"/>
    <n v="500000"/>
    <n v="0"/>
  </r>
  <r>
    <n v="431"/>
    <d v="2025-01-10T00:00:00"/>
    <x v="196"/>
    <x v="0"/>
    <x v="8"/>
    <x v="10"/>
    <n v="500000"/>
    <n v="700000"/>
    <n v="0"/>
  </r>
  <r>
    <n v="432"/>
    <d v="2025-01-10T00:00:00"/>
    <x v="349"/>
    <x v="0"/>
    <x v="8"/>
    <x v="2"/>
    <n v="500000"/>
    <n v="700000"/>
    <e v="#VALUE!"/>
  </r>
  <r>
    <n v="433"/>
    <d v="2025-01-09T00:00:00"/>
    <x v="197"/>
    <x v="0"/>
    <x v="6"/>
    <x v="2"/>
    <n v="500000"/>
    <n v="700000"/>
    <e v="#VALUE!"/>
  </r>
  <r>
    <n v="433"/>
    <d v="2025-01-09T00:00:00"/>
    <x v="197"/>
    <x v="0"/>
    <x v="5"/>
    <x v="5"/>
    <n v="500000"/>
    <n v="700000"/>
    <n v="-0.5"/>
  </r>
  <r>
    <n v="434"/>
    <d v="2025-01-09T00:00:00"/>
    <x v="350"/>
    <x v="0"/>
    <x v="6"/>
    <x v="2"/>
    <n v="500000"/>
    <n v="700000"/>
    <e v="#VALUE!"/>
  </r>
  <r>
    <n v="435"/>
    <d v="2025-01-09T00:00:00"/>
    <x v="311"/>
    <x v="1"/>
    <x v="4"/>
    <x v="7"/>
    <n v="3000"/>
    <n v="5000"/>
    <n v="0"/>
  </r>
  <r>
    <n v="436"/>
    <d v="2025-01-09T00:00:00"/>
    <x v="312"/>
    <x v="1"/>
    <x v="4"/>
    <x v="7"/>
    <n v="3000"/>
    <n v="5000"/>
    <n v="0"/>
  </r>
  <r>
    <n v="437"/>
    <d v="2025-01-09T00:00:00"/>
    <x v="67"/>
    <x v="0"/>
    <x v="2"/>
    <x v="6"/>
    <n v="300000"/>
    <n v="500000"/>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9">
  <r>
    <n v="1"/>
    <d v="2026-02-17T00:00:00"/>
    <s v="Акционерное общество «Негосударственный пенсионный фонд «Ростех»"/>
    <x v="0"/>
    <s v="ч.9 ст.15.29 КоАП РФ"/>
    <x v="0"/>
    <n v="700000"/>
    <n v="1000000"/>
    <n v="0"/>
    <x v="0"/>
  </r>
  <r>
    <n v="2"/>
    <d v="2026-02-17T00:00:00"/>
    <s v="Общество с ограниченной ответственностью «Управляющая компания_x000d__x000a_«Атон-менеджмент»"/>
    <x v="0"/>
    <s v="ч.6 ст.15.29 КоАП РФ"/>
    <x v="0"/>
    <n v="700000"/>
    <n v="1000000"/>
    <n v="0"/>
    <x v="0"/>
  </r>
  <r>
    <n v="2"/>
    <d v="2026-02-17T00:00:00"/>
    <s v="Общество с ограниченной ответственностью «Управляющая компания_x000d__x000a_«Атон-менеджмент»"/>
    <x v="0"/>
    <s v="ч.12 ст.15.29 КоАП РФ"/>
    <x v="1"/>
    <n v="300000"/>
    <n v="500000"/>
    <n v="6.6666666666666666E-2"/>
    <x v="1"/>
  </r>
  <r>
    <n v="3"/>
    <d v="2026-02-13T00:00:00"/>
    <s v="Акционерное общество_x000d__x000a_Управляющая компания «Центр Эссет Менеджмент»"/>
    <x v="0"/>
    <s v="ч.12 ст.15.29 КоАП РФ"/>
    <x v="2"/>
    <n v="300000"/>
    <n v="500000"/>
    <e v="#VALUE!"/>
    <x v="2"/>
  </r>
  <r>
    <n v="4"/>
    <d v="2026-02-10T00:00:00"/>
    <s v="АО «ИК «РИКОМ-ТРАСТ»"/>
    <x v="0"/>
    <s v="ч.9 ст.15.29 КоАП РФ"/>
    <x v="3"/>
    <n v="700000"/>
    <n v="1000000"/>
    <n v="1"/>
    <x v="3"/>
  </r>
  <r>
    <n v="5"/>
    <d v="2026-02-10T00:00:00"/>
    <s v="Акционерное общество ВИМ Инвестиции"/>
    <x v="0"/>
    <s v="ч.12 ст.15.29 КоАП РФ"/>
    <x v="4"/>
    <n v="300000"/>
    <n v="500000"/>
    <n v="0.16666666666666666"/>
    <x v="1"/>
  </r>
  <r>
    <n v="6"/>
    <d v="2026-02-10T00:00:00"/>
    <s v="Общество с ограниченной_x000d__x000a_ответственностью_x000d__x000a_«Управляющая компания_x000d__x000a_«Ресурс»"/>
    <x v="0"/>
    <s v="ч.6 ст.15.29 КоАП РФ"/>
    <x v="2"/>
    <n v="700000"/>
    <n v="1000000"/>
    <e v="#VALUE!"/>
    <x v="2"/>
  </r>
  <r>
    <n v="7"/>
    <d v="2026-02-10T00:00:00"/>
    <s v="Общество с ограниченной ответственностью «ТрастЮнион Эссет Менеджмент»"/>
    <x v="0"/>
    <s v="ч.12 ст.15.29 КоАП РФ"/>
    <x v="2"/>
    <n v="300000"/>
    <n v="500000"/>
    <e v="#VALUE!"/>
    <x v="2"/>
  </r>
  <r>
    <n v="8"/>
    <d v="2026-02-10T00:00:00"/>
    <s v="Акционерное общество «Управляющая Компания ТРИНФИКО»"/>
    <x v="0"/>
    <s v="ч.5 ст.15.29 КоАП РФ"/>
    <x v="5"/>
    <n v="500000"/>
    <n v="700000"/>
    <n v="-0.5"/>
    <x v="4"/>
  </r>
  <r>
    <n v="9"/>
    <d v="2026-02-09T00:00:00"/>
    <s v="ООО «Цифра брокер»"/>
    <x v="0"/>
    <s v="ч.12 ст.15.29 КоАП РФ"/>
    <x v="6"/>
    <n v="300000"/>
    <n v="500000"/>
    <n v="0"/>
    <x v="0"/>
  </r>
  <r>
    <n v="10"/>
    <d v="2026-02-06T00:00:00"/>
    <s v="Голубков Виктор Владимирович"/>
    <x v="1"/>
    <s v="ст.15.30 КоАП РФ"/>
    <x v="7"/>
    <n v="3000"/>
    <n v="5000"/>
    <n v="0"/>
    <x v="0"/>
  </r>
  <r>
    <n v="11"/>
    <d v="2026-02-06T00:00:00"/>
    <s v="генеральный директор общества с ограниченной ответственностью «Тринити Шиппинг» Ярошенко Александр Иванович"/>
    <x v="2"/>
    <s v="ст.15.30 КоАП РФ"/>
    <x v="8"/>
    <n v="30000"/>
    <n v="50000"/>
    <n v="0"/>
    <x v="0"/>
  </r>
  <r>
    <n v="12"/>
    <d v="2026-02-06T00:00:00"/>
    <s v="Гальямова Наталья Александровна"/>
    <x v="1"/>
    <s v="ст.15.30 КоАП РФ"/>
    <x v="7"/>
    <n v="3000"/>
    <n v="5000"/>
    <n v="0"/>
    <x v="0"/>
  </r>
  <r>
    <n v="13"/>
    <d v="2026-02-03T00:00:00"/>
    <s v="Чмыхало Юлия Анатольевна"/>
    <x v="1"/>
    <s v="ст.15.30 КоАП РФ"/>
    <x v="7"/>
    <n v="3000"/>
    <n v="5000"/>
    <n v="0"/>
    <x v="0"/>
  </r>
  <r>
    <n v="14"/>
    <d v="2026-01-30T00:00:00"/>
    <s v="Усольцева Яна Германовна"/>
    <x v="1"/>
    <s v="ст.15.30 КоАП РФ"/>
    <x v="7"/>
    <n v="3000"/>
    <n v="5000"/>
    <n v="0"/>
    <x v="0"/>
  </r>
  <r>
    <n v="15"/>
    <d v="2026-01-30T00:00:00"/>
    <s v="Краснова Галина Ивановна"/>
    <x v="1"/>
    <s v="ст.15.30 КоАП РФ"/>
    <x v="7"/>
    <n v="3000"/>
    <n v="5000"/>
    <n v="0"/>
    <x v="0"/>
  </r>
  <r>
    <n v="16"/>
    <d v="2026-01-30T00:00:00"/>
    <s v="Артамонов Валерий Геннадьевич"/>
    <x v="1"/>
    <s v="ст.15.30 КоАП РФ"/>
    <x v="7"/>
    <n v="3000"/>
    <n v="5000"/>
    <n v="0"/>
    <x v="0"/>
  </r>
  <r>
    <n v="17"/>
    <d v="2026-01-30T00:00:00"/>
    <s v="Манюкова Татьяна Васильевна"/>
    <x v="1"/>
    <s v="ст.15.30 КоАП РФ"/>
    <x v="7"/>
    <n v="3000"/>
    <n v="5000"/>
    <n v="0"/>
    <x v="0"/>
  </r>
  <r>
    <n v="18"/>
    <d v="2026-01-30T00:00:00"/>
    <s v="Доценко Марина Сергеевна"/>
    <x v="1"/>
    <s v="ст.15.30 КоАП РФ"/>
    <x v="7"/>
    <n v="3000"/>
    <n v="5000"/>
    <n v="0"/>
    <x v="0"/>
  </r>
  <r>
    <n v="19"/>
    <d v="2026-01-30T00:00:00"/>
    <s v="Гальямов Марсель Геральдович"/>
    <x v="1"/>
    <s v="ст.15.30 КоАП РФ"/>
    <x v="7"/>
    <n v="3000"/>
    <n v="5000"/>
    <n v="0"/>
    <x v="0"/>
  </r>
  <r>
    <n v="20"/>
    <d v="2026-01-30T00:00:00"/>
    <s v="Садыров Игорь Рашидович"/>
    <x v="1"/>
    <s v="ст.15.30 КоАП РФ"/>
    <x v="7"/>
    <n v="3000"/>
    <n v="5000"/>
    <n v="0"/>
    <x v="0"/>
  </r>
  <r>
    <n v="21"/>
    <d v="2026-01-27T00:00:00"/>
    <s v="Карчевский Павел Владимирович"/>
    <x v="1"/>
    <s v="ст.15.30 КоАП РФ"/>
    <x v="7"/>
    <n v="3000"/>
    <n v="5000"/>
    <n v="0"/>
    <x v="0"/>
  </r>
  <r>
    <n v="22"/>
    <d v="2026-01-27T00:00:00"/>
    <s v="Шушин Олег Игоревич"/>
    <x v="1"/>
    <s v="ст.15.30 КоАП РФ"/>
    <x v="7"/>
    <n v="3000"/>
    <n v="5000"/>
    <n v="0"/>
    <x v="0"/>
  </r>
  <r>
    <n v="23"/>
    <d v="2026-01-26T00:00:00"/>
    <s v="Беломытцева Наталия Сергеевна"/>
    <x v="1"/>
    <s v="ст.15.30 КоАП РФ"/>
    <x v="7"/>
    <n v="3000"/>
    <n v="5000"/>
    <n v="0"/>
    <x v="0"/>
  </r>
  <r>
    <n v="24"/>
    <d v="2026-01-23T00:00:00"/>
    <s v="Ретровская Нина Борисовна"/>
    <x v="1"/>
    <s v="ст.15.30 КоАП РФ"/>
    <x v="7"/>
    <n v="3000"/>
    <n v="5000"/>
    <n v="0"/>
    <x v="0"/>
  </r>
  <r>
    <n v="25"/>
    <d v="2026-01-23T00:00:00"/>
    <s v="Исаченко Наталия Николаевна"/>
    <x v="1"/>
    <s v="ст.15.30 КоАП РФ"/>
    <x v="7"/>
    <n v="3000"/>
    <n v="5000"/>
    <n v="0"/>
    <x v="0"/>
  </r>
  <r>
    <n v="26"/>
    <d v="2026-01-23T00:00:00"/>
    <s v="Беломытцев Павел Анатольевич"/>
    <x v="1"/>
    <s v="ст.15.30 КоАП РФ"/>
    <x v="7"/>
    <n v="3000"/>
    <n v="5000"/>
    <n v="0"/>
    <x v="0"/>
  </r>
  <r>
    <n v="27"/>
    <d v="2026-01-23T00:00:00"/>
    <s v="Зайцев Александр Олегович"/>
    <x v="1"/>
    <s v="ст.15.30 КоАП РФ"/>
    <x v="7"/>
    <n v="3000"/>
    <n v="5000"/>
    <n v="0"/>
    <x v="0"/>
  </r>
  <r>
    <n v="28"/>
    <d v="2026-01-23T00:00:00"/>
    <s v="Нарушева Елена Гаптелахатовна"/>
    <x v="1"/>
    <s v="ст.15.30 КоАП РФ"/>
    <x v="7"/>
    <n v="3000"/>
    <n v="5000"/>
    <n v="0"/>
    <x v="0"/>
  </r>
  <r>
    <n v="29"/>
    <d v="2026-01-23T00:00:00"/>
    <s v="Нарушев Андрей Иванович"/>
    <x v="1"/>
    <s v="ст.15.30 КоАП РФ"/>
    <x v="7"/>
    <n v="3000"/>
    <n v="5000"/>
    <n v="0"/>
    <x v="0"/>
  </r>
  <r>
    <n v="30"/>
    <d v="2026-01-19T00:00:00"/>
    <s v="ИП Панов Александр Константинович"/>
    <x v="1"/>
    <s v="ст.15.30 КоАП РФ"/>
    <x v="8"/>
    <n v="3000"/>
    <n v="5000"/>
    <n v="9"/>
    <x v="5"/>
  </r>
  <r>
    <n v="31"/>
    <d v="2026-01-19T00:00:00"/>
    <s v="ИП Панов Владимир Константинович"/>
    <x v="1"/>
    <s v="ст.15.30 КоАП РФ"/>
    <x v="8"/>
    <n v="3000"/>
    <n v="5000"/>
    <n v="9"/>
    <x v="5"/>
  </r>
  <r>
    <n v="32"/>
    <d v="2026-01-19T00:00:00"/>
    <s v="Оганезян Роман Рафикович"/>
    <x v="1"/>
    <s v="ст.15.30 КоАП РФ"/>
    <x v="7"/>
    <n v="3000"/>
    <n v="5000"/>
    <n v="0"/>
    <x v="0"/>
  </r>
  <r>
    <n v="33"/>
    <d v="2026-01-19T00:00:00"/>
    <s v="Клименко Артем Валерьевич"/>
    <x v="1"/>
    <s v="ст.15.30 КоАП РФ"/>
    <x v="7"/>
    <n v="3000"/>
    <n v="5000"/>
    <n v="0"/>
    <x v="0"/>
  </r>
  <r>
    <n v="34"/>
    <d v="2026-01-19T00:00:00"/>
    <s v="Тихомиров Вадим Владимирович"/>
    <x v="1"/>
    <s v="ст.15.30 КоАП РФ"/>
    <x v="7"/>
    <n v="3000"/>
    <n v="5000"/>
    <n v="0"/>
    <x v="0"/>
  </r>
  <r>
    <n v="35"/>
    <d v="2026-01-15T00:00:00"/>
    <s v="ООО &quot;Тринити Шиппинг&quot;"/>
    <x v="0"/>
    <s v="ст.15.30 КоАП РФ"/>
    <x v="0"/>
    <n v="700000"/>
    <s v="в размере суммы излишнего дохода… но не менее 700 000 рублей"/>
    <n v="0"/>
    <x v="0"/>
  </r>
  <r>
    <n v="36"/>
    <d v="2026-01-15T00:00:00"/>
    <s v="Бурыкин Иван Терентьевич"/>
    <x v="1"/>
    <s v="ст.15.30 КоАП РФ"/>
    <x v="7"/>
    <n v="3000"/>
    <n v="5000"/>
    <n v="0"/>
    <x v="0"/>
  </r>
  <r>
    <n v="37"/>
    <d v="2026-01-13T00:00:00"/>
    <s v="Колесникова Надежда Вячеславовна"/>
    <x v="1"/>
    <s v="ст.15.30 КоАП РФ"/>
    <x v="7"/>
    <n v="3000"/>
    <n v="5000"/>
    <n v="0"/>
    <x v="0"/>
  </r>
  <r>
    <n v="38"/>
    <d v="2026-01-13T00:00:00"/>
    <s v="Мазнев Андрей Вячеславович"/>
    <x v="1"/>
    <s v="ст.15.30 КоАП РФ"/>
    <x v="7"/>
    <n v="3000"/>
    <n v="5000"/>
    <n v="0"/>
    <x v="0"/>
  </r>
  <r>
    <n v="39"/>
    <d v="2026-01-13T00:00:00"/>
    <s v="Мазнев Сергей Вячеславович"/>
    <x v="1"/>
    <s v="ст.15.30 КоАП РФ"/>
    <x v="7"/>
    <n v="3000"/>
    <n v="5000"/>
    <n v="0"/>
    <x v="0"/>
  </r>
  <r>
    <n v="40"/>
    <d v="2026-01-13T00:00:00"/>
    <s v="Дмитриев Андрей Николаевич"/>
    <x v="1"/>
    <s v="ст.15.30 КоАП РФ"/>
    <x v="7"/>
    <n v="3000"/>
    <n v="5000"/>
    <n v="0"/>
    <x v="0"/>
  </r>
  <r>
    <n v="41"/>
    <d v="2026-01-13T00:00:00"/>
    <s v="Малык Герман Андреевич"/>
    <x v="1"/>
    <s v="ст.15.30 КоАП РФ"/>
    <x v="7"/>
    <n v="3000"/>
    <n v="5000"/>
    <n v="0"/>
    <x v="0"/>
  </r>
  <r>
    <n v="42"/>
    <d v="2026-01-13T00:00:00"/>
    <s v="Усачев Андрей Николаевич"/>
    <x v="1"/>
    <s v="ст.15.30 КоАП РФ"/>
    <x v="7"/>
    <n v="3000"/>
    <n v="5000"/>
    <n v="0"/>
    <x v="0"/>
  </r>
  <r>
    <n v="43"/>
    <d v="2026-01-13T00:00:00"/>
    <s v="Шушин Игорь Борисович"/>
    <x v="1"/>
    <s v="ст.15.30 КоАП РФ"/>
    <x v="7"/>
    <n v="3000"/>
    <n v="5000"/>
    <n v="0"/>
    <x v="0"/>
  </r>
  <r>
    <n v="44"/>
    <d v="2026-01-13T00:00:00"/>
    <s v="Шушина Татьяна Геннадьевна"/>
    <x v="1"/>
    <s v="ст.15.30 КоАП РФ"/>
    <x v="7"/>
    <n v="3000"/>
    <n v="5000"/>
    <n v="0"/>
    <x v="0"/>
  </r>
  <r>
    <n v="45"/>
    <d v="2026-01-13T00:00:00"/>
    <s v="Богачев Вячеслав Анатольевич"/>
    <x v="1"/>
    <s v="ст.15.30 КоАП РФ"/>
    <x v="7"/>
    <n v="3000"/>
    <n v="5000"/>
    <n v="0"/>
    <x v="0"/>
  </r>
  <r>
    <n v="46"/>
    <d v="2026-01-13T00:00:00"/>
    <s v="Султанаева Эльвира Дамировна"/>
    <x v="1"/>
    <s v="ст.15.30 КоАП РФ"/>
    <x v="7"/>
    <n v="3000"/>
    <n v="5000"/>
    <n v="0"/>
    <x v="0"/>
  </r>
  <r>
    <n v="47"/>
    <d v="2026-01-13T00:00:00"/>
    <s v="Бурыкин Иван Иванович"/>
    <x v="1"/>
    <s v="ст.15.30 КоАП РФ"/>
    <x v="7"/>
    <n v="3000"/>
    <n v="5000"/>
    <n v="0"/>
    <x v="0"/>
  </r>
  <r>
    <n v="48"/>
    <d v="2026-01-13T00:00:00"/>
    <s v="АО «ИК «РИКОМ-ТРАСТ»"/>
    <x v="0"/>
    <s v="ч.9 ст.15.29 КоАП РФ"/>
    <x v="3"/>
    <n v="700000"/>
    <n v="1000000"/>
    <n v="1"/>
    <x v="3"/>
  </r>
  <r>
    <n v="49"/>
    <d v="2026-01-13T00:00:00"/>
    <s v="ООО «КВАЛИТИ»"/>
    <x v="0"/>
    <s v="ч.9 ст.19.5 КоАП РФ"/>
    <x v="5"/>
    <n v="500000"/>
    <n v="700000"/>
    <n v="-0.5"/>
    <x v="4"/>
  </r>
  <r>
    <n v="50"/>
    <d v="2026-01-13T00:00:00"/>
    <s v="ООО «THEДЕНЬГИ.РУ»"/>
    <x v="0"/>
    <s v="ч.9 ст.19.5 КоАП РФ"/>
    <x v="5"/>
    <n v="500000"/>
    <n v="700000"/>
    <n v="-0.5"/>
    <x v="4"/>
  </r>
  <r>
    <n v="51"/>
    <d v="2026-01-13T00:00:00"/>
    <s v="ООО «ПФЛ НОВЫЕ ИНВЕСТИЦИИ»"/>
    <x v="0"/>
    <s v="ч.1 ст.19.7.3 КоАП РФ"/>
    <x v="4"/>
    <n v="500000"/>
    <n v="700000"/>
    <n v="-0.3"/>
    <x v="4"/>
  </r>
  <r>
    <n v="52"/>
    <d v="2026-01-13T00:00:00"/>
    <s v="ООО «ТОЧКА ИНВЕСТИЦИИ»"/>
    <x v="0"/>
    <s v="ч.1 ст.19.7.3 КоАП РФ"/>
    <x v="2"/>
    <n v="500000"/>
    <n v="700000"/>
    <e v="#VALUE!"/>
    <x v="2"/>
  </r>
  <r>
    <n v="53"/>
    <d v="2026-01-13T00:00:00"/>
    <s v="Акционерное общество &quot;Частные Активы&quot;"/>
    <x v="0"/>
    <s v="ч.12 ст.15.29 КоАП РФ"/>
    <x v="2"/>
    <n v="300000"/>
    <n v="500000"/>
    <e v="#VALUE!"/>
    <x v="2"/>
  </r>
  <r>
    <n v="54"/>
    <d v="2026-01-13T00:00:00"/>
    <s v="Общество с ограниченной ответственностью Управляющая Компания &quot;Юнион Инвест Групп&quot;"/>
    <x v="0"/>
    <s v="ч.9 ст.15.29 КоАП РФ"/>
    <x v="4"/>
    <n v="700000"/>
    <n v="1000000"/>
    <n v="-0.5"/>
    <x v="4"/>
  </r>
  <r>
    <n v="54"/>
    <d v="2026-01-13T00:00:00"/>
    <s v="Общество с ограниченной ответственностью Управляющая Компания &quot;Юнион Инвест Групп&quot;"/>
    <x v="0"/>
    <s v="ч.12 ст.15.29 КоАП РФ"/>
    <x v="9"/>
    <n v="300000"/>
    <n v="500000"/>
    <n v="-0.5"/>
    <x v="4"/>
  </r>
  <r>
    <n v="55"/>
    <d v="2026-01-13T00:00:00"/>
    <s v="Акционерное общество Негосударственный пенсионный фонд ВТБ Пенсионный фонд"/>
    <x v="0"/>
    <s v="ч.9 ст.15.29 КоАП РФ"/>
    <x v="0"/>
    <n v="700000"/>
    <n v="1000000"/>
    <n v="0"/>
    <x v="0"/>
  </r>
  <r>
    <n v="56"/>
    <d v="2026-01-13T00:00:00"/>
    <s v="Акционерное общество «Управляющая Компания ТРИНФИКО»"/>
    <x v="0"/>
    <s v="ч.2 ст.15.19 КоАП РФ"/>
    <x v="2"/>
    <n v="700000"/>
    <n v="1000000"/>
    <e v="#VALUE!"/>
    <x v="2"/>
  </r>
  <r>
    <n v="57"/>
    <d v="2026-01-13T00:00:00"/>
    <s v="Акционерное общество «АБ Капитал»"/>
    <x v="0"/>
    <s v="ч.2 ст.15.19 КоАП РФ"/>
    <x v="2"/>
    <n v="700000"/>
    <n v="1000000"/>
    <e v="#VALUE!"/>
    <x v="2"/>
  </r>
  <r>
    <n v="58"/>
    <d v="2026-01-13T00:00:00"/>
    <s v="Акционерное общество «Инвестиционная компания «РИКОМ-ТРАСТ»"/>
    <x v="0"/>
    <s v="ч.2 ст.15.29 КоАП РФ"/>
    <x v="10"/>
    <n v="500000"/>
    <n v="700000"/>
    <n v="0"/>
    <x v="0"/>
  </r>
  <r>
    <n v="59"/>
    <d v="2026-01-13T00:00:00"/>
    <s v="Общество с ограниченной ответственностью «Т-Капитал»"/>
    <x v="0"/>
    <s v="ч.2 ст.15.19 КоАП РФ"/>
    <x v="0"/>
    <n v="700000"/>
    <n v="1000000"/>
    <n v="0"/>
    <x v="0"/>
  </r>
  <r>
    <n v="60"/>
    <d v="2026-01-13T00:00:00"/>
    <s v="Общество с ограниченной ответственностью «РСХБ Управление Активами»"/>
    <x v="0"/>
    <s v="ч.12 ст.15.29 КоАП РФ"/>
    <x v="11"/>
    <n v="300000"/>
    <n v="500000"/>
    <n v="0.33333333333333331"/>
    <x v="1"/>
  </r>
  <r>
    <n v="61"/>
    <d v="2025-12-30T00:00:00"/>
    <s v="Акционерное общество  «Объединенное кредитное бюро»"/>
    <x v="0"/>
    <s v="ч.1 ст.19.7.3 КоАП РФ"/>
    <x v="0"/>
    <n v="500000"/>
    <n v="700000"/>
    <n v="1"/>
    <x v="3"/>
  </r>
  <r>
    <n v="62"/>
    <d v="2025-12-30T00:00:00"/>
    <s v="Пивень Наталья Анатольевна"/>
    <x v="1"/>
    <s v="ст.15.30 КоАП РФ"/>
    <x v="7"/>
    <n v="3000"/>
    <n v="5000"/>
    <n v="0"/>
    <x v="0"/>
  </r>
  <r>
    <n v="63"/>
    <d v="2025-12-30T00:00:00"/>
    <s v="Акционерное общество «Объединенное кредитное бюро»"/>
    <x v="0"/>
    <s v="ч.1 ст.19.7.3 КоАП РФ"/>
    <x v="0"/>
    <n v="500000"/>
    <n v="700000"/>
    <n v="1"/>
    <x v="3"/>
  </r>
  <r>
    <n v="64"/>
    <d v="2025-12-30T00:00:00"/>
    <s v="Пивень Демид Романович"/>
    <x v="1"/>
    <s v="ст.15.30 КоАП РФ"/>
    <x v="7"/>
    <n v="3000"/>
    <n v="5000"/>
    <n v="0"/>
    <x v="0"/>
  </r>
  <r>
    <n v="65"/>
    <d v="2025-12-29T00:00:00"/>
    <s v="Акционерное общество &quot;Инвестиционная компания &quot;Лидер&quot;"/>
    <x v="0"/>
    <s v="ч.2 ст.15.29 КоАП РФ"/>
    <x v="2"/>
    <n v="500000"/>
    <n v="700000"/>
    <e v="#VALUE!"/>
    <x v="2"/>
  </r>
  <r>
    <n v="66"/>
    <d v="2025-12-23T00:00:00"/>
    <s v="Кувшинова Анна Викторовна"/>
    <x v="1"/>
    <s v="ст.15.30 КоАП РФ"/>
    <x v="7"/>
    <n v="3000"/>
    <n v="5000"/>
    <n v="0"/>
    <x v="0"/>
  </r>
  <r>
    <n v="67"/>
    <d v="2025-12-23T00:00:00"/>
    <s v="Кувшинов Роман Сергеевич"/>
    <x v="1"/>
    <s v="ст.15.30 КоАП РФ"/>
    <x v="7"/>
    <n v="3000"/>
    <n v="5000"/>
    <n v="0"/>
    <x v="0"/>
  </r>
  <r>
    <n v="68"/>
    <d v="2025-12-23T00:00:00"/>
    <s v="Чамкин Михаил Александрович"/>
    <x v="1"/>
    <s v="ст.15.30 КоАП РФ"/>
    <x v="8"/>
    <n v="3000"/>
    <n v="5000"/>
    <n v="9"/>
    <x v="5"/>
  </r>
  <r>
    <n v="69"/>
    <d v="2025-12-23T00:00:00"/>
    <s v="ОБЩЕСТВО С ОГРАНИЧЕННОЙ ОТВЕТСТВЕННОСТЬЮ &quot;НАРОДНАЯ ИНВЕСТИЦИОННАЯ ПЛАТФОРМА&quot;"/>
    <x v="0"/>
    <s v="ч.9 ст.19.5 КоАП РФ"/>
    <x v="5"/>
    <n v="500000"/>
    <n v="700000"/>
    <n v="-0.5"/>
    <x v="4"/>
  </r>
  <r>
    <n v="70"/>
    <d v="2025-12-23T00:00:00"/>
    <s v="Акционерное общество «Управляющая компания «Первая»"/>
    <x v="0"/>
    <s v="ч.6 ст.15.29 КоАП РФ"/>
    <x v="0"/>
    <n v="700000"/>
    <n v="1000000"/>
    <n v="0"/>
    <x v="0"/>
  </r>
  <r>
    <n v="71"/>
    <d v="2025-12-23T00:00:00"/>
    <s v="Акционерное общество_x000d__x000a_«Контрада Капитал»"/>
    <x v="0"/>
    <s v="ч.12 ст.15.29 КоАП РФ"/>
    <x v="9"/>
    <n v="300000"/>
    <n v="500000"/>
    <n v="-0.5"/>
    <x v="4"/>
  </r>
  <r>
    <n v="71"/>
    <d v="2025-12-23T00:00:00"/>
    <s v="Акционерное общество_x000d__x000a_«Контрада Капитал»"/>
    <x v="0"/>
    <s v="ч.6 ст.15.29 КоАП РФ"/>
    <x v="4"/>
    <n v="700000"/>
    <n v="1000000"/>
    <n v="-0.5"/>
    <x v="4"/>
  </r>
  <r>
    <n v="72"/>
    <d v="2025-12-19T00:00:00"/>
    <s v="Общество с ограниченной ответственностью &quot;ТОРГОВАЯ СИСТЕМА&quot;"/>
    <x v="0"/>
    <s v="ст.15.30 КоАП РФ"/>
    <x v="4"/>
    <n v="700000"/>
    <s v="в размере суммы излишнего дохода… но не менее 700 000 рублей"/>
    <n v="-0.5"/>
    <x v="4"/>
  </r>
  <r>
    <n v="73"/>
    <d v="2025-12-19T00:00:00"/>
    <s v="Кривова Надежда Юнусовна"/>
    <x v="1"/>
    <s v="ст.15.30 КоАП РФ"/>
    <x v="7"/>
    <n v="3000"/>
    <n v="5000"/>
    <n v="0"/>
    <x v="0"/>
  </r>
  <r>
    <n v="74"/>
    <d v="2025-12-19T00:00:00"/>
    <s v="Кривов Вадим Иванович"/>
    <x v="1"/>
    <s v="ст.15.30 КоАП РФ"/>
    <x v="7"/>
    <n v="3000"/>
    <n v="5000"/>
    <n v="0"/>
    <x v="0"/>
  </r>
  <r>
    <n v="75"/>
    <d v="2025-12-19T00:00:00"/>
    <s v="Общество с ограниченной_x000d__x000a_ответственностью_x000d__x000a_«Совкомбанк Управление_x000d__x000a_Активами»"/>
    <x v="0"/>
    <s v="ч.12 ст.15.29 КоАП РФ"/>
    <x v="2"/>
    <n v="300000"/>
    <n v="500000"/>
    <e v="#VALUE!"/>
    <x v="2"/>
  </r>
  <r>
    <n v="76"/>
    <d v="2025-12-16T00:00:00"/>
    <s v="Общество с ограниченной ответственностью &quot;Зитрон&quot;"/>
    <x v="0"/>
    <s v="ст.15.30 КоАП РФ"/>
    <x v="4"/>
    <n v="700000"/>
    <s v="в размере суммы излишнего дохода… но не менее 700 000 рублей"/>
    <n v="-0.5"/>
    <x v="4"/>
  </r>
  <r>
    <n v="77"/>
    <d v="2025-12-16T00:00:00"/>
    <s v="Акционерное общество «НРК-Р.О.С.Т.»"/>
    <x v="0"/>
    <s v="ч.7 ст.15.29 КоАП РФ"/>
    <x v="10"/>
    <n v="500000"/>
    <n v="700000"/>
    <n v="0"/>
    <x v="0"/>
  </r>
  <r>
    <n v="78"/>
    <d v="2025-12-16T00:00:00"/>
    <s v="Общество с ограниченной ответственностью «Бюро кредитных историй КредитИнфо»"/>
    <x v="0"/>
    <s v="ч.1 ст.19.7.3 КоАП РФ"/>
    <x v="10"/>
    <n v="500000"/>
    <n v="700000"/>
    <n v="0"/>
    <x v="0"/>
  </r>
  <r>
    <n v="79"/>
    <d v="2025-12-16T00:00:00"/>
    <s v="Общество с ограниченной ответственностью «Апрель Капитал Брокер»"/>
    <x v="0"/>
    <s v="ч.2 ст.15.29 КоАП РФ"/>
    <x v="2"/>
    <n v="500000"/>
    <n v="700000"/>
    <e v="#VALUE!"/>
    <x v="2"/>
  </r>
  <r>
    <n v="80"/>
    <d v="2025-12-15T00:00:00"/>
    <s v="Акционерное общество_x000d__x000a_«Всероссийский банк_x000d__x000a_развития регионов»"/>
    <x v="0"/>
    <s v="ч.12 ст.15.29 КоАП РФ"/>
    <x v="2"/>
    <n v="300000"/>
    <n v="500000"/>
    <e v="#VALUE!"/>
    <x v="2"/>
  </r>
  <r>
    <n v="81"/>
    <d v="2025-12-12T00:00:00"/>
    <s v="Денисова Екатерина Алексеевна"/>
    <x v="1"/>
    <s v="ст.15.30 КоАП РФ"/>
    <x v="7"/>
    <n v="3000"/>
    <n v="5000"/>
    <n v="0"/>
    <x v="0"/>
  </r>
  <r>
    <n v="82"/>
    <d v="2025-12-11T00:00:00"/>
    <s v="Абхаликов Марсель Абдулвалеевич"/>
    <x v="1"/>
    <s v="ст.15.30 КоАП РФ"/>
    <x v="7"/>
    <n v="3000"/>
    <n v="5000"/>
    <n v="0"/>
    <x v="0"/>
  </r>
  <r>
    <n v="83"/>
    <d v="2025-12-10T00:00:00"/>
    <s v="Богачев Алексей Анатольевич"/>
    <x v="1"/>
    <s v="ст.15.30 КоАП РФ"/>
    <x v="7"/>
    <n v="3000"/>
    <n v="5000"/>
    <n v="0"/>
    <x v="0"/>
  </r>
  <r>
    <n v="84"/>
    <d v="2025-12-09T00:00:00"/>
    <s v="Акционерное общество «Управляющая компания «Парадигма»"/>
    <x v="0"/>
    <s v="ч.12 ст.15.29 КоАП РФ"/>
    <x v="2"/>
    <n v="300000"/>
    <n v="500000"/>
    <e v="#VALUE!"/>
    <x v="2"/>
  </r>
  <r>
    <n v="85"/>
    <d v="2025-12-08T00:00:00"/>
    <s v="Сысун Константин Валерьевич"/>
    <x v="1"/>
    <s v="ст.15.30 КоАП РФ"/>
    <x v="7"/>
    <n v="3000"/>
    <n v="5000"/>
    <n v="0"/>
    <x v="0"/>
  </r>
  <r>
    <n v="86"/>
    <d v="2025-12-08T00:00:00"/>
    <s v="Краснов Борис Владимирович"/>
    <x v="1"/>
    <s v="ст.15.30 КоАП РФ"/>
    <x v="7"/>
    <n v="3000"/>
    <n v="5000"/>
    <n v="0"/>
    <x v="0"/>
  </r>
  <r>
    <n v="87"/>
    <d v="2025-12-05T00:00:00"/>
    <s v="Общество с ограниченной ответственностью «МКБ Инвестиции»"/>
    <x v="0"/>
    <s v="ч.9 ст.15.29 КоАП РФ"/>
    <x v="0"/>
    <n v="700000"/>
    <n v="1000000"/>
    <n v="0"/>
    <x v="0"/>
  </r>
  <r>
    <n v="88"/>
    <d v="2025-12-05T00:00:00"/>
    <s v="Акционерное общество «Негосударственный пенсионный фонд «БЛАГОСОСТОЯНИЕ»"/>
    <x v="0"/>
    <s v="ч.9 ст.15.29 КоАП РФ"/>
    <x v="0"/>
    <n v="700000"/>
    <n v="1000000"/>
    <n v="0"/>
    <x v="0"/>
  </r>
  <r>
    <n v="89"/>
    <d v="2025-12-02T00:00:00"/>
    <s v="Акционерное общество «Инвестиционная компания «РИКОМ-ТРАСТ»"/>
    <x v="0"/>
    <s v="ч.2 ст.15.19 КоАП РФ"/>
    <x v="0"/>
    <n v="700000"/>
    <n v="1000000"/>
    <n v="0"/>
    <x v="0"/>
  </r>
  <r>
    <n v="90"/>
    <d v="2025-11-28T00:00:00"/>
    <s v="Акционерное общество &quot;Национальное бюро кредитных историй!"/>
    <x v="0"/>
    <s v="ст.14.30 КоАП РФ"/>
    <x v="12"/>
    <n v="10000"/>
    <n v="20000"/>
    <n v="0"/>
    <x v="0"/>
  </r>
  <r>
    <n v="91"/>
    <d v="2025-11-25T00:00:00"/>
    <s v="Акционерное общество «Инвестиционная компания «РИКОМ-ТРАСТ»"/>
    <x v="0"/>
    <s v="ч.1 ст.19.7.3 КоАП РФ"/>
    <x v="0"/>
    <n v="500000"/>
    <n v="700000"/>
    <n v="1"/>
    <x v="3"/>
  </r>
  <r>
    <n v="92"/>
    <d v="2025-11-25T00:00:00"/>
    <s v="Акционерное общество «ТБанк»"/>
    <x v="0"/>
    <s v="ч.2 ст.15.19 КоАП РФ"/>
    <x v="0"/>
    <n v="700000"/>
    <n v="1000000"/>
    <n v="0"/>
    <x v="0"/>
  </r>
  <r>
    <n v="93"/>
    <d v="2025-11-25T00:00:00"/>
    <s v="Акционерное общество «Райффайзенбанк»"/>
    <x v="0"/>
    <s v="ч.2 ст.15.19 КоАП РФ"/>
    <x v="0"/>
    <n v="700000"/>
    <n v="1000000"/>
    <n v="0"/>
    <x v="0"/>
  </r>
  <r>
    <n v="94"/>
    <d v="2025-11-25T00:00:00"/>
    <s v="Общество с ограниченной ответственностью Управляющая компания «Надежное управление»"/>
    <x v="0"/>
    <s v="ч.12 ст.15.29 КоАП РФ"/>
    <x v="13"/>
    <n v="300000"/>
    <n v="500000"/>
    <n v="-0.46666666666666667"/>
    <x v="4"/>
  </r>
  <r>
    <n v="95"/>
    <d v="2025-11-24T00:00:00"/>
    <s v="Агамирова Ламара Бегларовна"/>
    <x v="1"/>
    <s v="ст.15.30 КоАП РФ"/>
    <x v="7"/>
    <n v="3000"/>
    <n v="5000"/>
    <n v="0"/>
    <x v="0"/>
  </r>
  <r>
    <n v="96"/>
    <d v="2025-11-24T00:00:00"/>
    <s v="Третьякова Надежда Яковлевна"/>
    <x v="1"/>
    <s v="ст.15.30 КоАП РФ"/>
    <x v="7"/>
    <n v="3000"/>
    <n v="5000"/>
    <n v="0"/>
    <x v="0"/>
  </r>
  <r>
    <n v="97"/>
    <d v="2025-11-24T00:00:00"/>
    <s v="ООО УК «ФИН-Партнер»"/>
    <x v="0"/>
    <s v="ч.12 ст.15.29 КоАП РФ"/>
    <x v="2"/>
    <n v="300000"/>
    <n v="500000"/>
    <e v="#VALUE!"/>
    <x v="2"/>
  </r>
  <r>
    <n v="98"/>
    <d v="2025-11-24T00:00:00"/>
    <s v="Акционерное общество «СОЛИД Менеджмент»"/>
    <x v="0"/>
    <s v="ч.2 ст.15.19 КоАП РФ"/>
    <x v="4"/>
    <n v="700000"/>
    <n v="1000000"/>
    <n v="-0.5"/>
    <x v="4"/>
  </r>
  <r>
    <n v="98"/>
    <d v="2025-11-24T00:00:00"/>
    <s v="Акционерное общество «СОЛИД Менеджмент»"/>
    <x v="0"/>
    <s v="ч.2 ст.15.19 КоАП РФ"/>
    <x v="4"/>
    <n v="700000"/>
    <n v="1000000"/>
    <n v="-0.5"/>
    <x v="4"/>
  </r>
  <r>
    <n v="99"/>
    <d v="2025-11-22T00:00:00"/>
    <s v="АО «НРК-Р.О.С.Т.»"/>
    <x v="0"/>
    <s v="ч.1 ст.19.7.3 КоАП РФ"/>
    <x v="2"/>
    <n v="500000"/>
    <n v="700000"/>
    <e v="#VALUE!"/>
    <x v="2"/>
  </r>
  <r>
    <n v="100"/>
    <d v="2025-11-21T00:00:00"/>
    <s v="ОБЩЕСТВО С ОГРАНИЧЕННОЙ ОТВЕТСТВЕННОСТЬЮ «НАРОДНАЯ ИНВЕСТИЦИОННАЯ ПЛАТФОРМА»"/>
    <x v="0"/>
    <s v="ч.9 ст.19.5 КоАП РФ"/>
    <x v="5"/>
    <n v="500000"/>
    <n v="700000"/>
    <n v="-0.5"/>
    <x v="4"/>
  </r>
  <r>
    <n v="101"/>
    <d v="2025-11-21T00:00:00"/>
    <s v="Общество с ограниченной ответственностью ВИМ Сбережения"/>
    <x v="0"/>
    <s v="ч.9 ст.15.29 КоАП РФ"/>
    <x v="0"/>
    <n v="700000"/>
    <n v="1000000"/>
    <n v="0"/>
    <x v="0"/>
  </r>
  <r>
    <n v="102"/>
    <d v="2025-11-18T00:00:00"/>
    <s v="Кислица Дмитрий Николаевич"/>
    <x v="1"/>
    <s v="ст.15.30 КоАП РФ"/>
    <x v="7"/>
    <n v="3000"/>
    <n v="5000"/>
    <n v="0"/>
    <x v="0"/>
  </r>
  <r>
    <n v="103"/>
    <d v="2025-11-18T00:00:00"/>
    <s v="Гаспарян Сергей Эдуардович"/>
    <x v="1"/>
    <s v="ст.15.30 КоАП РФ"/>
    <x v="7"/>
    <n v="3000"/>
    <n v="5000"/>
    <n v="0"/>
    <x v="0"/>
  </r>
  <r>
    <n v="104"/>
    <d v="2025-11-18T00:00:00"/>
    <s v="Ледник Мария Ивановна"/>
    <x v="1"/>
    <s v="ст.15.30 КоАП РФ"/>
    <x v="7"/>
    <n v="3000"/>
    <n v="5000"/>
    <n v="0"/>
    <x v="0"/>
  </r>
  <r>
    <n v="105"/>
    <d v="2025-11-18T00:00:00"/>
    <s v="Финк Александр Яковлевич"/>
    <x v="1"/>
    <s v="ст.15.30 КоАП РФ"/>
    <x v="7"/>
    <n v="3000"/>
    <n v="5000"/>
    <n v="0"/>
    <x v="0"/>
  </r>
  <r>
    <n v="106"/>
    <d v="2025-11-18T00:00:00"/>
    <s v="Когай Геннадий Григорьевич"/>
    <x v="1"/>
    <s v="ст.15.30 КоАП РФ"/>
    <x v="7"/>
    <n v="3000"/>
    <n v="5000"/>
    <n v="0"/>
    <x v="0"/>
  </r>
  <r>
    <n v="107"/>
    <d v="2025-11-18T00:00:00"/>
    <s v="Багров Дмитрий Андреевич"/>
    <x v="1"/>
    <s v="ст.15.30 КоАП РФ"/>
    <x v="7"/>
    <n v="3000"/>
    <n v="5000"/>
    <n v="0"/>
    <x v="0"/>
  </r>
  <r>
    <n v="108"/>
    <d v="2025-11-18T00:00:00"/>
    <s v="Денисов Павел Геннадьевич"/>
    <x v="1"/>
    <s v="ст.15.30 КоАП РФ"/>
    <x v="7"/>
    <n v="3000"/>
    <n v="5000"/>
    <n v="0"/>
    <x v="0"/>
  </r>
  <r>
    <n v="109"/>
    <d v="2025-11-14T00:00:00"/>
    <s v="Бастракова Дарья Дмитриевна"/>
    <x v="1"/>
    <s v="ст.15.30 КоАП РФ"/>
    <x v="7"/>
    <n v="3000"/>
    <n v="5000"/>
    <n v="0"/>
    <x v="0"/>
  </r>
  <r>
    <n v="110"/>
    <d v="2025-11-14T00:00:00"/>
    <s v="Трубина Наталья Владимировна"/>
    <x v="1"/>
    <s v="ст.15.30 КоАП РФ"/>
    <x v="7"/>
    <n v="3000"/>
    <n v="5000"/>
    <n v="0"/>
    <x v="0"/>
  </r>
  <r>
    <n v="111"/>
    <d v="2025-11-13T00:00:00"/>
    <s v="Горячева Елена Петровна"/>
    <x v="1"/>
    <s v="ст.15.30 КоАП РФ"/>
    <x v="7"/>
    <n v="3000"/>
    <n v="5000"/>
    <n v="0"/>
    <x v="0"/>
  </r>
  <r>
    <n v="112"/>
    <d v="2025-11-12T00:00:00"/>
    <s v="Медюх Игорь Иосифович"/>
    <x v="1"/>
    <s v="ст.15.30 КоАП РФ"/>
    <x v="7"/>
    <n v="3000"/>
    <n v="5000"/>
    <n v="0"/>
    <x v="0"/>
  </r>
  <r>
    <n v="113"/>
    <d v="2025-11-12T00:00:00"/>
    <s v="Медюх Елена Геннадьевна"/>
    <x v="1"/>
    <s v="ст.15.30 КоАП РФ"/>
    <x v="7"/>
    <n v="3000"/>
    <n v="5000"/>
    <n v="0"/>
    <x v="0"/>
  </r>
  <r>
    <n v="114"/>
    <d v="2025-11-12T00:00:00"/>
    <s v="Байкова Анастасия Юрьевна"/>
    <x v="1"/>
    <s v="ст.15.30 КоАП РФ"/>
    <x v="7"/>
    <n v="3000"/>
    <n v="5000"/>
    <n v="0"/>
    <x v="0"/>
  </r>
  <r>
    <n v="115"/>
    <d v="2025-11-11T00:00:00"/>
    <s v="Бурыкина Оксана Валентиновна"/>
    <x v="1"/>
    <s v="ст.15.30 КоАП РФ"/>
    <x v="7"/>
    <n v="3000"/>
    <n v="5000"/>
    <n v="0"/>
    <x v="0"/>
  </r>
  <r>
    <n v="116"/>
    <d v="2025-11-11T00:00:00"/>
    <s v="Кислица Егор Дмитриевич"/>
    <x v="1"/>
    <s v="ст.15.30 КоАП РФ"/>
    <x v="7"/>
    <n v="3000"/>
    <n v="5000"/>
    <n v="0"/>
    <x v="0"/>
  </r>
  <r>
    <n v="117"/>
    <d v="2025-11-11T00:00:00"/>
    <s v="Савина Александра Юрьевна"/>
    <x v="1"/>
    <s v="ст.15.30 КоАП РФ"/>
    <x v="7"/>
    <n v="3000"/>
    <n v="5000"/>
    <n v="0"/>
    <x v="0"/>
  </r>
  <r>
    <n v="118"/>
    <d v="2025-11-11T00:00:00"/>
    <s v="Комаров Михаил Владимирович"/>
    <x v="1"/>
    <s v="ст.15.30 КоАП РФ"/>
    <x v="7"/>
    <n v="3000"/>
    <n v="5000"/>
    <n v="0"/>
    <x v="0"/>
  </r>
  <r>
    <n v="119"/>
    <d v="2025-11-11T00:00:00"/>
    <s v="Акционерное общество «Объединенное Кредитное Бюро»"/>
    <x v="0"/>
    <s v="ч.2 ст.5.54 КоАП РФ"/>
    <x v="14"/>
    <n v="30000"/>
    <n v="50000"/>
    <n v="1"/>
    <x v="3"/>
  </r>
  <r>
    <n v="119"/>
    <d v="2025-11-11T00:00:00"/>
    <s v="Акционерное общество «Объединенное Кредитное Бюро»"/>
    <x v="0"/>
    <s v="ч.1 ст.5.54 КоАП РФ"/>
    <x v="15"/>
    <n v="10000"/>
    <n v="20000"/>
    <n v="1"/>
    <x v="3"/>
  </r>
  <r>
    <n v="119"/>
    <d v="2025-11-11T00:00:00"/>
    <s v="Акционерное общество «Объединенное Кредитное Бюро»"/>
    <x v="0"/>
    <s v="ч.1 ст.5.54 КоАП РФ"/>
    <x v="15"/>
    <n v="10000"/>
    <n v="20000"/>
    <n v="1"/>
    <x v="3"/>
  </r>
  <r>
    <n v="120"/>
    <d v="2025-11-11T00:00:00"/>
    <s v="Акционерное общество «СОЛИД Менеджмент»"/>
    <x v="0"/>
    <s v="ч.12 ст.15.29 КоАП РФ"/>
    <x v="9"/>
    <n v="300000"/>
    <n v="500000"/>
    <n v="-0.5"/>
    <x v="4"/>
  </r>
  <r>
    <n v="121"/>
    <d v="2025-11-11T00:00:00"/>
    <s v="Акционерное общество_x000d__x000a_Инвестиционно-финансовая_x000d__x000a_компания «Солид»"/>
    <x v="0"/>
    <s v="ч.2 ст.15.29 КоАП РФ"/>
    <x v="16"/>
    <n v="500000"/>
    <n v="700000"/>
    <n v="0.1"/>
    <x v="1"/>
  </r>
  <r>
    <n v="122"/>
    <d v="2025-11-11T00:00:00"/>
    <s v="Общество с ограниченной ответственностью «Управляющая компания «ГЕРФИН»"/>
    <x v="0"/>
    <s v="ч.9 ст.15.29 КоАП РФ"/>
    <x v="4"/>
    <n v="700000"/>
    <n v="1000000"/>
    <n v="-0.5"/>
    <x v="4"/>
  </r>
  <r>
    <n v="122"/>
    <d v="2025-11-11T00:00:00"/>
    <s v="Общество с ограниченной ответственностью «Управляющая компания «ГЕРФИН»"/>
    <x v="0"/>
    <s v="ч.9 ст.15.29 КоАП РФ"/>
    <x v="4"/>
    <n v="700000"/>
    <n v="1000000"/>
    <n v="-0.5"/>
    <x v="4"/>
  </r>
  <r>
    <n v="122"/>
    <d v="2025-11-11T00:00:00"/>
    <s v="Общество с ограниченной ответственностью «Управляющая компания «ГЕРФИН»"/>
    <x v="0"/>
    <s v="ч.9 ст.15.29 КоАП РФ"/>
    <x v="4"/>
    <n v="700000"/>
    <n v="1000000"/>
    <n v="-0.5"/>
    <x v="4"/>
  </r>
  <r>
    <n v="122"/>
    <d v="2025-11-11T00:00:00"/>
    <s v="Общество с ограниченной ответственностью «Управляющая компания «ГЕРФИН»"/>
    <x v="0"/>
    <s v="ч.9 ст.15.29 КоАП РФ"/>
    <x v="4"/>
    <n v="700000"/>
    <n v="1000000"/>
    <n v="-0.5"/>
    <x v="4"/>
  </r>
  <r>
    <n v="122"/>
    <d v="2025-11-11T00:00:00"/>
    <s v="Общество с ограниченной ответственностью «Управляющая компания «ГЕРФИН»"/>
    <x v="0"/>
    <s v="ч.9 ст.15.29 КоАП РФ"/>
    <x v="4"/>
    <n v="700000"/>
    <n v="1000000"/>
    <n v="-0.5"/>
    <x v="4"/>
  </r>
  <r>
    <n v="122"/>
    <d v="2025-11-11T00:00:00"/>
    <s v="Общество с ограниченной ответственностью «Управляющая компания «ГЕРФИН»"/>
    <x v="0"/>
    <s v="ч.9 ст.15.29 КоАП РФ"/>
    <x v="4"/>
    <n v="700000"/>
    <n v="1000000"/>
    <n v="-0.5"/>
    <x v="4"/>
  </r>
  <r>
    <n v="122"/>
    <d v="2025-11-11T00:00:00"/>
    <s v="Общество с ограниченной ответственностью «Управляющая компания «ГЕРФИН»"/>
    <x v="0"/>
    <s v="ч.9 ст.15.29 КоАП РФ"/>
    <x v="4"/>
    <n v="700000"/>
    <n v="1000000"/>
    <n v="-0.5"/>
    <x v="4"/>
  </r>
  <r>
    <n v="123"/>
    <d v="2025-11-11T00:00:00"/>
    <s v="Акционерное общество «Управляющая компания «Первая»"/>
    <x v="0"/>
    <s v="ч.6 ст.15.29 КоАП РФ"/>
    <x v="0"/>
    <n v="700000"/>
    <n v="1000000"/>
    <n v="0"/>
    <x v="0"/>
  </r>
  <r>
    <n v="124"/>
    <d v="2025-11-10T00:00:00"/>
    <s v="Бурыкин Иван Терентьевич"/>
    <x v="1"/>
    <s v="ст.15.30 КоАП РФ"/>
    <x v="7"/>
    <n v="3000"/>
    <n v="5000"/>
    <n v="0"/>
    <x v="0"/>
  </r>
  <r>
    <n v="125"/>
    <d v="2025-11-10T00:00:00"/>
    <s v="Глазкова Екатерина Николаевна"/>
    <x v="1"/>
    <s v="ст.15.30 КоАП РФ"/>
    <x v="7"/>
    <n v="3000"/>
    <n v="5000"/>
    <n v="0"/>
    <x v="0"/>
  </r>
  <r>
    <n v="126"/>
    <d v="2025-11-10T00:00:00"/>
    <s v="Глазков Алексей Геннадьевич"/>
    <x v="1"/>
    <s v="ст.15.30 КоАП РФ"/>
    <x v="7"/>
    <n v="3000"/>
    <n v="5000"/>
    <n v="0"/>
    <x v="0"/>
  </r>
  <r>
    <n v="127"/>
    <d v="2025-11-10T00:00:00"/>
    <s v="Ювженко Александр Витальевич"/>
    <x v="1"/>
    <s v="ст.15.30 КоАП РФ"/>
    <x v="7"/>
    <n v="3000"/>
    <n v="5000"/>
    <n v="0"/>
    <x v="0"/>
  </r>
  <r>
    <n v="128"/>
    <d v="2025-11-07T00:00:00"/>
    <s v="АО «ИК «РИКОМ-ТРАСТ"/>
    <x v="0"/>
    <s v="ч.1 ст.19.7.3 КоАП РФ"/>
    <x v="0"/>
    <n v="500000"/>
    <n v="700000"/>
    <n v="1"/>
    <x v="3"/>
  </r>
  <r>
    <n v="129"/>
    <d v="2025-11-07T00:00:00"/>
    <s v="Сулейманова Танья Нурмухаметовна"/>
    <x v="1"/>
    <s v="ст.15.30 КоАП РФ"/>
    <x v="7"/>
    <n v="3000"/>
    <n v="5000"/>
    <n v="0"/>
    <x v="0"/>
  </r>
  <r>
    <n v="130"/>
    <d v="2025-11-07T00:00:00"/>
    <s v="Кемайкин Григорий Владимирович"/>
    <x v="1"/>
    <s v="ст.15.30 КоАП РФ"/>
    <x v="7"/>
    <n v="3000"/>
    <n v="5000"/>
    <n v="0"/>
    <x v="0"/>
  </r>
  <r>
    <n v="131"/>
    <d v="2025-11-07T00:00:00"/>
    <s v="Яковлева Надежда Александровна"/>
    <x v="1"/>
    <s v="ст.15.30 КоАП РФ"/>
    <x v="7"/>
    <n v="3000"/>
    <n v="5000"/>
    <n v="0"/>
    <x v="0"/>
  </r>
  <r>
    <n v="132"/>
    <d v="2025-11-07T00:00:00"/>
    <s v="Яковлев Алексей Владимирович"/>
    <x v="1"/>
    <s v="ст.15.30 КоАП РФ"/>
    <x v="7"/>
    <n v="3000"/>
    <n v="5000"/>
    <n v="0"/>
    <x v="0"/>
  </r>
  <r>
    <n v="133"/>
    <d v="2025-11-07T00:00:00"/>
    <s v="Акционерное общество &quot;Национальное бюро кредитных историй&quot;"/>
    <x v="0"/>
    <s v="ст.14.30 КоАП РФ"/>
    <x v="12"/>
    <n v="10000"/>
    <n v="20000"/>
    <n v="0"/>
    <x v="0"/>
  </r>
  <r>
    <n v="134"/>
    <d v="2025-11-06T00:00:00"/>
    <s v="Горячев Дмитрий Александрович"/>
    <x v="1"/>
    <s v="ст.15.30 КоАП РФ"/>
    <x v="7"/>
    <n v="3000"/>
    <n v="5000"/>
    <n v="0"/>
    <x v="0"/>
  </r>
  <r>
    <n v="135"/>
    <d v="2025-11-06T00:00:00"/>
    <s v="Сулейманов Алмаз Рафикович"/>
    <x v="1"/>
    <s v="ст.15.30 КоАП РФ"/>
    <x v="7"/>
    <n v="3000"/>
    <n v="5000"/>
    <n v="0"/>
    <x v="0"/>
  </r>
  <r>
    <n v="136"/>
    <d v="2025-11-06T00:00:00"/>
    <s v="Плахута Михаил Сергеевич"/>
    <x v="1"/>
    <s v="ст.15.30 КоАП РФ"/>
    <x v="7"/>
    <n v="3000"/>
    <n v="5000"/>
    <n v="0"/>
    <x v="0"/>
  </r>
  <r>
    <n v="137"/>
    <d v="2025-11-05T00:00:00"/>
    <s v="Шилова Елена Михайловна"/>
    <x v="1"/>
    <s v="ст.15.30 КоАП РФ"/>
    <x v="7"/>
    <n v="3000"/>
    <n v="5000"/>
    <n v="0"/>
    <x v="0"/>
  </r>
  <r>
    <n v="138"/>
    <d v="2025-11-05T00:00:00"/>
    <s v="Шилов Дмитрий Игоревич"/>
    <x v="1"/>
    <s v="ст.15.30 КоАП РФ"/>
    <x v="7"/>
    <n v="3000"/>
    <n v="5000"/>
    <n v="0"/>
    <x v="0"/>
  </r>
  <r>
    <n v="139"/>
    <d v="2025-11-05T00:00:00"/>
    <s v="Кемайкина Юлия Александровна"/>
    <x v="1"/>
    <s v="ст.15.30 КоАП РФ"/>
    <x v="7"/>
    <n v="3000"/>
    <n v="5000"/>
    <n v="0"/>
    <x v="0"/>
  </r>
  <r>
    <n v="140"/>
    <d v="2025-11-05T00:00:00"/>
    <s v="Общество с ограниченной ответственностью «Инвестиционная компания «Титульный Брокер»"/>
    <x v="0"/>
    <s v="ч.9 ст.15.29 КоАП РФ"/>
    <x v="2"/>
    <n v="700000"/>
    <n v="1000000"/>
    <e v="#VALUE!"/>
    <x v="2"/>
  </r>
  <r>
    <n v="141"/>
    <d v="2025-11-01T00:00:00"/>
    <s v="Трефилова Мария Сергеевна"/>
    <x v="1"/>
    <s v="ст.15.30 КоАП РФ"/>
    <x v="7"/>
    <n v="3000"/>
    <n v="5000"/>
    <n v="0"/>
    <x v="0"/>
  </r>
  <r>
    <n v="142"/>
    <d v="2025-10-31T00:00:00"/>
    <s v="Янковская Марина Владимировна"/>
    <x v="1"/>
    <s v="ст.15.30 КоАП РФ"/>
    <x v="7"/>
    <n v="3000"/>
    <n v="5000"/>
    <n v="0"/>
    <x v="0"/>
  </r>
  <r>
    <n v="143"/>
    <d v="2025-10-31T00:00:00"/>
    <s v="Янковский Сергей Борисович"/>
    <x v="1"/>
    <s v="ст.15.30 КоАП РФ"/>
    <x v="7"/>
    <n v="3000"/>
    <n v="5000"/>
    <n v="0"/>
    <x v="0"/>
  </r>
  <r>
    <n v="144"/>
    <d v="2025-10-31T00:00:00"/>
    <s v="Громовой Дмитрий Леонидович"/>
    <x v="1"/>
    <s v="ст.15.30 КоАП РФ"/>
    <x v="7"/>
    <n v="3000"/>
    <n v="5000"/>
    <n v="0"/>
    <x v="0"/>
  </r>
  <r>
    <n v="145"/>
    <d v="2025-10-31T00:00:00"/>
    <s v="Никитин Никита Геннадьевич"/>
    <x v="1"/>
    <s v="ст.15.30 КоАП РФ"/>
    <x v="7"/>
    <n v="3000"/>
    <n v="5000"/>
    <n v="0"/>
    <x v="0"/>
  </r>
  <r>
    <n v="146"/>
    <d v="2025-10-31T00:00:00"/>
    <s v="Плахута Эмилия Сергеевна"/>
    <x v="1"/>
    <s v="ст.15.30 КоАП РФ"/>
    <x v="7"/>
    <n v="3000"/>
    <n v="5000"/>
    <n v="0"/>
    <x v="0"/>
  </r>
  <r>
    <n v="147"/>
    <d v="2025-10-31T00:00:00"/>
    <s v="Третьяков Александр Евгеньевич"/>
    <x v="1"/>
    <s v="ст.15.30 КоАП РФ"/>
    <x v="7"/>
    <n v="3000"/>
    <n v="5000"/>
    <n v="0"/>
    <x v="0"/>
  </r>
  <r>
    <n v="149"/>
    <d v="2025-10-28T00:00:00"/>
    <s v="Акционерное общество коммерческий банк &quot;Ситибанк&quot;"/>
    <x v="0"/>
    <s v="ч.12 ст.15.29 КоАП РФ"/>
    <x v="2"/>
    <n v="300000"/>
    <n v="500000"/>
    <e v="#VALUE!"/>
    <x v="2"/>
  </r>
  <r>
    <n v="150"/>
    <d v="2025-10-28T00:00:00"/>
    <s v="Акционерное общество «Сбербанк КИБ»"/>
    <x v="0"/>
    <s v="ч.9 ст.15.29 КоАП РФ"/>
    <x v="2"/>
    <n v="700000"/>
    <n v="1000000"/>
    <e v="#VALUE!"/>
    <x v="2"/>
  </r>
  <r>
    <n v="151"/>
    <d v="2025-10-28T00:00:00"/>
    <s v="ООО «МКБ Инвестиции»"/>
    <x v="0"/>
    <s v="ч.1 ст.19.7.3 КоАП РФ"/>
    <x v="2"/>
    <n v="500000"/>
    <n v="700000"/>
    <e v="#VALUE!"/>
    <x v="2"/>
  </r>
  <r>
    <n v="152"/>
    <d v="2025-10-28T00:00:00"/>
    <s v="Общество с ограниченной_x000d__x000a_ответственностью_x000d__x000a_«Управляющая компания_x000d__x000a_«Альфа-Капитал»"/>
    <x v="0"/>
    <s v="ч.12 ст.15.29 КоАП РФ"/>
    <x v="6"/>
    <n v="300000"/>
    <n v="500000"/>
    <n v="0"/>
    <x v="0"/>
  </r>
  <r>
    <n v="153"/>
    <d v="2025-10-28T00:00:00"/>
    <s v="Маслова Елена Евгеньевна"/>
    <x v="1"/>
    <s v="ст.15.30 КоАП РФ"/>
    <x v="7"/>
    <n v="3000"/>
    <n v="5000"/>
    <n v="0"/>
    <x v="0"/>
  </r>
  <r>
    <n v="154"/>
    <d v="2025-10-28T00:00:00"/>
    <s v="Маслов Никита Иванович"/>
    <x v="1"/>
    <s v="ст.15.30 КоАП РФ"/>
    <x v="7"/>
    <n v="3000"/>
    <n v="5000"/>
    <n v="0"/>
    <x v="0"/>
  </r>
  <r>
    <n v="155"/>
    <d v="2025-10-28T00:00:00"/>
    <s v="Подкоморная Анастасия Петровна"/>
    <x v="1"/>
    <s v="ст.15.30 КоАП РФ"/>
    <x v="7"/>
    <n v="3000"/>
    <n v="5000"/>
    <n v="0"/>
    <x v="0"/>
  </r>
  <r>
    <n v="156"/>
    <d v="2025-10-28T00:00:00"/>
    <s v="Общество с ограниченной ответственностью Инвестиционная компания «Прайвет Капитал»"/>
    <x v="0"/>
    <s v="ч.12 ст.15.29 КоАП РФ"/>
    <x v="5"/>
    <n v="300000"/>
    <n v="500000"/>
    <n v="-0.16666666666666666"/>
    <x v="4"/>
  </r>
  <r>
    <n v="157"/>
    <d v="2025-10-27T00:00:00"/>
    <s v="ООО «ФИНИН-К»"/>
    <x v="0"/>
    <s v="ч.9 ст.19.5 КоАП РФ"/>
    <x v="6"/>
    <n v="500000"/>
    <n v="700000"/>
    <n v="-0.4"/>
    <x v="4"/>
  </r>
  <r>
    <n v="158"/>
    <d v="2025-10-27T00:00:00"/>
    <s v="ООО «Поток.Диджитал»"/>
    <x v="0"/>
    <s v="ч.1 ст.19.7.3 КоАП РФ"/>
    <x v="2"/>
    <n v="500000"/>
    <n v="700000"/>
    <e v="#VALUE!"/>
    <x v="2"/>
  </r>
  <r>
    <n v="159"/>
    <d v="2025-10-27T00:00:00"/>
    <s v="ООО «СмартИнвест»"/>
    <x v="0"/>
    <s v="ч.1 ст.19.7.3 КоАП РФ"/>
    <x v="2"/>
    <n v="500000"/>
    <n v="700000"/>
    <e v="#VALUE!"/>
    <x v="2"/>
  </r>
  <r>
    <n v="160"/>
    <d v="2025-10-27T00:00:00"/>
    <s v="Прокопенко Андрей Владимирович"/>
    <x v="1"/>
    <s v="ст.15.30 КоАП РФ"/>
    <x v="7"/>
    <n v="3000"/>
    <n v="5000"/>
    <n v="0"/>
    <x v="0"/>
  </r>
  <r>
    <n v="161"/>
    <d v="2025-10-27T00:00:00"/>
    <s v="Никитин Денис Геннадиевич"/>
    <x v="1"/>
    <s v="ст.15.30 КоАП РФ"/>
    <x v="7"/>
    <n v="3000"/>
    <n v="5000"/>
    <n v="0"/>
    <x v="0"/>
  </r>
  <r>
    <n v="162"/>
    <d v="2025-10-27T00:00:00"/>
    <s v="Акционерное общество_x000d__x000a_«Контрада Капитал»"/>
    <x v="0"/>
    <s v="ч.12 ст.15.29 КоАП РФ"/>
    <x v="9"/>
    <n v="300000"/>
    <n v="500000"/>
    <n v="-0.5"/>
    <x v="4"/>
  </r>
  <r>
    <n v="163"/>
    <d v="2025-10-27T00:00:00"/>
    <s v="Трефилов Дмитрий Владимирович"/>
    <x v="1"/>
    <s v="ст.15.30 КоАП РФ"/>
    <x v="7"/>
    <n v="3000"/>
    <n v="5000"/>
    <n v="0"/>
    <x v="0"/>
  </r>
  <r>
    <n v="164"/>
    <d v="2025-10-27T00:00:00"/>
    <s v="Дрокова Нина Михайловна"/>
    <x v="1"/>
    <s v="ст.15.30 КоАП РФ"/>
    <x v="7"/>
    <n v="3000"/>
    <n v="5000"/>
    <n v="0"/>
    <x v="0"/>
  </r>
  <r>
    <n v="165"/>
    <d v="2025-10-24T00:00:00"/>
    <s v="Прокопенко Татьяна Александровна"/>
    <x v="1"/>
    <s v="ст.15.30 КоАП РФ"/>
    <x v="7"/>
    <n v="3000"/>
    <n v="5000"/>
    <n v="0"/>
    <x v="0"/>
  </r>
  <r>
    <n v="166"/>
    <d v="2025-10-24T00:00:00"/>
    <s v="Воробьев Кирилл Александрович"/>
    <x v="1"/>
    <s v="ст.15.30 КоАП РФ"/>
    <x v="7"/>
    <n v="3000"/>
    <n v="5000"/>
    <n v="0"/>
    <x v="0"/>
  </r>
  <r>
    <n v="167"/>
    <d v="2025-10-24T00:00:00"/>
    <s v="Колмаков Алексей Анатольевич"/>
    <x v="1"/>
    <s v="ст.15.30 КоАП РФ"/>
    <x v="7"/>
    <n v="3000"/>
    <n v="5000"/>
    <n v="0"/>
    <x v="0"/>
  </r>
  <r>
    <n v="168"/>
    <d v="2025-10-21T00:00:00"/>
    <s v="Данилов Сергей Вениаминович"/>
    <x v="1"/>
    <s v="ст.15.30 КоАП РФ"/>
    <x v="7"/>
    <n v="3000"/>
    <n v="5000"/>
    <n v="0"/>
    <x v="0"/>
  </r>
  <r>
    <n v="169"/>
    <d v="2025-10-21T00:00:00"/>
    <s v="Данилова Татьяна Владимировна"/>
    <x v="1"/>
    <s v="ст.15.30 КоАП РФ"/>
    <x v="7"/>
    <n v="3000"/>
    <n v="5000"/>
    <n v="0"/>
    <x v="0"/>
  </r>
  <r>
    <n v="170"/>
    <d v="2025-10-21T00:00:00"/>
    <s v="Акционерное общество &quot;Объединенное Кредитное Бюро&quot;"/>
    <x v="0"/>
    <s v="ч.1 ст.5.54 КоАП РФ"/>
    <x v="15"/>
    <n v="10000"/>
    <n v="20000"/>
    <n v="1"/>
    <x v="3"/>
  </r>
  <r>
    <n v="170"/>
    <d v="2025-10-21T00:00:00"/>
    <s v="Акционерное общество &quot;Объединенное Кредитное Бюро&quot;"/>
    <x v="0"/>
    <s v="ч.1 ст.5.54 КоАП РФ"/>
    <x v="15"/>
    <n v="10000"/>
    <n v="20000"/>
    <n v="1"/>
    <x v="3"/>
  </r>
  <r>
    <n v="171"/>
    <d v="2025-10-20T00:00:00"/>
    <s v="Стародубцев Олег Александрович"/>
    <x v="1"/>
    <s v="ст.15.30 КоАП РФ"/>
    <x v="7"/>
    <n v="3000"/>
    <n v="5000"/>
    <n v="0"/>
    <x v="0"/>
  </r>
  <r>
    <n v="172"/>
    <d v="2025-10-17T00:00:00"/>
    <s v="АО «Райффайзенбанк»"/>
    <x v="0"/>
    <s v="ч.12 ст.15.29 КоАП РФ"/>
    <x v="6"/>
    <n v="300000"/>
    <n v="500000"/>
    <n v="0"/>
    <x v="0"/>
  </r>
  <r>
    <n v="173"/>
    <d v="2025-10-17T00:00:00"/>
    <s v="Общество с ограниченной ответственностью «СПЭК ИНВЕСТМЕНТ»"/>
    <x v="0"/>
    <s v="ч.2 ст.15.29 КоАП РФ"/>
    <x v="2"/>
    <n v="500000"/>
    <n v="700000"/>
    <e v="#VALUE!"/>
    <x v="2"/>
  </r>
  <r>
    <n v="173"/>
    <d v="2025-10-17T00:00:00"/>
    <s v="Общество с ограниченной ответственностью «СПЭК ИНВЕСТМЕНТ»"/>
    <x v="0"/>
    <s v="ч.2 ст.15.29 КоАП РФ"/>
    <x v="2"/>
    <n v="500000"/>
    <n v="700000"/>
    <e v="#VALUE!"/>
    <x v="2"/>
  </r>
  <r>
    <n v="174"/>
    <d v="2025-10-17T00:00:00"/>
    <s v="Переверзев Игорь Леонидович"/>
    <x v="1"/>
    <s v="ст.15.30 КоАП РФ"/>
    <x v="7"/>
    <n v="3000"/>
    <n v="5000"/>
    <n v="0"/>
    <x v="0"/>
  </r>
  <r>
    <n v="175"/>
    <d v="2025-10-17T00:00:00"/>
    <s v="Короленко Евгений Александрович"/>
    <x v="1"/>
    <s v="ст.15.30 КоАП РФ"/>
    <x v="7"/>
    <n v="3000"/>
    <n v="5000"/>
    <n v="0"/>
    <x v="0"/>
  </r>
  <r>
    <n v="176"/>
    <d v="2025-10-17T00:00:00"/>
    <s v="Гараева Лейла Валерьевна"/>
    <x v="1"/>
    <s v="ст.15.30 КоАП РФ"/>
    <x v="7"/>
    <n v="3000"/>
    <n v="5000"/>
    <n v="0"/>
    <x v="0"/>
  </r>
  <r>
    <n v="177"/>
    <d v="2025-10-16T00:00:00"/>
    <s v="Переверзева Марина Анатольевна"/>
    <x v="1"/>
    <s v="ст.15.30 КоАП РФ"/>
    <x v="7"/>
    <n v="3000"/>
    <n v="5000"/>
    <n v="0"/>
    <x v="0"/>
  </r>
  <r>
    <n v="178"/>
    <d v="2025-10-14T00:00:00"/>
    <s v="ООО УК «Движение капитала»"/>
    <x v="0"/>
    <s v="ч.12 ст.15.29 КоАП РФ"/>
    <x v="2"/>
    <n v="300000"/>
    <n v="500000"/>
    <e v="#VALUE!"/>
    <x v="2"/>
  </r>
  <r>
    <n v="179"/>
    <d v="2025-10-10T00:00:00"/>
    <s v="Шушкина Светлана  Алексеевна"/>
    <x v="1"/>
    <s v="ст.15.30 КоАП РФ"/>
    <x v="7"/>
    <n v="3000"/>
    <n v="5000"/>
    <n v="0"/>
    <x v="0"/>
  </r>
  <r>
    <n v="180"/>
    <d v="2025-10-10T00:00:00"/>
    <s v="Черепухина Виктория Борисовна"/>
    <x v="1"/>
    <s v="ст.15.30 КоАП РФ"/>
    <x v="7"/>
    <n v="3000"/>
    <n v="5000"/>
    <n v="0"/>
    <x v="0"/>
  </r>
  <r>
    <n v="181"/>
    <d v="2025-10-10T00:00:00"/>
    <s v="Черепухин Константин Валерьевич"/>
    <x v="1"/>
    <s v="ст.15.30 КоАП РФ"/>
    <x v="7"/>
    <n v="3000"/>
    <n v="5000"/>
    <n v="0"/>
    <x v="0"/>
  </r>
  <r>
    <n v="182"/>
    <d v="2025-10-10T00:00:00"/>
    <s v="Акционерное общество &quot;Объединенное Кредитное Бюро&quot;"/>
    <x v="0"/>
    <s v="ч.1 ст.5.54 КоАП РФ"/>
    <x v="15"/>
    <n v="10000"/>
    <n v="20000"/>
    <n v="1"/>
    <x v="3"/>
  </r>
  <r>
    <n v="183"/>
    <d v="2025-10-09T00:00:00"/>
    <s v="Ковтун Илья Николаевич"/>
    <x v="1"/>
    <s v="ст.15.30 КоАП РФ"/>
    <x v="7"/>
    <n v="3000"/>
    <n v="5000"/>
    <n v="0"/>
    <x v="0"/>
  </r>
  <r>
    <n v="184"/>
    <d v="2025-10-08T00:00:00"/>
    <s v="Ковтун Лариса Николаевна"/>
    <x v="1"/>
    <s v="ст.15.30 КоАП РФ"/>
    <x v="7"/>
    <n v="3000"/>
    <n v="5000"/>
    <n v="0"/>
    <x v="0"/>
  </r>
  <r>
    <n v="185"/>
    <d v="2025-10-07T00:00:00"/>
    <s v="Цуканов Игорь Юрьевич"/>
    <x v="1"/>
    <s v="ст.15.30 КоАП РФ"/>
    <x v="7"/>
    <n v="3000"/>
    <n v="5000"/>
    <n v="0"/>
    <x v="0"/>
  </r>
  <r>
    <n v="186"/>
    <d v="2025-10-07T00:00:00"/>
    <s v="Цуканова Галина Николаевна"/>
    <x v="1"/>
    <s v="ст.15.30 КоАП РФ"/>
    <x v="7"/>
    <n v="3000"/>
    <n v="5000"/>
    <n v="0"/>
    <x v="0"/>
  </r>
  <r>
    <n v="187"/>
    <d v="2025-10-07T00:00:00"/>
    <s v="Шушкин Денис Вячеславовоич"/>
    <x v="1"/>
    <s v="ст.15.30 КоАП РФ"/>
    <x v="7"/>
    <n v="3000"/>
    <n v="5000"/>
    <n v="0"/>
    <x v="0"/>
  </r>
  <r>
    <n v="188"/>
    <d v="2025-10-03T00:00:00"/>
    <s v="Цирков Игорь Сергеевич"/>
    <x v="1"/>
    <s v="ст.15.30 КоАП РФ"/>
    <x v="7"/>
    <n v="3000"/>
    <n v="5000"/>
    <n v="0"/>
    <x v="0"/>
  </r>
  <r>
    <n v="189"/>
    <d v="2025-10-03T00:00:00"/>
    <s v="Бушина Ольга Валерьевна"/>
    <x v="1"/>
    <s v="ст.15.30 КоАП РФ"/>
    <x v="7"/>
    <n v="3000"/>
    <n v="5000"/>
    <n v="0"/>
    <x v="0"/>
  </r>
  <r>
    <n v="190"/>
    <d v="2025-10-03T00:00:00"/>
    <s v="Бушина Любовь Александровна"/>
    <x v="1"/>
    <s v="ст.15.30 КоАП РФ"/>
    <x v="7"/>
    <n v="3000"/>
    <n v="5000"/>
    <n v="0"/>
    <x v="0"/>
  </r>
  <r>
    <n v="191"/>
    <d v="2025-10-03T00:00:00"/>
    <s v="Бушин Андриан Валерьевич"/>
    <x v="1"/>
    <s v="ст.15.30 КоАП РФ"/>
    <x v="7"/>
    <n v="3000"/>
    <n v="5000"/>
    <n v="0"/>
    <x v="0"/>
  </r>
  <r>
    <n v="192"/>
    <d v="2025-09-30T00:00:00"/>
    <s v="Литвинова Ольга Борисовна"/>
    <x v="1"/>
    <s v="ст.15.30 КоАП РФ"/>
    <x v="7"/>
    <n v="3000"/>
    <n v="5000"/>
    <n v="0"/>
    <x v="0"/>
  </r>
  <r>
    <n v="193"/>
    <d v="2025-09-30T00:00:00"/>
    <s v="Акционерное общество_x000d__x000a_Инвестиционно-финансовая_x000d__x000a_компания «Солид»"/>
    <x v="0"/>
    <s v="ч.2 ст.15.19 КоАП РФ"/>
    <x v="0"/>
    <n v="700000"/>
    <n v="1000000"/>
    <n v="0"/>
    <x v="0"/>
  </r>
  <r>
    <n v="194"/>
    <d v="2025-09-30T00:00:00"/>
    <s v="Общество с ограниченной ответственностью «Национальное Рейтинговое Агентство»"/>
    <x v="0"/>
    <s v="ч.9 ст.19.5 КоАП РФ"/>
    <x v="5"/>
    <n v="500000"/>
    <n v="700000"/>
    <n v="-0.5"/>
    <x v="4"/>
  </r>
  <r>
    <n v="195"/>
    <d v="2025-09-30T00:00:00"/>
    <s v="Литвинов Андрей Александрович"/>
    <x v="1"/>
    <s v="ст.15.30 КоАП РФ"/>
    <x v="7"/>
    <n v="3000"/>
    <n v="5000"/>
    <n v="0"/>
    <x v="0"/>
  </r>
  <r>
    <n v="197"/>
    <d v="2025-09-26T00:00:00"/>
    <s v="АО «РЕМАНИ»"/>
    <x v="0"/>
    <s v="ч.1 ст.19.7.3 КоАП РФ"/>
    <x v="5"/>
    <n v="500000"/>
    <n v="700000"/>
    <n v="-0.5"/>
    <x v="4"/>
  </r>
  <r>
    <n v="198"/>
    <d v="2025-09-26T00:00:00"/>
    <s v="Акционерное общество «Москва Сити Секьюритиз»"/>
    <x v="0"/>
    <s v="ч.4 ст.15.35 КоАП РФ"/>
    <x v="6"/>
    <n v="300000"/>
    <n v="700000"/>
    <n v="0"/>
    <x v="0"/>
  </r>
  <r>
    <n v="198"/>
    <d v="2025-09-26T00:00:00"/>
    <s v="Акционерное общество «Москва Сити Секьюритиз»"/>
    <x v="0"/>
    <s v="ч.2 ст.15.35 КоАП РФ"/>
    <x v="2"/>
    <n v="300000"/>
    <n v="500000"/>
    <e v="#VALUE!"/>
    <x v="2"/>
  </r>
  <r>
    <n v="199"/>
    <d v="2025-09-26T00:00:00"/>
    <s v="Циркова Любовь Ивановна"/>
    <x v="1"/>
    <s v="ст.15.30 КоАП РФ"/>
    <x v="7"/>
    <n v="3000"/>
    <n v="5000"/>
    <n v="0"/>
    <x v="0"/>
  </r>
  <r>
    <n v="200"/>
    <d v="2025-09-26T00:00:00"/>
    <s v="ООО «Каркаул.ру»"/>
    <x v="0"/>
    <s v="ч.1 ст.19.7.3 КоАП РФ"/>
    <x v="4"/>
    <n v="500000"/>
    <n v="700000"/>
    <n v="-0.3"/>
    <x v="4"/>
  </r>
  <r>
    <n v="201"/>
    <d v="2025-09-23T00:00:00"/>
    <s v="АО «Объединенное Кредитное Бюро»"/>
    <x v="0"/>
    <s v="ч.1 ст.5.54 КоАП РФ"/>
    <x v="15"/>
    <n v="10000"/>
    <n v="20000"/>
    <n v="1"/>
    <x v="3"/>
  </r>
  <r>
    <n v="202"/>
    <d v="2025-09-23T00:00:00"/>
    <s v="Акционерное общество_x000d__x000a_«Москва Сити Секьюритиз»"/>
    <x v="0"/>
    <s v="ч.9 ст.15.29 КоАП РФ"/>
    <x v="0"/>
    <n v="700000"/>
    <n v="1000000"/>
    <n v="0"/>
    <x v="0"/>
  </r>
  <r>
    <n v="202"/>
    <d v="2025-09-23T00:00:00"/>
    <s v="Акционерное общество_x000d__x000a_«Москва Сити Секьюритиз»"/>
    <x v="0"/>
    <s v="ч.2 ст.15.29 КоАП РФ"/>
    <x v="10"/>
    <n v="500000"/>
    <n v="700000"/>
    <n v="0"/>
    <x v="0"/>
  </r>
  <r>
    <n v="203"/>
    <d v="2025-09-23T00:00:00"/>
    <s v="Акционерное общество «БКС Управление Благосостоянием»"/>
    <x v="0"/>
    <s v="ч.12 ст.15.29 КоАП РФ"/>
    <x v="9"/>
    <n v="300000"/>
    <n v="500000"/>
    <n v="-0.5"/>
    <x v="4"/>
  </r>
  <r>
    <n v="204"/>
    <d v="2025-09-22T00:00:00"/>
    <s v="Публичное акционерное общество «Московская Биржа ММВБ-РТС»"/>
    <x v="0"/>
    <s v="ч.7 ст.14.24 КоАП РФ"/>
    <x v="2"/>
    <n v="300000"/>
    <n v="500000"/>
    <e v="#VALUE!"/>
    <x v="2"/>
  </r>
  <r>
    <n v="206"/>
    <d v="2025-09-19T00:00:00"/>
    <s v="АО «Специализированный депозитарий «ИНФИНИТУМ»"/>
    <x v="0"/>
    <s v="ч.12 ст.15.29 КоАП РФ"/>
    <x v="6"/>
    <n v="300000"/>
    <n v="500000"/>
    <n v="0"/>
    <x v="0"/>
  </r>
  <r>
    <n v="207"/>
    <d v="2025-09-16T00:00:00"/>
    <s v="Общество с ограниченной ответственностью Управляющая компания «Эра Инвестиций»"/>
    <x v="0"/>
    <s v="ч.12 ст.15.29 КоАП РФ"/>
    <x v="2"/>
    <n v="300000"/>
    <n v="500000"/>
    <e v="#VALUE!"/>
    <x v="2"/>
  </r>
  <r>
    <n v="208"/>
    <d v="2025-09-16T00:00:00"/>
    <s v="Общество с ограниченной ответственностью «РСХБ Управление Активами»"/>
    <x v="0"/>
    <s v="ч.12 ст.15.29 КоАП РФ"/>
    <x v="6"/>
    <n v="300000"/>
    <n v="500000"/>
    <n v="0"/>
    <x v="0"/>
  </r>
  <r>
    <n v="209"/>
    <d v="2025-09-12T00:00:00"/>
    <s v="Гребенникова Татьяна Витальевна"/>
    <x v="1"/>
    <s v="ст.15.30 КоАП РФ"/>
    <x v="7"/>
    <n v="3000"/>
    <n v="5000"/>
    <n v="0"/>
    <x v="0"/>
  </r>
  <r>
    <n v="210"/>
    <d v="2025-09-12T00:00:00"/>
    <s v="Гуревич Вадим Александрович"/>
    <x v="1"/>
    <s v="ст.15.30 КоАП РФ"/>
    <x v="7"/>
    <n v="3000"/>
    <n v="5000"/>
    <n v="0"/>
    <x v="0"/>
  </r>
  <r>
    <n v="211"/>
    <d v="2025-09-12T00:00:00"/>
    <s v="Гуревич Иветта Абрамовна"/>
    <x v="1"/>
    <s v="ст.15.30 КоАП РФ"/>
    <x v="7"/>
    <n v="3000"/>
    <n v="5000"/>
    <n v="0"/>
    <x v="0"/>
  </r>
  <r>
    <n v="212"/>
    <d v="2025-09-09T00:00:00"/>
    <s v="АО «Объединенное Кредитное Бюро»"/>
    <x v="0"/>
    <s v="ч.1 ст.5.54 КоАП РФ"/>
    <x v="15"/>
    <n v="10000"/>
    <n v="20000"/>
    <n v="1"/>
    <x v="3"/>
  </r>
  <r>
    <n v="215"/>
    <d v="2025-09-02T00:00:00"/>
    <s v="Акционерное общество «Инвестиционная компания «Ай Ти Инвест»"/>
    <x v="0"/>
    <s v="ч.2 ст.15.29 КоАП РФ"/>
    <x v="10"/>
    <n v="500000"/>
    <n v="700000"/>
    <n v="0"/>
    <x v="0"/>
  </r>
  <r>
    <n v="216"/>
    <d v="2025-09-02T00:00:00"/>
    <s v="Общество с ограниченной ответственностью Управляющая компания «Надежное управление»"/>
    <x v="0"/>
    <s v="ч.12 ст.15.29 КоАП РФ"/>
    <x v="9"/>
    <n v="300000"/>
    <n v="500000"/>
    <n v="-0.5"/>
    <x v="4"/>
  </r>
  <r>
    <n v="217"/>
    <d v="2025-09-02T00:00:00"/>
    <s v="ООО «ИНВЕСТИРУЙ В»"/>
    <x v="0"/>
    <s v="ч.9 ст.19.5 КоАП РФ"/>
    <x v="4"/>
    <n v="500000"/>
    <n v="700000"/>
    <n v="-0.3"/>
    <x v="4"/>
  </r>
  <r>
    <n v="218"/>
    <d v="2025-08-29T00:00:00"/>
    <s v="АО «Объединенное Кредитное Бюро»"/>
    <x v="0"/>
    <s v="ч.1 ст.5.54 КоАП РФ"/>
    <x v="15"/>
    <n v="10000"/>
    <n v="20000"/>
    <n v="1"/>
    <x v="3"/>
  </r>
  <r>
    <n v="219"/>
    <d v="2025-08-29T00:00:00"/>
    <s v="Гребенников Александр Александрович"/>
    <x v="1"/>
    <s v="ст.15.30 КоАП РФ"/>
    <x v="17"/>
    <n v="3000"/>
    <n v="5000"/>
    <n v="1"/>
    <x v="3"/>
  </r>
  <r>
    <n v="220"/>
    <d v="2025-08-26T00:00:00"/>
    <s v="Акционерное общество_x000d__x000a_«Инвестиционная компания_x000d__x000a_«РИКОМ-ТРАСТ»"/>
    <x v="0"/>
    <s v="ч.9 ст.15.29 КоАП РФ"/>
    <x v="0"/>
    <n v="700000"/>
    <n v="1000000"/>
    <n v="0"/>
    <x v="0"/>
  </r>
  <r>
    <n v="221"/>
    <d v="2025-08-25T00:00:00"/>
    <s v="Общество с ограниченной ответственностью «Т-Инвест Лаб»"/>
    <x v="0"/>
    <s v="ч.2 ст.15.29 КоАП РФ"/>
    <x v="10"/>
    <n v="500000"/>
    <n v="700000"/>
    <n v="0"/>
    <x v="0"/>
  </r>
  <r>
    <n v="222"/>
    <d v="2025-08-25T00:00:00"/>
    <s v="Общество с ограниченной ответственностью «Управляющая компания «Атон-менеджмент»"/>
    <x v="0"/>
    <s v="ч.12 ст.15.29 КоАП РФ"/>
    <x v="4"/>
    <n v="300000"/>
    <n v="500000"/>
    <n v="0.16666666666666666"/>
    <x v="1"/>
  </r>
  <r>
    <n v="223"/>
    <d v="2025-08-22T00:00:00"/>
    <s v="Акционерное общество «Межрегиональный негосударственный пенсионный фонд «АКВИЛОН»"/>
    <x v="0"/>
    <s v="ч.12 ст.15.29 КоАП РФ"/>
    <x v="2"/>
    <n v="300000"/>
    <n v="500000"/>
    <e v="#VALUE!"/>
    <x v="2"/>
  </r>
  <r>
    <n v="224"/>
    <d v="2025-08-19T00:00:00"/>
    <s v="Баринов Илья Игоревич"/>
    <x v="1"/>
    <s v="ст.15.30 КоАП РФ"/>
    <x v="7"/>
    <n v="3000"/>
    <n v="5000"/>
    <n v="0"/>
    <x v="0"/>
  </r>
  <r>
    <n v="225"/>
    <d v="2025-08-19T00:00:00"/>
    <s v="Акционерное общество «ВИМ Инвестиции»"/>
    <x v="0"/>
    <s v="ч.12 ст.15.29 КоАП РФ"/>
    <x v="6"/>
    <n v="300000"/>
    <n v="500000"/>
    <n v="0"/>
    <x v="0"/>
  </r>
  <r>
    <n v="226"/>
    <d v="2025-08-19T00:00:00"/>
    <s v="Общество с ограниченной ответственностью «Управляющая компания «Терра Эссет Менеджмент»"/>
    <x v="0"/>
    <s v="ч.2 ст.15.19 КоАП РФ"/>
    <x v="4"/>
    <n v="700000"/>
    <n v="1000000"/>
    <n v="-0.5"/>
    <x v="4"/>
  </r>
  <r>
    <n v="227"/>
    <d v="2025-08-19T00:00:00"/>
    <s v="Общество с ограниченной_x000d__x000a_ответственностью_x000d__x000a_«Цифра Брокер»"/>
    <x v="0"/>
    <s v="ч.2 ст.15.29 КоАП РФ"/>
    <x v="2"/>
    <n v="500000"/>
    <n v="700000"/>
    <e v="#VALUE!"/>
    <x v="2"/>
  </r>
  <r>
    <n v="228"/>
    <d v="2025-08-18T00:00:00"/>
    <s v="Акционерное общество «ИВА Партнерс»"/>
    <x v="0"/>
    <s v="ч.2 ст.15.19 КоАП РФ"/>
    <x v="0"/>
    <n v="700000"/>
    <n v="1000000"/>
    <n v="0"/>
    <x v="0"/>
  </r>
  <r>
    <n v="229"/>
    <d v="2025-08-18T00:00:00"/>
    <s v="Акционерное общество_x000d__x000a_«ТуОушен Капитал»"/>
    <x v="0"/>
    <s v="ч.2 ст.15.19 КоАП РФ"/>
    <x v="2"/>
    <n v="700000"/>
    <n v="1000000"/>
    <e v="#VALUE!"/>
    <x v="2"/>
  </r>
  <r>
    <n v="230"/>
    <d v="2025-08-15T00:00:00"/>
    <s v="ООО «Селект мани»"/>
    <x v="0"/>
    <s v="ч.1 ст.19.7.3 КоАП РФ"/>
    <x v="5"/>
    <n v="500000"/>
    <n v="700000"/>
    <n v="-0.5"/>
    <x v="4"/>
  </r>
  <r>
    <n v="231"/>
    <d v="2025-08-15T00:00:00"/>
    <s v="ООО «Феир Финанс»"/>
    <x v="0"/>
    <s v="ч.9 ст.19.5 КоАП РФ"/>
    <x v="5"/>
    <n v="500000"/>
    <n v="700000"/>
    <n v="-0.5"/>
    <x v="4"/>
  </r>
  <r>
    <n v="232"/>
    <d v="2025-08-12T00:00:00"/>
    <s v="ЗАО «ПРСД»"/>
    <x v="0"/>
    <s v="ч.12 ст.15.29 КоАП РФ"/>
    <x v="6"/>
    <n v="300000"/>
    <n v="500000"/>
    <n v="0"/>
    <x v="0"/>
  </r>
  <r>
    <n v="233"/>
    <d v="2025-08-12T00:00:00"/>
    <s v="Папкин Михаил Владимирович"/>
    <x v="1"/>
    <s v="ст.15.21 КоАП РФ"/>
    <x v="8"/>
    <n v="3000"/>
    <n v="5000"/>
    <n v="9"/>
    <x v="5"/>
  </r>
  <r>
    <n v="234"/>
    <d v="2025-08-12T00:00:00"/>
    <s v="Шигапов Радик Мулланурович"/>
    <x v="1"/>
    <s v="ст.15.30 КоАП РФ"/>
    <x v="7"/>
    <n v="3000"/>
    <n v="5000"/>
    <n v="0"/>
    <x v="0"/>
  </r>
  <r>
    <n v="235"/>
    <d v="2025-08-12T00:00:00"/>
    <s v="Общество с ограниченной_x000d__x000a_ответственностью_x000d__x000a_«Управляющая компания_x000d__x000a_«Формула инвестиций»"/>
    <x v="0"/>
    <s v="ч.12 ст.15.29 КоАП РФ"/>
    <x v="9"/>
    <n v="300000"/>
    <n v="500000"/>
    <n v="-0.5"/>
    <x v="4"/>
  </r>
  <r>
    <n v="236"/>
    <d v="2025-08-12T00:00:00"/>
    <s v="Акционерное общество_x000d__x000a_«Инвестиционная компания_x000d__x000a_«РИКОМ-ТРАСТ»"/>
    <x v="0"/>
    <s v="ч.2 ст.15.19 КоАП РФ"/>
    <x v="0"/>
    <n v="700000"/>
    <n v="1000000"/>
    <n v="0"/>
    <x v="0"/>
  </r>
  <r>
    <n v="237"/>
    <d v="2025-08-12T00:00:00"/>
    <s v="Акционерное общество «Москва Сити Секьюритиз»"/>
    <x v="0"/>
    <s v="ч.2 ст.15.29 КоАП РФ"/>
    <x v="2"/>
    <n v="500000"/>
    <n v="700000"/>
    <e v="#VALUE!"/>
    <x v="2"/>
  </r>
  <r>
    <n v="238"/>
    <d v="2025-08-08T00:00:00"/>
    <s v="Дрожжин Антон Михайлович"/>
    <x v="1"/>
    <s v="ст.15.30 КоАП РФ"/>
    <x v="7"/>
    <n v="3000"/>
    <n v="5000"/>
    <n v="0"/>
    <x v="0"/>
  </r>
  <r>
    <n v="239"/>
    <d v="2025-08-08T00:00:00"/>
    <s v="Фролова Ксения Владимировна"/>
    <x v="1"/>
    <s v="ст.15.30 КоАП РФ"/>
    <x v="7"/>
    <n v="3000"/>
    <n v="5000"/>
    <n v="0"/>
    <x v="0"/>
  </r>
  <r>
    <n v="240"/>
    <d v="2025-08-08T00:00:00"/>
    <s v="Акционерное общество «ЮниКредит Банк»"/>
    <x v="0"/>
    <s v="ч.2 ст.15.19 КоАП РФ"/>
    <x v="2"/>
    <n v="700000"/>
    <n v="1000000"/>
    <e v="#VALUE!"/>
    <x v="2"/>
  </r>
  <r>
    <n v="241"/>
    <d v="2025-08-08T00:00:00"/>
    <s v="Акционерное общество «РТ-Инвест»"/>
    <x v="0"/>
    <s v="ч.12 ст.15.29 КоАП РФ"/>
    <x v="2"/>
    <n v="300000"/>
    <n v="500000"/>
    <e v="#VALUE!"/>
    <x v="2"/>
  </r>
  <r>
    <n v="242"/>
    <d v="2025-08-05T00:00:00"/>
    <s v="Фролов Михаил Сергеевич"/>
    <x v="1"/>
    <s v="ст.15.30 КоАП РФ"/>
    <x v="7"/>
    <n v="3000"/>
    <n v="5000"/>
    <n v="0"/>
    <x v="0"/>
  </r>
  <r>
    <n v="243"/>
    <d v="2025-08-05T00:00:00"/>
    <s v="Открытое акционерное общество «РОНИН Траст»"/>
    <x v="0"/>
    <s v="ч.12 ст.15.29 КоАП РФ"/>
    <x v="2"/>
    <n v="300000"/>
    <n v="500000"/>
    <e v="#VALUE!"/>
    <x v="2"/>
  </r>
  <r>
    <n v="244"/>
    <d v="2025-08-05T00:00:00"/>
    <s v="Акционерное общество «Управляющая компания «Первая»"/>
    <x v="0"/>
    <s v="ч.6 ст.15.29 КоАП РФ"/>
    <x v="0"/>
    <n v="700000"/>
    <n v="1000000"/>
    <n v="0"/>
    <x v="0"/>
  </r>
  <r>
    <n v="244"/>
    <d v="2025-08-05T00:00:00"/>
    <s v="Акционерное общество «Управляющая компания «Первая»"/>
    <x v="0"/>
    <s v="ч.12 ст.15.29 КоАП РФ"/>
    <x v="6"/>
    <n v="300000"/>
    <n v="500000"/>
    <n v="0"/>
    <x v="0"/>
  </r>
  <r>
    <n v="245"/>
    <d v="2025-08-05T00:00:00"/>
    <s v="Акционерное общество УК «Доверительная»"/>
    <x v="0"/>
    <s v="ч.2 ст.15.29 КоАП РФ"/>
    <x v="2"/>
    <n v="500000"/>
    <n v="700000"/>
    <e v="#VALUE!"/>
    <x v="2"/>
  </r>
  <r>
    <n v="246"/>
    <d v="2025-08-05T00:00:00"/>
    <s v="ООО «ИНВЕСТИРУЙ В»"/>
    <x v="0"/>
    <s v="ч.9 ст.19.5 КоАП РФ"/>
    <x v="4"/>
    <n v="500000"/>
    <n v="700000"/>
    <n v="-0.3"/>
    <x v="4"/>
  </r>
  <r>
    <n v="247"/>
    <d v="2025-08-04T00:00:00"/>
    <s v="Кушнир Андрей Николаевич"/>
    <x v="1"/>
    <s v="ст.15.30 КоАП РФ"/>
    <x v="7"/>
    <n v="3000"/>
    <n v="5000"/>
    <n v="0"/>
    <x v="0"/>
  </r>
  <r>
    <n v="248"/>
    <d v="2025-07-29T00:00:00"/>
    <s v="Хрусталев Иван Дмитриевич"/>
    <x v="1"/>
    <s v="ст.15.30 КоАП РФ"/>
    <x v="7"/>
    <n v="3000"/>
    <n v="5000"/>
    <n v="0"/>
    <x v="0"/>
  </r>
  <r>
    <n v="249"/>
    <d v="2025-07-29T00:00:00"/>
    <s v="Хрусталева Альбина Дмитриевна"/>
    <x v="1"/>
    <s v="ст.15.30 КоАП РФ"/>
    <x v="7"/>
    <n v="3000"/>
    <n v="5000"/>
    <n v="0"/>
    <x v="0"/>
  </r>
  <r>
    <n v="250"/>
    <d v="2025-07-29T00:00:00"/>
    <s v="АО &quot;Объединенное Кредитное Бюро&quot;"/>
    <x v="0"/>
    <s v="ст.5.55 КоАП РФ"/>
    <x v="14"/>
    <n v="20000"/>
    <n v="50000"/>
    <n v="1"/>
    <x v="3"/>
  </r>
  <r>
    <n v="251"/>
    <d v="2025-07-28T00:00:00"/>
    <s v="Общество с ограниченной_x000d__x000a_ответственностью_x000d__x000a_«Управляющая компания_x000d__x000a_«Альфа-Капитал»"/>
    <x v="0"/>
    <s v="ч.12 ст.15.29 КоАП РФ"/>
    <x v="4"/>
    <n v="300000"/>
    <n v="500000"/>
    <n v="0.16666666666666666"/>
    <x v="1"/>
  </r>
  <r>
    <n v="252"/>
    <d v="2025-07-22T00:00:00"/>
    <s v="АО «Национальное бюро кредитных историй»"/>
    <x v="0"/>
    <s v="ст.14.30 КоАП РФ"/>
    <x v="12"/>
    <n v="10000"/>
    <n v="20000"/>
    <n v="0"/>
    <x v="0"/>
  </r>
  <r>
    <n v="253"/>
    <d v="2025-07-22T00:00:00"/>
    <s v="Пашнин Михаил Анатольевич"/>
    <x v="1"/>
    <s v="ст.15.30 КоАП РФ"/>
    <x v="7"/>
    <n v="3000"/>
    <n v="5000"/>
    <n v="0"/>
    <x v="0"/>
  </r>
  <r>
    <n v="254"/>
    <d v="2025-07-22T00:00:00"/>
    <s v="ООО «СмартИнвест»"/>
    <x v="0"/>
    <s v="ч.9 ст.19.5 КоАП РФ"/>
    <x v="5"/>
    <n v="500000"/>
    <n v="700000"/>
    <n v="-0.5"/>
    <x v="4"/>
  </r>
  <r>
    <n v="255"/>
    <d v="2025-07-22T00:00:00"/>
    <s v="Общество с ограниченной ответственностью «РСХБ Управление Активами»"/>
    <x v="0"/>
    <s v="ч.2 ст.15.19 КоАП РФ"/>
    <x v="0"/>
    <n v="700000"/>
    <n v="1000000"/>
    <n v="0"/>
    <x v="0"/>
  </r>
  <r>
    <n v="256"/>
    <d v="2025-07-22T00:00:00"/>
    <s v="Общество с ограниченной ответственностью «АКЦЕНТ УПРАВЛЕНИЕ АКТИВАМИ»"/>
    <x v="0"/>
    <s v="ч.12 ст.15.29 КоАП РФ"/>
    <x v="2"/>
    <n v="300000"/>
    <n v="500000"/>
    <e v="#VALUE!"/>
    <x v="2"/>
  </r>
  <r>
    <n v="257"/>
    <d v="2025-07-18T00:00:00"/>
    <s v="Маленко Артем Анатольевич"/>
    <x v="1"/>
    <s v="ст.15.30 КоАП РФ"/>
    <x v="8"/>
    <n v="3000"/>
    <n v="5000"/>
    <n v="9"/>
    <x v="5"/>
  </r>
  <r>
    <n v="258"/>
    <d v="2025-07-18T00:00:00"/>
    <s v="Калинин Владимир Анатольевич"/>
    <x v="1"/>
    <s v="ст.15.30 КоАП РФ"/>
    <x v="7"/>
    <n v="3000"/>
    <n v="5000"/>
    <n v="0"/>
    <x v="0"/>
  </r>
  <r>
    <n v="259"/>
    <d v="2025-07-18T00:00:00"/>
    <s v="Шигапова Кадрия Хисамовна"/>
    <x v="1"/>
    <s v="ст.15.30 КоАП РФ"/>
    <x v="7"/>
    <n v="3000"/>
    <n v="5000"/>
    <n v="0"/>
    <x v="0"/>
  </r>
  <r>
    <n v="260"/>
    <d v="2025-07-18T00:00:00"/>
    <s v="ООО «ИНВЕСТИРУЙ В»"/>
    <x v="0"/>
    <s v="ч.9 ст.19.5 КоАП РФ"/>
    <x v="5"/>
    <n v="500000"/>
    <n v="700000"/>
    <n v="-0.5"/>
    <x v="4"/>
  </r>
  <r>
    <n v="261"/>
    <d v="2025-07-18T00:00:00"/>
    <s v="ООО «ПФЛ Новые Инвестиции»"/>
    <x v="0"/>
    <s v="ч.1 ст.19.7.3 КоАП РФ"/>
    <x v="4"/>
    <n v="500000"/>
    <n v="700000"/>
    <n v="-0.3"/>
    <x v="4"/>
  </r>
  <r>
    <n v="262"/>
    <d v="2025-07-15T00:00:00"/>
    <s v="Акционерное общество_x000d__x000a_«Негосударственный_x000d__x000a_пенсионный фонд «ВЭФ.Жизнь»"/>
    <x v="0"/>
    <s v="ч.10 ст.15.29 КоАП РФ"/>
    <x v="2"/>
    <n v="500000"/>
    <n v="700000"/>
    <e v="#VALUE!"/>
    <x v="2"/>
  </r>
  <r>
    <n v="263"/>
    <d v="2025-07-15T00:00:00"/>
    <s v="ООО «Капитализация»"/>
    <x v="0"/>
    <s v="ч.1 ст.19.7.3 КоАП РФ"/>
    <x v="5"/>
    <n v="500000"/>
    <n v="700000"/>
    <n v="-0.5"/>
    <x v="4"/>
  </r>
  <r>
    <n v="265"/>
    <d v="2025-07-11T00:00:00"/>
    <s v="Общество с ограниченной_x000d__x000a_ответственностью_x000d__x000a_«Управляющая компания_x000d__x000a_«Финанс Трейд Эссет_x000d__x000a_Менеджмент»"/>
    <x v="0"/>
    <s v="ч.12 ст.15.29 КоАП РФ"/>
    <x v="2"/>
    <n v="300000"/>
    <n v="500000"/>
    <e v="#VALUE!"/>
    <x v="2"/>
  </r>
  <r>
    <n v="267"/>
    <d v="2025-07-08T00:00:00"/>
    <s v="Тимофеева Дарья Сергеевна"/>
    <x v="1"/>
    <s v="ст.15.30 КоАП РФ"/>
    <x v="7"/>
    <n v="3000"/>
    <n v="5000"/>
    <n v="0"/>
    <x v="0"/>
  </r>
  <r>
    <n v="268"/>
    <d v="2025-07-08T00:00:00"/>
    <s v="Борисова Анна Владимировна"/>
    <x v="1"/>
    <s v="ст.15.30 КоАП РФ"/>
    <x v="7"/>
    <n v="3000"/>
    <n v="5000"/>
    <n v="0"/>
    <x v="0"/>
  </r>
  <r>
    <n v="269"/>
    <d v="2025-07-08T00:00:00"/>
    <s v="Тимофеев Александр Николаевич"/>
    <x v="1"/>
    <s v="ст.15.30 КоАП РФ"/>
    <x v="7"/>
    <n v="3000"/>
    <n v="5000"/>
    <n v="0"/>
    <x v="0"/>
  </r>
  <r>
    <n v="270"/>
    <d v="2025-07-08T00:00:00"/>
    <s v="Железнов Андрей Юрьевич"/>
    <x v="1"/>
    <s v="ст.15.30 КоАП РФ"/>
    <x v="7"/>
    <n v="3000"/>
    <n v="5000"/>
    <n v="0"/>
    <x v="0"/>
  </r>
  <r>
    <n v="271"/>
    <d v="2025-07-08T00:00:00"/>
    <s v="Просова Елена Игоревна"/>
    <x v="1"/>
    <s v="ст.15.30 КоАП РФ"/>
    <x v="7"/>
    <n v="3000"/>
    <n v="5000"/>
    <n v="0"/>
    <x v="0"/>
  </r>
  <r>
    <n v="272"/>
    <d v="2025-07-08T00:00:00"/>
    <s v="Варанкина Евгения Владимировна"/>
    <x v="1"/>
    <s v="ст.15.30 КоАП РФ"/>
    <x v="7"/>
    <n v="3000"/>
    <n v="5000"/>
    <n v="0"/>
    <x v="0"/>
  </r>
  <r>
    <n v="273"/>
    <d v="2025-07-08T00:00:00"/>
    <s v="ООО «ДжетЛенд»"/>
    <x v="0"/>
    <s v="ч.1 ст.19.7.3 КоАП РФ"/>
    <x v="5"/>
    <n v="500000"/>
    <n v="700000"/>
    <n v="-0.5"/>
    <x v="4"/>
  </r>
  <r>
    <n v="274"/>
    <d v="2025-07-08T00:00:00"/>
    <s v="Общество с ограниченной ответственностью «РСХБ Управление Активами»"/>
    <x v="0"/>
    <s v="ч.6 ст.15.29 КоАП РФ"/>
    <x v="0"/>
    <n v="700000"/>
    <n v="1000000"/>
    <n v="0"/>
    <x v="0"/>
  </r>
  <r>
    <n v="278"/>
    <d v="2025-07-04T00:00:00"/>
    <s v="Федоров Александр Вячеславович"/>
    <x v="1"/>
    <s v="ст.15.30 КоАП РФ"/>
    <x v="7"/>
    <n v="3000"/>
    <n v="5000"/>
    <n v="0"/>
    <x v="0"/>
  </r>
  <r>
    <n v="279"/>
    <d v="2025-07-01T00:00:00"/>
    <s v="Общество с ограниченной ответственностью «Спектрум кредитное бюро»"/>
    <x v="0"/>
    <s v="ст.5.55 КоАП РФ"/>
    <x v="2"/>
    <n v="20000"/>
    <n v="50000"/>
    <e v="#VALUE!"/>
    <x v="2"/>
  </r>
  <r>
    <n v="280"/>
    <d v="2025-07-01T00:00:00"/>
    <s v="Акционерное общество «Объединенное Кредитное Бюро»"/>
    <x v="0"/>
    <s v="ч.1 ст.19.7.3 КоАП РФ"/>
    <x v="0"/>
    <n v="500000"/>
    <n v="700000"/>
    <n v="1"/>
    <x v="3"/>
  </r>
  <r>
    <n v="283"/>
    <d v="2025-07-01T00:00:00"/>
    <s v="Байдаков Александр Владимирович"/>
    <x v="1"/>
    <s v="ст.15.30 КоАП РФ"/>
    <x v="8"/>
    <n v="3000"/>
    <n v="5000"/>
    <n v="9"/>
    <x v="5"/>
  </r>
  <r>
    <n v="285"/>
    <d v="2025-06-30T00:00:00"/>
    <s v="ООО «КАПИТАЛИЗАЦИЯ»"/>
    <x v="0"/>
    <s v="ч.9 ст.19.5 КоАП РФ"/>
    <x v="5"/>
    <n v="500000"/>
    <n v="700000"/>
    <n v="-0.5"/>
    <x v="4"/>
  </r>
  <r>
    <n v="286"/>
    <d v="2025-06-30T00:00:00"/>
    <s v="Общество с ограниченной ответственностью «РСХБ Управление Активами»"/>
    <x v="0"/>
    <s v="ч.2 ст.15.19 КоАП РФ"/>
    <x v="0"/>
    <n v="700000"/>
    <n v="1000000"/>
    <n v="0"/>
    <x v="0"/>
  </r>
  <r>
    <n v="289"/>
    <d v="2025-06-20T00:00:00"/>
    <s v="Давтян Давид Михайлович"/>
    <x v="1"/>
    <s v="ст.15.30 КоАП РФ"/>
    <x v="7"/>
    <n v="3000"/>
    <n v="5000"/>
    <n v="0"/>
    <x v="0"/>
  </r>
  <r>
    <n v="290"/>
    <d v="2025-06-18T00:00:00"/>
    <s v="Волик Богдан Викторович"/>
    <x v="1"/>
    <s v="ст.15.30 КоАП РФ"/>
    <x v="8"/>
    <n v="3000"/>
    <n v="5000"/>
    <n v="9"/>
    <x v="5"/>
  </r>
  <r>
    <n v="291"/>
    <d v="2025-06-17T00:00:00"/>
    <s v="АО «ИК «РИКОМ-ТРАСТ»"/>
    <x v="0"/>
    <s v="ч.1 ст.19.7.3 КоАП РФ"/>
    <x v="10"/>
    <n v="500000"/>
    <n v="700000"/>
    <n v="0"/>
    <x v="0"/>
  </r>
  <r>
    <n v="292"/>
    <d v="2025-06-17T00:00:00"/>
    <s v="ООО «СмартИнвест»"/>
    <x v="0"/>
    <s v="ч.9 ст.19.5 КоАП РФ"/>
    <x v="5"/>
    <n v="500000"/>
    <n v="700000"/>
    <n v="-0.5"/>
    <x v="4"/>
  </r>
  <r>
    <n v="293"/>
    <d v="2025-06-17T00:00:00"/>
    <s v="Цатурян Наринэ Егишевна"/>
    <x v="1"/>
    <s v="ст.15.30 КоАП РФ"/>
    <x v="7"/>
    <n v="3000"/>
    <n v="5000"/>
    <n v="0"/>
    <x v="0"/>
  </r>
  <r>
    <n v="294"/>
    <d v="2025-06-17T00:00:00"/>
    <s v="Журавлева Анастасия Андреевна"/>
    <x v="1"/>
    <s v="ст.15.30 КоАП РФ"/>
    <x v="7"/>
    <n v="3000"/>
    <n v="5000"/>
    <n v="0"/>
    <x v="0"/>
  </r>
  <r>
    <n v="295"/>
    <d v="2025-06-17T00:00:00"/>
    <s v="Журавлев Дмитрий Михайлович"/>
    <x v="1"/>
    <s v="ст.15.30 КоАП РФ"/>
    <x v="7"/>
    <n v="3000"/>
    <n v="5000"/>
    <n v="0"/>
    <x v="0"/>
  </r>
  <r>
    <n v="296"/>
    <d v="2025-06-17T00:00:00"/>
    <s v="ООО «Каркаул.ру»"/>
    <x v="0"/>
    <s v="ч.1 ст.19.7.3 КоАП РФ"/>
    <x v="4"/>
    <n v="500000"/>
    <n v="700000"/>
    <n v="-0.3"/>
    <x v="4"/>
  </r>
  <r>
    <n v="297"/>
    <d v="2025-06-17T00:00:00"/>
    <s v="Общество с ограниченной_x000d__x000a_ответственностью_x000d__x000a_«Бенефорт»"/>
    <x v="0"/>
    <s v="ч.2 ст.15.29 КоАП РФ"/>
    <x v="5"/>
    <n v="500000"/>
    <n v="700000"/>
    <n v="-0.5"/>
    <x v="4"/>
  </r>
  <r>
    <n v="298"/>
    <d v="2025-06-10T00:00:00"/>
    <s v="Акционерное общество «Национальный негосударственный пенсионный фонд»"/>
    <x v="0"/>
    <s v="ч.9 ст.15.29 КоАП РФ"/>
    <x v="0"/>
    <n v="700000"/>
    <n v="1000000"/>
    <n v="0"/>
    <x v="0"/>
  </r>
  <r>
    <n v="299"/>
    <d v="2025-06-10T00:00:00"/>
    <s v="ООО «ЛЭНДЭР-ИНВЕСТ»"/>
    <x v="0"/>
    <s v="ч.1 ст.19.7.3 КоАП РФ"/>
    <x v="5"/>
    <n v="500000"/>
    <n v="700000"/>
    <n v="-0.5"/>
    <x v="4"/>
  </r>
  <r>
    <n v="300"/>
    <d v="2025-06-10T00:00:00"/>
    <s v="Павлова Марина Алексеевна"/>
    <x v="1"/>
    <s v="ст.15.30 КоАП РФ"/>
    <x v="7"/>
    <n v="3000"/>
    <n v="5000"/>
    <n v="0"/>
    <x v="0"/>
  </r>
  <r>
    <n v="301"/>
    <d v="2025-06-10T00:00:00"/>
    <s v="Павлов Александр Владиславович"/>
    <x v="1"/>
    <s v="ст.15.30 КоАП РФ"/>
    <x v="7"/>
    <n v="3000"/>
    <n v="5000"/>
    <n v="0"/>
    <x v="0"/>
  </r>
  <r>
    <n v="302"/>
    <d v="2025-06-10T00:00:00"/>
    <s v="Общество с ограниченной_x000d__x000a_ответственностью_x000d__x000a_«Управляющая компания_x000d__x000a_«Финам Менеджмент»"/>
    <x v="0"/>
    <s v="ч.6 ст.15.29 КоАП РФ"/>
    <x v="2"/>
    <n v="700000"/>
    <n v="1000000"/>
    <e v="#VALUE!"/>
    <x v="2"/>
  </r>
  <r>
    <n v="303"/>
    <d v="2025-06-09T00:00:00"/>
    <s v="Акционерное общество «Инвестиционная компания «Ай Ти Инвест»"/>
    <x v="0"/>
    <s v="ч.2 ст.15.29 КоАП РФ"/>
    <x v="10"/>
    <n v="500000"/>
    <n v="700000"/>
    <n v="0"/>
    <x v="0"/>
  </r>
  <r>
    <n v="304"/>
    <d v="2025-06-09T00:00:00"/>
    <s v="АО «Бюро кредитных историй «Скоринг Бюро»"/>
    <x v="0"/>
    <s v="ст.5.55 КоАП РФ"/>
    <x v="2"/>
    <n v="20000"/>
    <n v="50000"/>
    <e v="#VALUE!"/>
    <x v="2"/>
  </r>
  <r>
    <n v="305"/>
    <d v="2025-06-09T00:00:00"/>
    <s v="Общество с ограниченной_x000d__x000a_ответственностью_x000d__x000a_«Т-Капитал»"/>
    <x v="0"/>
    <s v="ч.12 ст.15.29 КоАП РФ"/>
    <x v="6"/>
    <n v="300000"/>
    <n v="500000"/>
    <n v="0"/>
    <x v="0"/>
  </r>
  <r>
    <n v="306"/>
    <d v="2025-06-06T00:00:00"/>
    <s v="Акционерное общество Инвестиционно-финансовая_x000d__x000a_компания «Солид»"/>
    <x v="0"/>
    <s v="ч.2 ст.15.29 КоАП РФ"/>
    <x v="10"/>
    <n v="500000"/>
    <n v="700000"/>
    <n v="0"/>
    <x v="0"/>
  </r>
  <r>
    <n v="307"/>
    <d v="2025-06-03T00:00:00"/>
    <s v="Акционерное общество «Управляющая компания «Первая»"/>
    <x v="0"/>
    <s v="ч.5 ст.15.29 КоАП РФ"/>
    <x v="10"/>
    <n v="500000"/>
    <n v="700000"/>
    <n v="0"/>
    <x v="0"/>
  </r>
  <r>
    <n v="307"/>
    <d v="2025-06-03T00:00:00"/>
    <s v="Акционерное общество «Управляющая компания «Первая»"/>
    <x v="0"/>
    <s v="ч.12 ст.15.29 КоАП РФ"/>
    <x v="6"/>
    <n v="300000"/>
    <n v="500000"/>
    <n v="0"/>
    <x v="0"/>
  </r>
  <r>
    <n v="309"/>
    <d v="2025-05-27T00:00:00"/>
    <s v="Общество с ограниченной ответственностью Управляющая компания «ГЕРОИ»"/>
    <x v="0"/>
    <s v="ч.5 ст.15.29 КоАП РФ"/>
    <x v="5"/>
    <n v="500000"/>
    <n v="700000"/>
    <n v="-0.5"/>
    <x v="4"/>
  </r>
  <r>
    <n v="310"/>
    <d v="2025-05-27T00:00:00"/>
    <s v="АО «Объединенное Кредитное Бюро»"/>
    <x v="0"/>
    <s v="ч.1 ст.19.7.3 КоАП РФ"/>
    <x v="0"/>
    <n v="500000"/>
    <n v="700000"/>
    <n v="1"/>
    <x v="3"/>
  </r>
  <r>
    <n v="311"/>
    <d v="2025-05-27T00:00:00"/>
    <s v="Акционерное общество_x000d__x000a_ВИМ Инвестиции"/>
    <x v="0"/>
    <s v="ч.12 ст.15.29 КоАП РФ"/>
    <x v="6"/>
    <n v="300000"/>
    <n v="500000"/>
    <n v="0"/>
    <x v="0"/>
  </r>
  <r>
    <n v="312"/>
    <d v="2025-05-26T00:00:00"/>
    <s v="Акционерное общество_x000d__x000a_Финансовая компания_x000d__x000a_«Профит Хауз»"/>
    <x v="0"/>
    <s v="ч.12 ст.15.29 КоАП РФ"/>
    <x v="9"/>
    <n v="300000"/>
    <n v="500000"/>
    <n v="-0.5"/>
    <x v="4"/>
  </r>
  <r>
    <n v="313"/>
    <d v="2025-05-26T00:00:00"/>
    <s v="Общество с ограниченной_x000d__x000a_ответственностью_x000d__x000a_ВИМ Сбережения"/>
    <x v="0"/>
    <s v="ч.12 ст.15.29 КоАП РФ"/>
    <x v="2"/>
    <n v="300000"/>
    <n v="500000"/>
    <e v="#VALUE!"/>
    <x v="2"/>
  </r>
  <r>
    <n v="314"/>
    <d v="2025-05-23T00:00:00"/>
    <s v="Нефедов Владимир Сергеевич"/>
    <x v="1"/>
    <s v="ст.15.30 КоАП РФ"/>
    <x v="7"/>
    <n v="3000"/>
    <n v="5000"/>
    <n v="0"/>
    <x v="0"/>
  </r>
  <r>
    <n v="315"/>
    <d v="2025-05-20T00:00:00"/>
    <s v="Маликов Валерий Михайлович"/>
    <x v="1"/>
    <s v="ст.15.30 КоАП РФ"/>
    <x v="7"/>
    <n v="3000"/>
    <n v="5000"/>
    <n v="0"/>
    <x v="0"/>
  </r>
  <r>
    <n v="316"/>
    <d v="2025-05-20T00:00:00"/>
    <s v="Маликова Майя Валерьевна"/>
    <x v="1"/>
    <s v="ст.15.30 КоАП РФ"/>
    <x v="7"/>
    <n v="3000"/>
    <n v="5000"/>
    <n v="0"/>
    <x v="0"/>
  </r>
  <r>
    <n v="317"/>
    <d v="2025-05-16T00:00:00"/>
    <s v="Соловьев Вадим Сергеевич"/>
    <x v="1"/>
    <s v="ст.15.30 КоАП РФ"/>
    <x v="7"/>
    <n v="3000"/>
    <n v="5000"/>
    <n v="0"/>
    <x v="0"/>
  </r>
  <r>
    <n v="318"/>
    <d v="2025-05-16T00:00:00"/>
    <s v="Соловьева Татьяна Владимировна"/>
    <x v="1"/>
    <s v="ст.15.30 КоАП РФ"/>
    <x v="7"/>
    <n v="3000"/>
    <n v="5000"/>
    <n v="0"/>
    <x v="0"/>
  </r>
  <r>
    <n v="319"/>
    <d v="2025-05-16T00:00:00"/>
    <s v="ООО «Каркаул.ру»"/>
    <x v="0"/>
    <s v="ч.1 ст.19.7.3 КоАП РФ"/>
    <x v="4"/>
    <n v="500000"/>
    <n v="700000"/>
    <n v="-0.3"/>
    <x v="4"/>
  </r>
  <r>
    <n v="319"/>
    <d v="2025-05-16T00:00:00"/>
    <s v="ООО «Каркаул.ру»"/>
    <x v="0"/>
    <s v="ч.9 ст.19.5 КоАП РФ"/>
    <x v="5"/>
    <n v="500000"/>
    <n v="700000"/>
    <n v="-0.5"/>
    <x v="4"/>
  </r>
  <r>
    <n v="320"/>
    <d v="2025-05-16T00:00:00"/>
    <s v="Общество с ограниченной_x000d__x000a_ответственностью «Московские_x000d__x000a_партнеры»"/>
    <x v="0"/>
    <s v="ч.2 ст.15.29 КоАП РФ"/>
    <x v="10"/>
    <n v="500000"/>
    <n v="700000"/>
    <n v="0"/>
    <x v="0"/>
  </r>
  <r>
    <n v="321"/>
    <d v="2025-05-16T00:00:00"/>
    <s v="Общество с ограниченной ответственностью «Управляющая компания РИГОРА»"/>
    <x v="0"/>
    <s v="ч.12 ст.15.29 КоАП РФ"/>
    <x v="2"/>
    <n v="300000"/>
    <n v="500000"/>
    <e v="#VALUE!"/>
    <x v="2"/>
  </r>
  <r>
    <n v="322"/>
    <d v="2025-05-15T00:00:00"/>
    <s v="Акционерное общество_x000d__x000a_Управляющая компания_x000d__x000a_«НРК-Капитал (Эссет_x000d__x000a_Менеджмент)»"/>
    <x v="0"/>
    <s v="ч.12 ст.15.29 КоАП РФ"/>
    <x v="2"/>
    <n v="300000"/>
    <n v="500000"/>
    <e v="#VALUE!"/>
    <x v="2"/>
  </r>
  <r>
    <n v="323"/>
    <d v="2025-05-13T00:00:00"/>
    <s v="Публичное акционерное общество «СПБ Биржа»"/>
    <x v="0"/>
    <s v="ч.7 ст.14.24 КоАП РФ"/>
    <x v="2"/>
    <n v="300000"/>
    <n v="500000"/>
    <e v="#VALUE!"/>
    <x v="2"/>
  </r>
  <r>
    <n v="324"/>
    <d v="2025-05-13T00:00:00"/>
    <s v="Акционерное общество «Негосударственный пенсионный фонд «Ростех»"/>
    <x v="0"/>
    <s v="ч.9 ст.15.29 КоАП РФ"/>
    <x v="0"/>
    <n v="700000"/>
    <n v="1000000"/>
    <n v="0"/>
    <x v="0"/>
  </r>
  <r>
    <n v="325"/>
    <d v="2025-05-13T00:00:00"/>
    <s v="Апарин Андрей Михайлович"/>
    <x v="1"/>
    <s v="ст.15.30 КоАП РФ"/>
    <x v="7"/>
    <n v="3000"/>
    <n v="5000"/>
    <n v="0"/>
    <x v="0"/>
  </r>
  <r>
    <n v="326"/>
    <d v="2025-05-13T00:00:00"/>
    <s v="Акционерное общество_x000d__x000a_«ААА Управление Капиталом»"/>
    <x v="0"/>
    <s v="ч.2 ст.15.19 КоАП РФ"/>
    <x v="0"/>
    <n v="700000"/>
    <n v="1000000"/>
    <n v="0"/>
    <x v="0"/>
  </r>
  <r>
    <n v="326"/>
    <d v="2025-05-13T00:00:00"/>
    <s v="Акционерное общество_x000d__x000a_«ААА Управление Капиталом»"/>
    <x v="0"/>
    <s v="ч.12 ст.15.29 КоАП РФ"/>
    <x v="6"/>
    <n v="300000"/>
    <n v="500000"/>
    <n v="0"/>
    <x v="0"/>
  </r>
  <r>
    <n v="327"/>
    <d v="2025-05-13T00:00:00"/>
    <s v="Общество с ограниченной ответственностью Управляющая компания «Арикапитал»"/>
    <x v="0"/>
    <s v="ч.12 ст.15.29 КоАП РФ"/>
    <x v="2"/>
    <n v="300000"/>
    <n v="500000"/>
    <e v="#VALUE!"/>
    <x v="2"/>
  </r>
  <r>
    <n v="328"/>
    <d v="2025-05-07T00:00:00"/>
    <s v="Быков Денис Эдуардович"/>
    <x v="1"/>
    <s v="ст.15.30 КоАП РФ"/>
    <x v="7"/>
    <n v="3000"/>
    <n v="5000"/>
    <n v="0"/>
    <x v="0"/>
  </r>
  <r>
    <n v="329"/>
    <d v="2025-05-07T00:00:00"/>
    <s v="Быков Эдуард Юрьевич"/>
    <x v="1"/>
    <s v="ст.15.30 КоАП РФ"/>
    <x v="7"/>
    <n v="3000"/>
    <n v="5000"/>
    <n v="0"/>
    <x v="0"/>
  </r>
  <r>
    <n v="330"/>
    <d v="2025-05-06T00:00:00"/>
    <s v="ООО &quot;КАС КЭПИТАЛ&quot;"/>
    <x v="0"/>
    <s v="ст.15.30 КоАП РФ"/>
    <x v="4"/>
    <n v="700000"/>
    <s v="в размере суммы излишнего дохода… но не менее 700 000 рублей"/>
    <n v="-0.5"/>
    <x v="4"/>
  </r>
  <r>
    <n v="331"/>
    <d v="2025-05-06T00:00:00"/>
    <s v="Безменов Николай Николаевич"/>
    <x v="1"/>
    <s v="ст.15.30 КоАП РФ"/>
    <x v="7"/>
    <n v="3000"/>
    <n v="5000"/>
    <n v="0"/>
    <x v="0"/>
  </r>
  <r>
    <n v="332"/>
    <d v="2025-05-06T00:00:00"/>
    <s v="Пономарева Наталья Александровна"/>
    <x v="1"/>
    <s v="ст.15.30 КоАП РФ"/>
    <x v="7"/>
    <n v="3000"/>
    <n v="5000"/>
    <n v="0"/>
    <x v="0"/>
  </r>
  <r>
    <n v="333"/>
    <d v="2025-05-06T00:00:00"/>
    <s v="Мохов Никита Юрьевич"/>
    <x v="1"/>
    <s v="ст.15.30 КоАП РФ"/>
    <x v="7"/>
    <n v="3000"/>
    <n v="5000"/>
    <n v="0"/>
    <x v="0"/>
  </r>
  <r>
    <n v="334"/>
    <d v="2025-05-06T00:00:00"/>
    <s v="Микшин Денис Николаевич"/>
    <x v="1"/>
    <s v="ст.15.30 КоАП РФ"/>
    <x v="7"/>
    <n v="3000"/>
    <n v="5000"/>
    <n v="0"/>
    <x v="0"/>
  </r>
  <r>
    <n v="335"/>
    <d v="2025-05-06T00:00:00"/>
    <s v="Александрова Екатерина Павловна"/>
    <x v="1"/>
    <s v="ст.15.30 КоАП РФ"/>
    <x v="7"/>
    <n v="3000"/>
    <n v="5000"/>
    <n v="0"/>
    <x v="0"/>
  </r>
  <r>
    <n v="336"/>
    <d v="2025-05-06T00:00:00"/>
    <s v="Дерюгин Андрей Викторович"/>
    <x v="1"/>
    <s v="ст.15.30 КоАП РФ"/>
    <x v="7"/>
    <n v="3000"/>
    <n v="5000"/>
    <n v="0"/>
    <x v="0"/>
  </r>
  <r>
    <n v="337"/>
    <d v="2025-05-06T00:00:00"/>
    <s v="Князева Людмила Александровна"/>
    <x v="1"/>
    <s v="ст.15.30 КоАП РФ"/>
    <x v="7"/>
    <n v="3000"/>
    <n v="5000"/>
    <n v="0"/>
    <x v="0"/>
  </r>
  <r>
    <n v="338"/>
    <d v="2025-05-06T00:00:00"/>
    <s v="АО «Объединенное Кредитное Бюро»"/>
    <x v="0"/>
    <s v="ч.1 ст.5.54 КоАП РФ"/>
    <x v="15"/>
    <n v="10000"/>
    <n v="20000"/>
    <n v="1"/>
    <x v="3"/>
  </r>
  <r>
    <n v="339"/>
    <d v="2025-05-06T00:00:00"/>
    <s v="Общество с ограниченной ответственностью «Управляющая компания «Альфа-Капитал»"/>
    <x v="0"/>
    <s v="ч.12 ст.15.29 КоАП РФ"/>
    <x v="6"/>
    <n v="300000"/>
    <n v="500000"/>
    <n v="0"/>
    <x v="0"/>
  </r>
  <r>
    <n v="340"/>
    <d v="2025-05-06T00:00:00"/>
    <s v="Акционерное общество «Контрада Капитал»"/>
    <x v="0"/>
    <s v="ч.6 ст.15.29 КоАП РФ"/>
    <x v="2"/>
    <n v="700000"/>
    <n v="1000000"/>
    <e v="#VALUE!"/>
    <x v="2"/>
  </r>
  <r>
    <n v="340"/>
    <d v="2025-05-06T00:00:00"/>
    <s v="Акционерное общество «Контрада Капитал»"/>
    <x v="0"/>
    <s v="ч.5 ст.15.29 КоАП РФ"/>
    <x v="2"/>
    <n v="500000"/>
    <n v="700000"/>
    <e v="#VALUE!"/>
    <x v="2"/>
  </r>
  <r>
    <n v="341"/>
    <d v="2025-05-05T00:00:00"/>
    <s v="Царик Дмитрий Сергеевич"/>
    <x v="1"/>
    <s v="ст.15.30 КоАП РФ"/>
    <x v="7"/>
    <n v="3000"/>
    <n v="5000"/>
    <n v="0"/>
    <x v="0"/>
  </r>
  <r>
    <n v="342"/>
    <d v="2025-04-29T00:00:00"/>
    <s v="ООО «КраудЮнит»"/>
    <x v="0"/>
    <s v="ч.9 ст.19.5 КоАП РФ"/>
    <x v="5"/>
    <n v="500000"/>
    <n v="700000"/>
    <n v="-0.5"/>
    <x v="4"/>
  </r>
  <r>
    <n v="343"/>
    <d v="2025-04-29T00:00:00"/>
    <s v="Лазутина Линда Леонидовна"/>
    <x v="1"/>
    <s v="ст.15.21 КоАП РФ"/>
    <x v="7"/>
    <n v="3000"/>
    <n v="5000"/>
    <n v="0"/>
    <x v="0"/>
  </r>
  <r>
    <n v="344"/>
    <d v="2025-04-29T00:00:00"/>
    <s v="Чернышев Даниил Владимирович"/>
    <x v="1"/>
    <s v="ст.15.30 КоАП РФ"/>
    <x v="7"/>
    <n v="3000"/>
    <n v="5000"/>
    <n v="0"/>
    <x v="0"/>
  </r>
  <r>
    <n v="345"/>
    <d v="2025-04-28T00:00:00"/>
    <s v="Сас Роман Иванович"/>
    <x v="1"/>
    <s v="ст.15.30 КоАП РФ"/>
    <x v="7"/>
    <n v="3000"/>
    <n v="5000"/>
    <n v="0"/>
    <x v="0"/>
  </r>
  <r>
    <n v="346"/>
    <d v="2025-04-28T00:00:00"/>
    <s v="Сас Надежда Валериевна"/>
    <x v="1"/>
    <s v="ст.15.30 КоАП РФ"/>
    <x v="7"/>
    <n v="3000"/>
    <n v="5000"/>
    <n v="0"/>
    <x v="0"/>
  </r>
  <r>
    <n v="347"/>
    <d v="2025-04-28T00:00:00"/>
    <s v="Акционерное общество «Инвестиционная компания «РИКОМ-ТРАСТ»"/>
    <x v="0"/>
    <s v="ч.9 ст.15.29 КоАП РФ"/>
    <x v="0"/>
    <n v="700000"/>
    <n v="1000000"/>
    <n v="0"/>
    <x v="0"/>
  </r>
  <r>
    <n v="348"/>
    <d v="2025-04-25T00:00:00"/>
    <s v="ООО &quot;Григорян Инвест&quot;"/>
    <x v="0"/>
    <s v="ст.15.30 КоАП РФ"/>
    <x v="0"/>
    <n v="700000"/>
    <s v="в размере суммы излишнего дохода… но не менее 700 000 рублей"/>
    <n v="0"/>
    <x v="0"/>
  </r>
  <r>
    <n v="349"/>
    <d v="2025-04-25T00:00:00"/>
    <s v="ООО «ФИНИН-К»"/>
    <x v="0"/>
    <s v="ч.9 ст.19.5 КоАП РФ"/>
    <x v="5"/>
    <n v="500000"/>
    <n v="700000"/>
    <n v="-0.5"/>
    <x v="4"/>
  </r>
  <r>
    <n v="350"/>
    <d v="2025-04-25T00:00:00"/>
    <s v="ООО «Селект мани»"/>
    <x v="0"/>
    <s v="ч.9 ст.19.5 КоАП РФ"/>
    <x v="5"/>
    <n v="500000"/>
    <n v="700000"/>
    <n v="-0.5"/>
    <x v="4"/>
  </r>
  <r>
    <n v="351"/>
    <d v="2025-04-22T00:00:00"/>
    <s v="Унеговский Дмитрий Семенович"/>
    <x v="1"/>
    <s v="ст.15.30 КоАП РФ"/>
    <x v="7"/>
    <n v="3000"/>
    <n v="5000"/>
    <n v="0"/>
    <x v="0"/>
  </r>
  <r>
    <n v="352"/>
    <d v="2025-04-18T00:00:00"/>
    <s v="Общество с ограниченной ответственностью «РСХБ Управление Активами»"/>
    <x v="0"/>
    <s v="ч.2 ст.15.19 КоАП РФ"/>
    <x v="0"/>
    <n v="700000"/>
    <n v="1000000"/>
    <n v="0"/>
    <x v="0"/>
  </r>
  <r>
    <n v="353"/>
    <d v="2025-04-18T00:00:00"/>
    <s v="Егорова Виктория Евгеньевна"/>
    <x v="1"/>
    <s v="ст.15.30 КоАП РФ"/>
    <x v="7"/>
    <n v="3000"/>
    <n v="5000"/>
    <n v="0"/>
    <x v="0"/>
  </r>
  <r>
    <n v="354"/>
    <d v="2025-04-17T00:00:00"/>
    <s v="Погосов Юрий Евгеньевич"/>
    <x v="1"/>
    <s v="ст.15.30 КоАП РФ"/>
    <x v="7"/>
    <n v="3000"/>
    <n v="5000"/>
    <n v="0"/>
    <x v="0"/>
  </r>
  <r>
    <n v="355"/>
    <d v="2025-04-15T00:00:00"/>
    <s v="Погосова Ольга Владимировна"/>
    <x v="1"/>
    <s v="ст.15.30 КоАП РФ"/>
    <x v="7"/>
    <n v="3000"/>
    <n v="5000"/>
    <n v="0"/>
    <x v="0"/>
  </r>
  <r>
    <n v="356"/>
    <d v="2025-04-15T00:00:00"/>
    <s v="ООО «Селект мани»"/>
    <x v="0"/>
    <s v="ч.9 ст.19.5 КоАП РФ"/>
    <x v="5"/>
    <n v="500000"/>
    <n v="700000"/>
    <n v="-0.5"/>
    <x v="4"/>
  </r>
  <r>
    <n v="357"/>
    <d v="2025-04-15T00:00:00"/>
    <s v="Акционерное общество «Управляющая компания «ТРАНСФИНГРУП»"/>
    <x v="0"/>
    <s v="ч.12 ст.15.29 КоАП РФ"/>
    <x v="6"/>
    <n v="300000"/>
    <n v="500000"/>
    <n v="0"/>
    <x v="0"/>
  </r>
  <r>
    <n v="358"/>
    <d v="2025-04-15T00:00:00"/>
    <s v="Общество с ограниченной ответственностью «Управляющая компания «АКРУКС КАПИТАЛ»"/>
    <x v="0"/>
    <s v="ч.12 ст.15.29 КоАП РФ"/>
    <x v="2"/>
    <n v="300000"/>
    <n v="500000"/>
    <e v="#VALUE!"/>
    <x v="2"/>
  </r>
  <r>
    <n v="359"/>
    <d v="2025-04-15T00:00:00"/>
    <s v="Акционерное общество «БКС Управление благосостоянием»"/>
    <x v="0"/>
    <s v="ч.12 ст.15.29 КоАП РФ"/>
    <x v="2"/>
    <n v="300000"/>
    <n v="500000"/>
    <e v="#VALUE!"/>
    <x v="2"/>
  </r>
  <r>
    <n v="359"/>
    <d v="2025-04-15T00:00:00"/>
    <s v="Акционерное общество «БКС Управление благосостоянием»"/>
    <x v="0"/>
    <s v="ч.12 ст.15.29 КоАП РФ"/>
    <x v="2"/>
    <n v="300000"/>
    <n v="500000"/>
    <e v="#VALUE!"/>
    <x v="2"/>
  </r>
  <r>
    <n v="360"/>
    <d v="2025-04-14T00:00:00"/>
    <s v="Акционерное общество ВИМ Инвестиции"/>
    <x v="0"/>
    <s v="ч.12 ст.15.29 КоАП РФ"/>
    <x v="6"/>
    <n v="300000"/>
    <n v="500000"/>
    <n v="0"/>
    <x v="0"/>
  </r>
  <r>
    <n v="361"/>
    <d v="2025-04-14T00:00:00"/>
    <s v="Князев Станислав Юрьевич"/>
    <x v="1"/>
    <s v="ст.15.30 КоАП РФ"/>
    <x v="7"/>
    <n v="3000"/>
    <n v="5000"/>
    <n v="0"/>
    <x v="0"/>
  </r>
  <r>
    <n v="362"/>
    <d v="2025-04-14T00:00:00"/>
    <s v="Георгиевский Даниил Максимович"/>
    <x v="1"/>
    <s v="ст.15.30 КоАП РФ"/>
    <x v="7"/>
    <n v="3000"/>
    <n v="5000"/>
    <n v="0"/>
    <x v="0"/>
  </r>
  <r>
    <n v="363"/>
    <d v="2025-04-11T00:00:00"/>
    <s v="АО «Специализированный депозитарий «ИНФИНИТУМ»"/>
    <x v="0"/>
    <s v="ч.12 ст.15.29 КоАП РФ"/>
    <x v="6"/>
    <n v="300000"/>
    <n v="500000"/>
    <n v="0"/>
    <x v="0"/>
  </r>
  <r>
    <n v="364"/>
    <d v="2025-04-11T00:00:00"/>
    <s v="Дерюгина Наталья Александровна"/>
    <x v="1"/>
    <s v="ст.15.30 КоАП РФ"/>
    <x v="7"/>
    <n v="3000"/>
    <n v="5000"/>
    <n v="0"/>
    <x v="0"/>
  </r>
  <r>
    <n v="365"/>
    <d v="2025-04-08T00:00:00"/>
    <s v="ООО «РБРУ СД»"/>
    <x v="0"/>
    <s v="ч.12 ст.15.29 КоАП РФ"/>
    <x v="6"/>
    <n v="300000"/>
    <n v="500000"/>
    <n v="0"/>
    <x v="0"/>
  </r>
  <r>
    <n v="366"/>
    <d v="2025-04-08T00:00:00"/>
    <s v="АО «ИК «РИКОМ-ТРАСТ»"/>
    <x v="0"/>
    <s v="ч.1 ст.19.7.3 КоАП РФ"/>
    <x v="10"/>
    <n v="500000"/>
    <n v="700000"/>
    <n v="0"/>
    <x v="0"/>
  </r>
  <r>
    <n v="367"/>
    <d v="2025-04-08T00:00:00"/>
    <s v="Порохова Наталья Владимировна"/>
    <x v="1"/>
    <s v="ст.15.30 КоАП РФ"/>
    <x v="7"/>
    <n v="3000"/>
    <n v="5000"/>
    <n v="0"/>
    <x v="0"/>
  </r>
  <r>
    <n v="368"/>
    <d v="2025-04-08T00:00:00"/>
    <s v="Унеговская Наталья Александровна"/>
    <x v="1"/>
    <s v="ст.15.30 КоАП РФ"/>
    <x v="7"/>
    <n v="3000"/>
    <n v="5000"/>
    <n v="0"/>
    <x v="0"/>
  </r>
  <r>
    <n v="369"/>
    <d v="2025-04-08T00:00:00"/>
    <s v="Попов Алексей Александрович"/>
    <x v="1"/>
    <s v="ст.15.30 КоАП РФ"/>
    <x v="7"/>
    <n v="3000"/>
    <n v="5000"/>
    <n v="0"/>
    <x v="0"/>
  </r>
  <r>
    <n v="370"/>
    <d v="2025-04-08T00:00:00"/>
    <s v="Общество с ограниченной ответственностью «Управляющая компания «Атон-менеджмент»"/>
    <x v="0"/>
    <s v="ч.2 ст.15.19 КоАП РФ"/>
    <x v="0"/>
    <n v="700000"/>
    <n v="1000000"/>
    <n v="0"/>
    <x v="0"/>
  </r>
  <r>
    <n v="371"/>
    <d v="2025-04-08T00:00:00"/>
    <s v="Акционерное общество_x000d__x000a_Управляющая компания_x000d__x000a_«РВМ Капитал»"/>
    <x v="0"/>
    <s v="ч.12 ст.15.29 КоАП РФ"/>
    <x v="2"/>
    <n v="300000"/>
    <n v="500000"/>
    <e v="#VALUE!"/>
    <x v="2"/>
  </r>
  <r>
    <n v="372"/>
    <d v="2025-04-04T00:00:00"/>
    <s v="Федина Марина Александровна"/>
    <x v="1"/>
    <s v="ст.15.30 КоАП РФ"/>
    <x v="7"/>
    <n v="3000"/>
    <n v="5000"/>
    <n v="0"/>
    <x v="0"/>
  </r>
  <r>
    <n v="373"/>
    <d v="2025-04-01T00:00:00"/>
    <s v="Баринова Анастасия Юрьевна"/>
    <x v="1"/>
    <s v="ст.15.30 КоАП РФ"/>
    <x v="7"/>
    <n v="3000"/>
    <n v="5000"/>
    <n v="0"/>
    <x v="0"/>
  </r>
  <r>
    <n v="374"/>
    <d v="2025-03-28T00:00:00"/>
    <s v="АО «Национальное бюро кредитных историй»"/>
    <x v="0"/>
    <s v="ст.14.29 КоАП РФ"/>
    <x v="8"/>
    <n v="30000"/>
    <n v="50000"/>
    <n v="0"/>
    <x v="0"/>
  </r>
  <r>
    <n v="375"/>
    <d v="2025-03-28T00:00:00"/>
    <s v="Федин Виталий Юрьевич"/>
    <x v="1"/>
    <s v="ст.15.30 КоАП РФ"/>
    <x v="7"/>
    <n v="3000"/>
    <n v="5000"/>
    <n v="0"/>
    <x v="0"/>
  </r>
  <r>
    <n v="376"/>
    <d v="2025-03-25T00:00:00"/>
    <s v="Юшков Никита Константинович"/>
    <x v="1"/>
    <s v="ст.15.30 КоАП РФ"/>
    <x v="7"/>
    <n v="3000"/>
    <n v="5000"/>
    <n v="0"/>
    <x v="0"/>
  </r>
  <r>
    <n v="377"/>
    <d v="2025-03-25T00:00:00"/>
    <s v="Юшков Константин Михайлович"/>
    <x v="1"/>
    <s v="ст.15.30 КоАП РФ"/>
    <x v="7"/>
    <n v="3000"/>
    <n v="5000"/>
    <n v="0"/>
    <x v="0"/>
  </r>
  <r>
    <n v="378"/>
    <d v="2025-03-25T00:00:00"/>
    <s v="Коростелев Андрей Юрьевич"/>
    <x v="1"/>
    <s v="ст.15.30 КоАП РФ"/>
    <x v="7"/>
    <n v="3000"/>
    <n v="5000"/>
    <n v="0"/>
    <x v="0"/>
  </r>
  <r>
    <n v="379"/>
    <d v="2025-03-25T00:00:00"/>
    <s v="Коростелева Марина Викторовна"/>
    <x v="1"/>
    <s v="ст.15.30 КоАП РФ"/>
    <x v="7"/>
    <n v="3000"/>
    <n v="5000"/>
    <n v="0"/>
    <x v="0"/>
  </r>
  <r>
    <n v="380"/>
    <d v="2025-03-25T00:00:00"/>
    <s v="Акционерное общество «Управляющая компания «Первая»"/>
    <x v="0"/>
    <s v="ч.12 ст.15.29 КоАП РФ"/>
    <x v="6"/>
    <n v="300000"/>
    <n v="500000"/>
    <n v="0"/>
    <x v="0"/>
  </r>
  <r>
    <n v="381"/>
    <d v="2025-03-25T00:00:00"/>
    <s v="КИТ Финанс (Акционерное общество)"/>
    <x v="0"/>
    <s v="ч.2 ст.15.29 КоАП РФ"/>
    <x v="2"/>
    <n v="500000"/>
    <n v="700000"/>
    <e v="#VALUE!"/>
    <x v="2"/>
  </r>
  <r>
    <n v="381"/>
    <d v="2025-03-25T00:00:00"/>
    <s v="КИТ Финанс (Акционерное общество)"/>
    <x v="0"/>
    <s v="ч.4 ст.15.19 КоАП РФ"/>
    <x v="2"/>
    <n v="300000"/>
    <n v="500000"/>
    <e v="#VALUE!"/>
    <x v="2"/>
  </r>
  <r>
    <n v="382"/>
    <d v="2025-03-21T00:00:00"/>
    <s v="ООО «ПФЛ Новые инвестиции»"/>
    <x v="0"/>
    <s v="ч.1 ст.19.7.3 КоАП РФ"/>
    <x v="5"/>
    <n v="500000"/>
    <n v="700000"/>
    <n v="-0.5"/>
    <x v="4"/>
  </r>
  <r>
    <n v="383"/>
    <d v="2025-03-21T00:00:00"/>
    <s v="Черепанов Виталий Ильич"/>
    <x v="1"/>
    <s v="ст.15.30 КоАП РФ"/>
    <x v="7"/>
    <n v="3000"/>
    <n v="5000"/>
    <n v="0"/>
    <x v="0"/>
  </r>
  <r>
    <n v="384"/>
    <d v="2025-03-21T00:00:00"/>
    <s v="Полюбай Юлия Петровна"/>
    <x v="1"/>
    <s v="ст.15.30 КоАП РФ"/>
    <x v="7"/>
    <n v="3000"/>
    <n v="5000"/>
    <n v="0"/>
    <x v="0"/>
  </r>
  <r>
    <n v="385"/>
    <d v="2025-03-21T00:00:00"/>
    <s v="Полюбай Алексей Владимирович"/>
    <x v="1"/>
    <s v="ст.15.30 КоАП РФ"/>
    <x v="7"/>
    <n v="3000"/>
    <n v="5000"/>
    <n v="0"/>
    <x v="0"/>
  </r>
  <r>
    <n v="387"/>
    <d v="2025-03-18T00:00:00"/>
    <s v="АО «ИК «Ай Ти Инвест»"/>
    <x v="0"/>
    <s v="ч.12 ст.15.29 КоАП РФ"/>
    <x v="6"/>
    <n v="300000"/>
    <n v="500000"/>
    <n v="0"/>
    <x v="0"/>
  </r>
  <r>
    <n v="388"/>
    <d v="2025-03-18T00:00:00"/>
    <s v="Акционерное общество «Негосударственный пенсионный фонд «ВЭФ.Русские Фонды»"/>
    <x v="0"/>
    <s v="ч.9 ст.15.29 КоАП РФ"/>
    <x v="0"/>
    <n v="700000"/>
    <n v="1000000"/>
    <n v="0"/>
    <x v="0"/>
  </r>
  <r>
    <n v="388"/>
    <d v="2025-03-18T00:00:00"/>
    <s v="Акционерное общество «Негосударственный пенсионный фонд «ВЭФ.Русские Фонды»"/>
    <x v="0"/>
    <s v="ч.9 ст.15.29 КоАП РФ"/>
    <x v="0"/>
    <n v="700000"/>
    <n v="1000000"/>
    <n v="0"/>
    <x v="0"/>
  </r>
  <r>
    <n v="389"/>
    <d v="2025-03-18T00:00:00"/>
    <s v="Общество с ограниченной ответственностью Инвестиционная компания «Тренд»"/>
    <x v="0"/>
    <s v="ч.2 ст.15.29 КоАП РФ"/>
    <x v="2"/>
    <n v="500000"/>
    <n v="700000"/>
    <e v="#VALUE!"/>
    <x v="2"/>
  </r>
  <r>
    <n v="390"/>
    <d v="2025-03-18T00:00:00"/>
    <s v="Общество с ограниченной ответственностью «РУССКОЕ ИНВЕСТИЦИОННОЕ ОБЩЕСТВО»"/>
    <x v="0"/>
    <s v="ч.12 ст.15.29 КоАП РФ"/>
    <x v="2"/>
    <n v="300000"/>
    <n v="500000"/>
    <e v="#VALUE!"/>
    <x v="2"/>
  </r>
  <r>
    <n v="391"/>
    <d v="2025-03-18T00:00:00"/>
    <s v="Акционерное общество &quot;Управляющая компания &quot;МКБ Инвестиции&quot;"/>
    <x v="0"/>
    <s v="ч.12 ст.15.29 КоАП РФ"/>
    <x v="6"/>
    <n v="300000"/>
    <n v="500000"/>
    <n v="0"/>
    <x v="0"/>
  </r>
  <r>
    <n v="392"/>
    <d v="2025-03-17T00:00:00"/>
    <s v="Акционерное общество «ИВА Партнерс»"/>
    <x v="0"/>
    <s v="ч.2 ст.15.29 КоАП РФ"/>
    <x v="10"/>
    <n v="500000"/>
    <n v="700000"/>
    <n v="0"/>
    <x v="0"/>
  </r>
  <r>
    <n v="392"/>
    <d v="2025-03-17T00:00:00"/>
    <s v="Акционерное общество «ИВА Партнерс»"/>
    <x v="0"/>
    <s v="ч.12 ст.15.29 КоАП РФ"/>
    <x v="6"/>
    <n v="300000"/>
    <n v="500000"/>
    <n v="0"/>
    <x v="0"/>
  </r>
  <r>
    <n v="393"/>
    <d v="2025-03-14T00:00:00"/>
    <s v="Мэй Луиза Алексеевна"/>
    <x v="1"/>
    <s v="ст.15.30 КоАП РФ"/>
    <x v="7"/>
    <n v="3000"/>
    <n v="5000"/>
    <n v="0"/>
    <x v="0"/>
  </r>
  <r>
    <n v="394"/>
    <d v="2025-03-14T00:00:00"/>
    <s v="Смирнов Дмитрий Федорович"/>
    <x v="1"/>
    <s v="ст.15.30 КоАП РФ"/>
    <x v="7"/>
    <n v="3000"/>
    <n v="5000"/>
    <n v="0"/>
    <x v="0"/>
  </r>
  <r>
    <n v="395"/>
    <d v="2025-03-14T00:00:00"/>
    <s v="Уланов Петр Петрович"/>
    <x v="1"/>
    <s v="ст.15.30 КоАП РФ"/>
    <x v="7"/>
    <n v="3000"/>
    <n v="5000"/>
    <n v="0"/>
    <x v="0"/>
  </r>
  <r>
    <n v="396"/>
    <d v="2025-03-14T00:00:00"/>
    <s v="Акционерное общество «Негосударственный пенсионный фонд «БЛАГОСОСТОЯНИЕ»"/>
    <x v="0"/>
    <s v="ч.9 ст.15.29 КоАП РФ"/>
    <x v="2"/>
    <n v="700000"/>
    <n v="1000000"/>
    <e v="#VALUE!"/>
    <x v="2"/>
  </r>
  <r>
    <n v="397"/>
    <d v="2025-03-11T00:00:00"/>
    <s v="Онянова Виктория Александровна"/>
    <x v="1"/>
    <s v="ст.15.30 КоАП РФ"/>
    <x v="7"/>
    <n v="3000"/>
    <n v="5000"/>
    <n v="0"/>
    <x v="0"/>
  </r>
  <r>
    <n v="398"/>
    <d v="2025-03-11T00:00:00"/>
    <s v="Триголос Екатерина Александровна"/>
    <x v="1"/>
    <s v="ст.15.30 КоАП РФ"/>
    <x v="7"/>
    <n v="3000"/>
    <n v="5000"/>
    <n v="0"/>
    <x v="0"/>
  </r>
  <r>
    <n v="399"/>
    <d v="2025-03-11T00:00:00"/>
    <s v="Триголос Павел Иванович"/>
    <x v="1"/>
    <s v="ст.15.30 КоАП РФ"/>
    <x v="7"/>
    <n v="3000"/>
    <n v="5000"/>
    <n v="0"/>
    <x v="0"/>
  </r>
  <r>
    <n v="400"/>
    <d v="2025-03-10T00:00:00"/>
    <s v="Мясников Александр Валерьевич"/>
    <x v="1"/>
    <s v="ст.15.30 КоАП РФ"/>
    <x v="7"/>
    <n v="3000"/>
    <n v="5000"/>
    <n v="0"/>
    <x v="0"/>
  </r>
  <r>
    <n v="401"/>
    <d v="2025-03-10T00:00:00"/>
    <s v="Общество с ограниченной ответственностью «Управляющая компания «Формула инвестиций»"/>
    <x v="0"/>
    <s v="ч.12 ст.15.29 КоАП РФ"/>
    <x v="2"/>
    <n v="300000"/>
    <n v="500000"/>
    <e v="#VALUE!"/>
    <x v="2"/>
  </r>
  <r>
    <n v="402"/>
    <d v="2025-03-10T00:00:00"/>
    <s v="Общество с ограниченной ответственностью «Финплан»"/>
    <x v="0"/>
    <s v="ч.1 ст.13.25 КоАП РФ"/>
    <x v="18"/>
    <n v="200000"/>
    <n v="300000"/>
    <n v="-0.5"/>
    <x v="4"/>
  </r>
  <r>
    <n v="403"/>
    <d v="2025-03-04T00:00:00"/>
    <s v="Общество с ограниченной ответственностью &quot;РОН Инвест&quot;"/>
    <x v="0"/>
    <s v="ч.9 ст.15.29 КоАП РФ"/>
    <x v="2"/>
    <n v="700000"/>
    <n v="1000000"/>
    <e v="#VALUE!"/>
    <x v="2"/>
  </r>
  <r>
    <n v="404"/>
    <d v="2025-03-03T00:00:00"/>
    <s v="Смирнова Ксения Евгеньевна"/>
    <x v="1"/>
    <s v="ст.15.30 КоАП РФ"/>
    <x v="7"/>
    <n v="3000"/>
    <n v="5000"/>
    <n v="0"/>
    <x v="0"/>
  </r>
  <r>
    <n v="405"/>
    <d v="2025-02-28T00:00:00"/>
    <s v="Общество с ограниченной ответственностью «РСХБ Управление Активами»"/>
    <x v="0"/>
    <s v="ч.2 ст.15.19 КоАП РФ"/>
    <x v="0"/>
    <n v="700000"/>
    <n v="1000000"/>
    <n v="0"/>
    <x v="0"/>
  </r>
  <r>
    <n v="406"/>
    <d v="2025-02-28T00:00:00"/>
    <s v="Лядов Василий Рюрикович"/>
    <x v="1"/>
    <s v="ст.15.30 КоАП РФ"/>
    <x v="7"/>
    <n v="3000"/>
    <n v="5000"/>
    <n v="0"/>
    <x v="0"/>
  </r>
  <r>
    <n v="407"/>
    <d v="2025-02-25T00:00:00"/>
    <s v="ООО «ПФЛ Новые инвестиции»"/>
    <x v="0"/>
    <s v="ч.1 ст.19.7.3 КоАП РФ"/>
    <x v="5"/>
    <n v="500000"/>
    <n v="700000"/>
    <n v="-0.5"/>
    <x v="4"/>
  </r>
  <r>
    <n v="408"/>
    <d v="2025-02-25T00:00:00"/>
    <s v="Общество с ограниченной ответственностью «Инвестиционная компания «Айгенис»"/>
    <x v="0"/>
    <s v="ч.2 ст.15.29 КоАП РФ"/>
    <x v="2"/>
    <n v="500000"/>
    <n v="700000"/>
    <e v="#VALUE!"/>
    <x v="2"/>
  </r>
  <r>
    <n v="409"/>
    <d v="2025-02-25T00:00:00"/>
    <s v="Усаков Евгений Игоревич"/>
    <x v="1"/>
    <s v="ст.15.30 КоАП РФ"/>
    <x v="7"/>
    <n v="3000"/>
    <n v="5000"/>
    <n v="0"/>
    <x v="0"/>
  </r>
  <r>
    <n v="410"/>
    <d v="2025-02-25T00:00:00"/>
    <s v="Общество с ограниченной ответственностью «Управляющая компания «Альфа-Капитал»"/>
    <x v="0"/>
    <s v="ч.12 ст.15.29 КоАП РФ"/>
    <x v="6"/>
    <n v="300000"/>
    <n v="500000"/>
    <n v="0"/>
    <x v="0"/>
  </r>
  <r>
    <n v="411"/>
    <d v="2025-02-24T00:00:00"/>
    <s v="Общество с ограниченной ответственностью «Т-Капитал»"/>
    <x v="0"/>
    <s v="ч.2 ст.15.19 КоАП РФ"/>
    <x v="0"/>
    <n v="700000"/>
    <n v="1000000"/>
    <n v="0"/>
    <x v="0"/>
  </r>
  <r>
    <n v="412"/>
    <d v="2025-02-24T00:00:00"/>
    <s v="Акционерное общество «Управляющая компания «ТРАНСФИНГРУП»"/>
    <x v="0"/>
    <s v="ч.12 ст.15.29 КоАП РФ"/>
    <x v="6"/>
    <n v="300000"/>
    <n v="500000"/>
    <n v="0"/>
    <x v="0"/>
  </r>
  <r>
    <n v="413"/>
    <d v="2025-02-21T00:00:00"/>
    <s v="ООО «ЛЭНДЭР-ИНВЕСТ»"/>
    <x v="0"/>
    <s v="ч.9 ст.19.5 КоАП РФ"/>
    <x v="5"/>
    <n v="500000"/>
    <n v="700000"/>
    <n v="-0.5"/>
    <x v="4"/>
  </r>
  <r>
    <n v="414"/>
    <d v="2025-02-21T00:00:00"/>
    <s v="Перетрухина Элина Владимировна"/>
    <x v="1"/>
    <s v="ст.15.30 КоАП РФ"/>
    <x v="7"/>
    <n v="3000"/>
    <n v="5000"/>
    <n v="0"/>
    <x v="0"/>
  </r>
  <r>
    <n v="415"/>
    <d v="2025-02-18T00:00:00"/>
    <s v="ЗАО «ПРСД»"/>
    <x v="0"/>
    <s v="ч.7 ст.15.29 КоАП РФ"/>
    <x v="10"/>
    <n v="500000"/>
    <n v="700000"/>
    <n v="0"/>
    <x v="0"/>
  </r>
  <r>
    <n v="416"/>
    <d v="2025-02-18T00:00:00"/>
    <s v="Общество с ограниченной ответственностью «РСХБ Управление Активами»"/>
    <x v="0"/>
    <s v="ч.5 ст.15.29 КоАП РФ"/>
    <x v="10"/>
    <n v="500000"/>
    <n v="700000"/>
    <n v="0"/>
    <x v="0"/>
  </r>
  <r>
    <n v="416"/>
    <d v="2025-02-18T00:00:00"/>
    <s v="Общество с ограниченной ответственностью «РСХБ Управление Активами»"/>
    <x v="0"/>
    <s v="ч.9 ст.15.29 КоАП РФ"/>
    <x v="0"/>
    <n v="700000"/>
    <n v="1000000"/>
    <n v="0"/>
    <x v="0"/>
  </r>
  <r>
    <n v="417"/>
    <d v="2025-02-18T00:00:00"/>
    <s v="«Газпромбанк» (Акционерное общество)"/>
    <x v="0"/>
    <s v="ч.12 ст.15.29 КоАП РФ"/>
    <x v="6"/>
    <n v="300000"/>
    <n v="500000"/>
    <n v="0"/>
    <x v="0"/>
  </r>
  <r>
    <n v="418"/>
    <d v="2025-02-17T00:00:00"/>
    <s v="ООО «АЛОР+»"/>
    <x v="0"/>
    <s v="ч.12 ст.15.29 КоАП РФ"/>
    <x v="6"/>
    <n v="300000"/>
    <n v="500000"/>
    <n v="0"/>
    <x v="0"/>
  </r>
  <r>
    <n v="419"/>
    <d v="2025-02-14T00:00:00"/>
    <s v="Тимиргалин Марат Рамильевич"/>
    <x v="1"/>
    <s v="ст.15.30 КоАП РФ"/>
    <x v="7"/>
    <n v="3000"/>
    <n v="5000"/>
    <n v="0"/>
    <x v="0"/>
  </r>
  <r>
    <n v="420"/>
    <d v="2025-02-11T00:00:00"/>
    <s v="Борисова Лидия Ивановна"/>
    <x v="1"/>
    <s v="ст.15.30 КоАП РФ"/>
    <x v="7"/>
    <n v="3000"/>
    <n v="5000"/>
    <n v="0"/>
    <x v="0"/>
  </r>
  <r>
    <n v="421"/>
    <d v="2025-02-11T00:00:00"/>
    <s v="Общество с ограниченной ответственностью «Управляющая компания «Терра Эссет Менеджмент»"/>
    <x v="0"/>
    <s v="ч.2 ст.15.19 КоАП РФ"/>
    <x v="4"/>
    <n v="700000"/>
    <n v="1000000"/>
    <n v="-0.5"/>
    <x v="4"/>
  </r>
  <r>
    <n v="422"/>
    <d v="2025-02-10T00:00:00"/>
    <s v="Новокрещенова Ангелина Станиславовна"/>
    <x v="1"/>
    <s v="ст.15.30 КоАП РФ"/>
    <x v="7"/>
    <n v="3000"/>
    <n v="5000"/>
    <n v="0"/>
    <x v="0"/>
  </r>
  <r>
    <n v="423"/>
    <d v="2025-02-10T00:00:00"/>
    <s v="Общество с ограниченной ответственностью Концерн «ДЖЕНЕРАЛ-ИНВЕСТ»"/>
    <x v="0"/>
    <s v="ч.2 ст.15.29 КоАП РФ"/>
    <x v="2"/>
    <n v="500000"/>
    <n v="700000"/>
    <e v="#VALUE!"/>
    <x v="2"/>
  </r>
  <r>
    <n v="424"/>
    <d v="2025-01-28T00:00:00"/>
    <s v="Меленкова Ирина Евгеньевна"/>
    <x v="1"/>
    <s v="ст.15.30 КоАП РФ"/>
    <x v="7"/>
    <n v="3000"/>
    <n v="5000"/>
    <n v="0"/>
    <x v="0"/>
  </r>
  <r>
    <n v="425"/>
    <d v="2025-01-27T00:00:00"/>
    <s v="Воропаев Александр Андреевич"/>
    <x v="1"/>
    <s v="ч.12 ст.15.29 КоАП РФ"/>
    <x v="2"/>
    <n v="1000"/>
    <n v="3000"/>
    <e v="#VALUE!"/>
    <x v="2"/>
  </r>
  <r>
    <n v="426"/>
    <d v="2025-01-27T00:00:00"/>
    <s v="Общество с ограниченной ответственностью «Управляющая компания «Джи Пи Ай»"/>
    <x v="0"/>
    <s v="ч.12 ст.15.29 КоАП РФ"/>
    <x v="9"/>
    <n v="300000"/>
    <n v="500000"/>
    <n v="-0.5"/>
    <x v="4"/>
  </r>
  <r>
    <n v="427"/>
    <d v="2025-01-21T00:00:00"/>
    <s v="Меленкова Валентина Андреевна"/>
    <x v="1"/>
    <s v="ст.15.30 КоАП РФ"/>
    <x v="7"/>
    <n v="3000"/>
    <n v="5000"/>
    <n v="0"/>
    <x v="0"/>
  </r>
  <r>
    <n v="428"/>
    <d v="2025-01-10T00:00:00"/>
    <s v="Акционерное общество «Инвестиционная компания «РИКОМ-ТРАСТ»"/>
    <x v="0"/>
    <s v="ч.9 ст.15.29 КоАП РФ"/>
    <x v="0"/>
    <n v="700000"/>
    <n v="1000000"/>
    <n v="0"/>
    <x v="0"/>
  </r>
  <r>
    <n v="428"/>
    <d v="2025-01-10T00:00:00"/>
    <s v="Акционерное общество «Инвестиционная компания «РИКОМ-ТРАСТ»"/>
    <x v="0"/>
    <s v="ч.9 ст.15.29 КоАП РФ"/>
    <x v="0"/>
    <n v="700000"/>
    <n v="1000000"/>
    <n v="0"/>
    <x v="0"/>
  </r>
  <r>
    <n v="429"/>
    <d v="2025-01-10T00:00:00"/>
    <s v="Акционерное общество «Управляющая компания «Первая»"/>
    <x v="0"/>
    <s v="ч.2 ст.15.19 КоАП РФ"/>
    <x v="0"/>
    <n v="700000"/>
    <n v="1000000"/>
    <n v="0"/>
    <x v="0"/>
  </r>
  <r>
    <n v="430"/>
    <d v="2025-01-10T00:00:00"/>
    <s v="Общество с ограниченной ответственностью «РСХБ Управление Активами»"/>
    <x v="0"/>
    <s v="ч.6 ст.15.29 КоАП РФ"/>
    <x v="0"/>
    <n v="700000"/>
    <n v="1000000"/>
    <n v="0"/>
    <x v="0"/>
  </r>
  <r>
    <n v="430"/>
    <d v="2025-01-10T00:00:00"/>
    <s v="Общество с ограниченной ответственностью «РСХБ Управление Активами»"/>
    <x v="0"/>
    <s v="ч.12 ст.15.29 КоАП РФ"/>
    <x v="6"/>
    <n v="300000"/>
    <n v="500000"/>
    <n v="0"/>
    <x v="0"/>
  </r>
  <r>
    <n v="431"/>
    <d v="2025-01-10T00:00:00"/>
    <s v="Акционерное общество «Инвестиционная компания «Ай Ти Инвест»"/>
    <x v="0"/>
    <s v="ч.2 ст.15.29 КоАП РФ"/>
    <x v="10"/>
    <n v="500000"/>
    <n v="700000"/>
    <n v="0"/>
    <x v="0"/>
  </r>
  <r>
    <n v="432"/>
    <d v="2025-01-10T00:00:00"/>
    <s v="Общество с ограниченной ответственностью Инвестиционная компания «Айсберг Финанс»"/>
    <x v="0"/>
    <s v="ч.2 ст.15.29 КоАП РФ"/>
    <x v="2"/>
    <n v="500000"/>
    <n v="700000"/>
    <e v="#VALUE!"/>
    <x v="2"/>
  </r>
  <r>
    <n v="433"/>
    <d v="2025-01-09T00:00:00"/>
    <s v="ООО «ИНВЕСТИРУЙ В»"/>
    <x v="0"/>
    <s v="ч.1 ст.19.7.3 КоАП РФ"/>
    <x v="2"/>
    <n v="500000"/>
    <n v="700000"/>
    <e v="#VALUE!"/>
    <x v="2"/>
  </r>
  <r>
    <n v="433"/>
    <d v="2025-01-09T00:00:00"/>
    <s v="ООО «ИНВЕСТИРУЙ В»"/>
    <x v="0"/>
    <s v="ч.9 ст.19.5 КоАП РФ"/>
    <x v="5"/>
    <n v="500000"/>
    <n v="700000"/>
    <n v="-0.5"/>
    <x v="4"/>
  </r>
  <r>
    <n v="434"/>
    <d v="2025-01-09T00:00:00"/>
    <s v="Общество с ограниченной ответственностью &quot;Т2 Мобайл&quot;"/>
    <x v="0"/>
    <s v="ч.1 ст.19.7.3 КоАП РФ"/>
    <x v="2"/>
    <n v="500000"/>
    <n v="700000"/>
    <e v="#VALUE!"/>
    <x v="2"/>
  </r>
  <r>
    <n v="435"/>
    <d v="2025-01-09T00:00:00"/>
    <s v="Юшков Никита Константинович"/>
    <x v="1"/>
    <s v="ст.15.30 КоАП РФ"/>
    <x v="7"/>
    <n v="3000"/>
    <n v="5000"/>
    <n v="0"/>
    <x v="0"/>
  </r>
  <r>
    <n v="436"/>
    <d v="2025-01-09T00:00:00"/>
    <s v="Юшков Константин Михайлович"/>
    <x v="1"/>
    <s v="ст.15.30 КоАП РФ"/>
    <x v="7"/>
    <n v="3000"/>
    <n v="5000"/>
    <n v="0"/>
    <x v="0"/>
  </r>
  <r>
    <n v="437"/>
    <d v="2025-01-09T00:00:00"/>
    <s v="Акционерное общество «Управляющая компания «Первая»"/>
    <x v="0"/>
    <s v="ч.12 ст.15.29 КоАП РФ"/>
    <x v="6"/>
    <n v="300000"/>
    <n v="50000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441439-6229-1642-A017-466C840BAE95}" name="Сводная таблица2" cacheId="4"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chartFormat="9">
  <location ref="Q87:R91" firstHeaderRow="1" firstDataRow="1" firstDataCol="1"/>
  <pivotFields count="10">
    <pivotField showAll="0"/>
    <pivotField numFmtId="164" showAll="0"/>
    <pivotField showAll="0"/>
    <pivotField axis="axisRow" showAll="0">
      <items count="4">
        <item x="1"/>
        <item x="2"/>
        <item x="0"/>
        <item t="default"/>
      </items>
    </pivotField>
    <pivotField showAll="0"/>
    <pivotField dataField="1" showAll="0"/>
    <pivotField showAll="0"/>
    <pivotField showAll="0"/>
    <pivotField showAll="0"/>
    <pivotField showAll="0"/>
  </pivotFields>
  <rowFields count="1">
    <field x="3"/>
  </rowFields>
  <rowItems count="4">
    <i>
      <x/>
    </i>
    <i>
      <x v="1"/>
    </i>
    <i>
      <x v="2"/>
    </i>
    <i t="grand">
      <x/>
    </i>
  </rowItems>
  <colItems count="1">
    <i/>
  </colItems>
  <dataFields count="1">
    <dataField name="Количество по полю Штраф факт" fld="5" subtotal="count" baseField="0" baseItem="0"/>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2"/>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3" count="1" selected="0">
            <x v="0"/>
          </reference>
        </references>
      </pivotArea>
    </chartFormat>
    <chartFormat chart="6" format="5">
      <pivotArea type="data" outline="0" fieldPosition="0">
        <references count="2">
          <reference field="4294967294" count="1" selected="0">
            <x v="0"/>
          </reference>
          <reference field="3" count="1" selected="0">
            <x v="1"/>
          </reference>
        </references>
      </pivotArea>
    </chartFormat>
    <chartFormat chart="6" format="6">
      <pivotArea type="data" outline="0" fieldPosition="0">
        <references count="2">
          <reference field="4294967294" count="1" selected="0">
            <x v="0"/>
          </reference>
          <reference field="3" count="1" selected="0">
            <x v="2"/>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3" count="1" selected="0">
            <x v="0"/>
          </reference>
        </references>
      </pivotArea>
    </chartFormat>
    <chartFormat chart="7" format="9">
      <pivotArea type="data" outline="0" fieldPosition="0">
        <references count="2">
          <reference field="4294967294" count="1" selected="0">
            <x v="0"/>
          </reference>
          <reference field="3" count="1" selected="0">
            <x v="1"/>
          </reference>
        </references>
      </pivotArea>
    </chartFormat>
    <chartFormat chart="7" format="10">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783182-FA69-D14B-91D9-4AD0F26E2E1F}" name="Сводная таблица4" cacheId="2"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chartFormat="5">
  <location ref="A30:B52" firstHeaderRow="1" firstDataRow="1" firstDataCol="1" rowPageCount="2" colPageCount="1"/>
  <pivotFields count="10">
    <pivotField showAll="0"/>
    <pivotField numFmtId="164" showAll="0"/>
    <pivotField showAll="0"/>
    <pivotField axis="axisPage" multipleItemSelectionAllowed="1" showAll="0">
      <items count="4">
        <item h="1" x="1"/>
        <item h="1" x="2"/>
        <item x="0"/>
        <item t="default"/>
      </items>
    </pivotField>
    <pivotField axis="axisRow" showAll="0" sortType="descending">
      <items count="23">
        <item x="5"/>
        <item x="0"/>
        <item x="9"/>
        <item x="15"/>
        <item x="1"/>
        <item x="3"/>
        <item x="13"/>
        <item x="20"/>
        <item x="11"/>
        <item x="14"/>
        <item x="8"/>
        <item x="7"/>
        <item x="2"/>
        <item x="18"/>
        <item x="12"/>
        <item x="6"/>
        <item x="21"/>
        <item x="17"/>
        <item x="4"/>
        <item x="16"/>
        <item x="10"/>
        <item x="19"/>
        <item t="default"/>
      </items>
      <autoSortScope>
        <pivotArea dataOnly="0" outline="0" fieldPosition="0">
          <references count="1">
            <reference field="4294967294" count="1" selected="0">
              <x v="0"/>
            </reference>
          </references>
        </pivotArea>
      </autoSortScope>
    </pivotField>
    <pivotField axis="axisPage" dataField="1" showAll="0">
      <items count="20">
        <item x="7"/>
        <item x="17"/>
        <item x="12"/>
        <item x="15"/>
        <item x="8"/>
        <item x="14"/>
        <item x="18"/>
        <item x="9"/>
        <item x="13"/>
        <item x="5"/>
        <item x="6"/>
        <item x="1"/>
        <item x="4"/>
        <item x="11"/>
        <item x="10"/>
        <item x="16"/>
        <item x="0"/>
        <item x="3"/>
        <item x="2"/>
        <item t="default"/>
      </items>
    </pivotField>
    <pivotField showAll="0"/>
    <pivotField showAll="0"/>
    <pivotField showAll="0"/>
    <pivotField showAll="0" sortType="descending">
      <items count="9">
        <item x="1"/>
        <item x="2"/>
        <item x="3"/>
        <item x="4"/>
        <item x="5"/>
        <item x="6"/>
        <item x="0"/>
        <item x="7"/>
        <item t="default"/>
      </items>
      <autoSortScope>
        <pivotArea dataOnly="0" outline="0" fieldPosition="0">
          <references count="1">
            <reference field="4294967294" count="1" selected="0">
              <x v="0"/>
            </reference>
          </references>
        </pivotArea>
      </autoSortScope>
    </pivotField>
  </pivotFields>
  <rowFields count="1">
    <field x="4"/>
  </rowFields>
  <rowItems count="22">
    <i>
      <x v="12"/>
    </i>
    <i>
      <x v="1"/>
    </i>
    <i>
      <x v="15"/>
    </i>
    <i>
      <x v="11"/>
    </i>
    <i>
      <x v="10"/>
    </i>
    <i>
      <x/>
    </i>
    <i>
      <x v="4"/>
    </i>
    <i>
      <x v="14"/>
    </i>
    <i>
      <x v="18"/>
    </i>
    <i>
      <x v="5"/>
    </i>
    <i>
      <x v="20"/>
    </i>
    <i>
      <x v="17"/>
    </i>
    <i>
      <x v="2"/>
    </i>
    <i>
      <x v="3"/>
    </i>
    <i>
      <x v="9"/>
    </i>
    <i>
      <x v="13"/>
    </i>
    <i>
      <x v="8"/>
    </i>
    <i>
      <x v="6"/>
    </i>
    <i>
      <x v="21"/>
    </i>
    <i>
      <x v="16"/>
    </i>
    <i>
      <x v="7"/>
    </i>
    <i t="grand">
      <x/>
    </i>
  </rowItems>
  <colItems count="1">
    <i/>
  </colItems>
  <pageFields count="2">
    <pageField fld="3" hier="-1"/>
    <pageField fld="5" hier="-1"/>
  </pageFields>
  <dataFields count="1">
    <dataField name="Количество по полю Штраф факт" fld="5"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25DDB0-A59E-8D48-9FA5-861283E8E322}" name="Сводная таблица13" cacheId="1"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chartFormat="6">
  <location ref="A109:B127" firstHeaderRow="1" firstDataRow="1" firstDataCol="1" rowPageCount="2" colPageCount="1"/>
  <pivotFields count="9">
    <pivotField showAll="0"/>
    <pivotField numFmtId="14" showAll="0"/>
    <pivotField showAll="0"/>
    <pivotField axis="axisPage" multipleItemSelectionAllowed="1" showAll="0">
      <items count="4">
        <item h="1" x="1"/>
        <item h="1" x="2"/>
        <item x="0"/>
        <item t="default"/>
      </items>
    </pivotField>
    <pivotField axis="axisRow" showAll="0">
      <items count="23">
        <item x="19"/>
        <item x="10"/>
        <item x="16"/>
        <item x="4"/>
        <item x="17"/>
        <item x="21"/>
        <item x="6"/>
        <item x="12"/>
        <item x="18"/>
        <item x="2"/>
        <item x="7"/>
        <item x="8"/>
        <item x="14"/>
        <item x="11"/>
        <item x="20"/>
        <item x="13"/>
        <item x="3"/>
        <item x="1"/>
        <item x="15"/>
        <item x="9"/>
        <item x="0"/>
        <item x="5"/>
        <item t="default"/>
      </items>
    </pivotField>
    <pivotField axis="axisPage" multipleItemSelectionAllowed="1" showAll="0">
      <items count="20">
        <item x="7"/>
        <item x="17"/>
        <item x="12"/>
        <item x="15"/>
        <item x="8"/>
        <item x="14"/>
        <item x="18"/>
        <item x="9"/>
        <item x="13"/>
        <item x="5"/>
        <item x="6"/>
        <item x="1"/>
        <item x="4"/>
        <item x="11"/>
        <item x="10"/>
        <item x="16"/>
        <item x="0"/>
        <item x="3"/>
        <item h="1" x="2"/>
        <item t="default"/>
      </items>
    </pivotField>
    <pivotField showAll="0"/>
    <pivotField showAll="0"/>
    <pivotField dataField="1" showAll="0"/>
  </pivotFields>
  <rowFields count="1">
    <field x="4"/>
  </rowFields>
  <rowItems count="18">
    <i>
      <x/>
    </i>
    <i>
      <x v="1"/>
    </i>
    <i>
      <x v="3"/>
    </i>
    <i>
      <x v="4"/>
    </i>
    <i>
      <x v="5"/>
    </i>
    <i>
      <x v="6"/>
    </i>
    <i>
      <x v="7"/>
    </i>
    <i>
      <x v="9"/>
    </i>
    <i>
      <x v="10"/>
    </i>
    <i>
      <x v="11"/>
    </i>
    <i>
      <x v="13"/>
    </i>
    <i>
      <x v="15"/>
    </i>
    <i>
      <x v="16"/>
    </i>
    <i>
      <x v="17"/>
    </i>
    <i>
      <x v="19"/>
    </i>
    <i>
      <x v="20"/>
    </i>
    <i>
      <x v="21"/>
    </i>
    <i t="grand">
      <x/>
    </i>
  </rowItems>
  <colItems count="1">
    <i/>
  </colItems>
  <pageFields count="2">
    <pageField fld="3" hier="-1"/>
    <pageField fld="5" hier="-1"/>
  </pageFields>
  <dataFields count="1">
    <dataField name="Среднее по полю Превышышение над мин размером %/min" fld="8" subtotal="average" baseField="0" baseItem="0"/>
  </dataFields>
  <chartFormats count="2">
    <chartFormat chart="2"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51ED7A-D52F-8940-B8A8-0DA181091E82}" name="Сводная таблица3" cacheId="2"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chartFormat="27">
  <location ref="N26:O34" firstHeaderRow="1" firstDataRow="1" firstDataCol="1" rowPageCount="2" colPageCount="1"/>
  <pivotFields count="10">
    <pivotField showAll="0"/>
    <pivotField numFmtId="164" showAll="0"/>
    <pivotField showAll="0"/>
    <pivotField axis="axisPage" multipleItemSelectionAllowed="1" showAll="0">
      <items count="4">
        <item h="1" x="1"/>
        <item h="1" x="2"/>
        <item x="0"/>
        <item t="default"/>
      </items>
    </pivotField>
    <pivotField showAll="0" sortType="descending">
      <items count="23">
        <item x="5"/>
        <item x="0"/>
        <item x="9"/>
        <item x="15"/>
        <item x="1"/>
        <item x="3"/>
        <item x="13"/>
        <item x="20"/>
        <item x="11"/>
        <item x="14"/>
        <item x="8"/>
        <item x="7"/>
        <item x="2"/>
        <item x="18"/>
        <item x="12"/>
        <item x="6"/>
        <item x="21"/>
        <item x="17"/>
        <item x="4"/>
        <item x="16"/>
        <item x="10"/>
        <item x="19"/>
        <item t="default"/>
      </items>
      <autoSortScope>
        <pivotArea dataOnly="0" outline="0" fieldPosition="0">
          <references count="1">
            <reference field="4294967294" count="1" selected="0">
              <x v="0"/>
            </reference>
          </references>
        </pivotArea>
      </autoSortScope>
    </pivotField>
    <pivotField axis="axisPage" dataField="1" showAll="0">
      <items count="20">
        <item x="7"/>
        <item x="17"/>
        <item x="12"/>
        <item x="15"/>
        <item x="8"/>
        <item x="14"/>
        <item x="18"/>
        <item x="9"/>
        <item x="13"/>
        <item x="5"/>
        <item x="6"/>
        <item x="1"/>
        <item x="4"/>
        <item x="11"/>
        <item x="10"/>
        <item x="16"/>
        <item x="0"/>
        <item x="3"/>
        <item x="2"/>
        <item t="default"/>
      </items>
    </pivotField>
    <pivotField showAll="0"/>
    <pivotField showAll="0"/>
    <pivotField showAll="0"/>
    <pivotField axis="axisRow" showAll="0" sortType="descending">
      <items count="9">
        <item x="1"/>
        <item x="2"/>
        <item n="Прочие ≤10 " x="7"/>
        <item x="3"/>
        <item x="4"/>
        <item x="5"/>
        <item x="6"/>
        <item x="0"/>
        <item t="default"/>
      </items>
      <autoSortScope>
        <pivotArea dataOnly="0" outline="0" fieldPosition="0">
          <references count="1">
            <reference field="4294967294" count="1" selected="0">
              <x v="0"/>
            </reference>
          </references>
        </pivotArea>
      </autoSortScope>
    </pivotField>
  </pivotFields>
  <rowFields count="1">
    <field x="9"/>
  </rowFields>
  <rowItems count="8">
    <i>
      <x v="5"/>
    </i>
    <i>
      <x v="2"/>
    </i>
    <i>
      <x v="1"/>
    </i>
    <i>
      <x v="6"/>
    </i>
    <i>
      <x v="4"/>
    </i>
    <i>
      <x v="3"/>
    </i>
    <i>
      <x/>
    </i>
    <i t="grand">
      <x/>
    </i>
  </rowItems>
  <colItems count="1">
    <i/>
  </colItems>
  <pageFields count="2">
    <pageField fld="5" hier="-1"/>
    <pageField fld="3" hier="-1"/>
  </pageFields>
  <dataFields count="1">
    <dataField name="Количество по полю Штраф факт" fld="5" subtotal="count" baseField="0" baseItem="0"/>
  </dataFields>
  <chartFormats count="8">
    <chartFormat chart="14" format="0"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9" count="1" selected="0">
            <x v="5"/>
          </reference>
        </references>
      </pivotArea>
    </chartFormat>
    <chartFormat chart="14" format="9">
      <pivotArea type="data" outline="0" fieldPosition="0">
        <references count="2">
          <reference field="4294967294" count="1" selected="0">
            <x v="0"/>
          </reference>
          <reference field="9" count="1" selected="0">
            <x v="2"/>
          </reference>
        </references>
      </pivotArea>
    </chartFormat>
    <chartFormat chart="14" format="10">
      <pivotArea type="data" outline="0" fieldPosition="0">
        <references count="2">
          <reference field="4294967294" count="1" selected="0">
            <x v="0"/>
          </reference>
          <reference field="9" count="1" selected="0">
            <x v="1"/>
          </reference>
        </references>
      </pivotArea>
    </chartFormat>
    <chartFormat chart="14" format="11">
      <pivotArea type="data" outline="0" fieldPosition="0">
        <references count="2">
          <reference field="4294967294" count="1" selected="0">
            <x v="0"/>
          </reference>
          <reference field="9" count="1" selected="0">
            <x v="6"/>
          </reference>
        </references>
      </pivotArea>
    </chartFormat>
    <chartFormat chart="14" format="12">
      <pivotArea type="data" outline="0" fieldPosition="0">
        <references count="2">
          <reference field="4294967294" count="1" selected="0">
            <x v="0"/>
          </reference>
          <reference field="9" count="1" selected="0">
            <x v="4"/>
          </reference>
        </references>
      </pivotArea>
    </chartFormat>
    <chartFormat chart="14" format="13">
      <pivotArea type="data" outline="0" fieldPosition="0">
        <references count="2">
          <reference field="4294967294" count="1" selected="0">
            <x v="0"/>
          </reference>
          <reference field="9" count="1" selected="0">
            <x v="3"/>
          </reference>
        </references>
      </pivotArea>
    </chartFormat>
    <chartFormat chart="14" format="14">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0A4DC4-CA61-B64D-91AA-F9B00A9362FA}" name="Сводная таблица11" cacheId="1"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chartFormat="4">
  <location ref="A58:B76" firstHeaderRow="1" firstDataRow="1" firstDataCol="1" rowPageCount="2" colPageCount="1"/>
  <pivotFields count="9">
    <pivotField showAll="0"/>
    <pivotField numFmtId="14" showAll="0"/>
    <pivotField showAll="0"/>
    <pivotField axis="axisPage" multipleItemSelectionAllowed="1" showAll="0">
      <items count="4">
        <item h="1" x="1"/>
        <item h="1" x="2"/>
        <item x="0"/>
        <item t="default"/>
      </items>
    </pivotField>
    <pivotField axis="axisRow" showAll="0" sortType="descending">
      <items count="23">
        <item x="19"/>
        <item x="10"/>
        <item x="16"/>
        <item x="4"/>
        <item x="17"/>
        <item x="21"/>
        <item x="6"/>
        <item x="12"/>
        <item x="18"/>
        <item x="2"/>
        <item x="7"/>
        <item x="8"/>
        <item x="14"/>
        <item x="11"/>
        <item x="20"/>
        <item x="13"/>
        <item x="3"/>
        <item x="1"/>
        <item x="15"/>
        <item x="9"/>
        <item x="0"/>
        <item x="5"/>
        <item t="default"/>
      </items>
      <autoSortScope>
        <pivotArea dataOnly="0" outline="0" fieldPosition="0">
          <references count="1">
            <reference field="4294967294" count="1" selected="0">
              <x v="0"/>
            </reference>
          </references>
        </pivotArea>
      </autoSortScope>
    </pivotField>
    <pivotField axis="axisPage" dataField="1" multipleItemSelectionAllowed="1" showAll="0">
      <items count="20">
        <item x="7"/>
        <item x="17"/>
        <item x="12"/>
        <item x="15"/>
        <item x="8"/>
        <item x="14"/>
        <item x="18"/>
        <item x="9"/>
        <item x="13"/>
        <item x="5"/>
        <item x="6"/>
        <item x="1"/>
        <item x="4"/>
        <item x="11"/>
        <item x="10"/>
        <item x="16"/>
        <item x="0"/>
        <item x="3"/>
        <item h="1" x="2"/>
        <item t="default"/>
      </items>
    </pivotField>
    <pivotField showAll="0"/>
    <pivotField showAll="0"/>
    <pivotField showAll="0"/>
  </pivotFields>
  <rowFields count="1">
    <field x="4"/>
  </rowFields>
  <rowItems count="18">
    <i>
      <x v="20"/>
    </i>
    <i>
      <x v="10"/>
    </i>
    <i>
      <x v="9"/>
    </i>
    <i>
      <x v="6"/>
    </i>
    <i>
      <x v="11"/>
    </i>
    <i>
      <x v="21"/>
    </i>
    <i>
      <x v="17"/>
    </i>
    <i>
      <x v="3"/>
    </i>
    <i>
      <x v="16"/>
    </i>
    <i>
      <x v="19"/>
    </i>
    <i>
      <x v="15"/>
    </i>
    <i>
      <x v="7"/>
    </i>
    <i>
      <x v="5"/>
    </i>
    <i>
      <x v="4"/>
    </i>
    <i>
      <x v="13"/>
    </i>
    <i>
      <x/>
    </i>
    <i>
      <x v="1"/>
    </i>
    <i t="grand">
      <x/>
    </i>
  </rowItems>
  <colItems count="1">
    <i/>
  </colItems>
  <pageFields count="2">
    <pageField fld="3" hier="-1"/>
    <pageField fld="5" hier="-1"/>
  </pageFields>
  <dataFields count="1">
    <dataField name="Сумма по полю Штраф факт" fld="5"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69E9AD-FCF7-5141-89E4-05EA442210E9}" name="Сводная таблица8" cacheId="0" applyNumberFormats="0" applyBorderFormats="0" applyFontFormats="0" applyPatternFormats="0" applyAlignmentFormats="0" applyWidthHeightFormats="1" dataCaption="Значения" updatedVersion="8" minRefreshableVersion="5" useAutoFormatting="1" itemPrintTitles="1" createdVersion="8" indent="0" outline="1" outlineData="1" multipleFieldFilters="0" chartFormat="9">
  <location ref="A5:B22" firstHeaderRow="1" firstDataRow="1" firstDataCol="1" rowPageCount="2" colPageCount="1"/>
  <pivotFields count="10">
    <pivotField showAll="0"/>
    <pivotField numFmtId="14" showAll="0">
      <items count="139">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axis="axisPage" showAll="0">
      <items count="4">
        <item x="1"/>
        <item x="2"/>
        <item x="0"/>
        <item t="default"/>
      </items>
    </pivotField>
    <pivotField showAll="0"/>
    <pivotField axis="axisPage" dataField="1" multipleItemSelectionAllowed="1" showAll="0">
      <items count="20">
        <item x="7"/>
        <item x="17"/>
        <item x="12"/>
        <item x="15"/>
        <item x="8"/>
        <item x="14"/>
        <item x="18"/>
        <item x="9"/>
        <item x="13"/>
        <item x="5"/>
        <item x="6"/>
        <item x="1"/>
        <item x="4"/>
        <item x="11"/>
        <item x="10"/>
        <item x="16"/>
        <item x="0"/>
        <item x="3"/>
        <item x="2"/>
        <item t="default"/>
      </items>
    </pivotField>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9"/>
    <field x="8"/>
  </rowFields>
  <rowItems count="17">
    <i>
      <x v="1"/>
    </i>
    <i r="1">
      <x v="1"/>
    </i>
    <i r="1">
      <x v="2"/>
    </i>
    <i r="1">
      <x v="3"/>
    </i>
    <i r="1">
      <x v="4"/>
    </i>
    <i r="1">
      <x v="5"/>
    </i>
    <i r="1">
      <x v="6"/>
    </i>
    <i r="1">
      <x v="7"/>
    </i>
    <i r="1">
      <x v="8"/>
    </i>
    <i r="1">
      <x v="9"/>
    </i>
    <i r="1">
      <x v="10"/>
    </i>
    <i r="1">
      <x v="11"/>
    </i>
    <i r="1">
      <x v="12"/>
    </i>
    <i>
      <x v="2"/>
    </i>
    <i r="1">
      <x v="1"/>
    </i>
    <i r="1">
      <x v="2"/>
    </i>
    <i t="grand">
      <x/>
    </i>
  </rowItems>
  <colItems count="1">
    <i/>
  </colItems>
  <pageFields count="2">
    <pageField fld="3" hier="-1"/>
    <pageField fld="5" hier="-1"/>
  </pageFields>
  <dataFields count="1">
    <dataField name="Количество по полю Штраф факт" fld="5"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6DFEB7-836B-6A4B-BC14-BA4D48EEC838}" name="Сводная таблица12" cacheId="1"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chartFormat="4">
  <location ref="A84:C102" firstHeaderRow="0" firstDataRow="1" firstDataCol="1" rowPageCount="2" colPageCount="1"/>
  <pivotFields count="9">
    <pivotField showAll="0"/>
    <pivotField numFmtId="14" showAll="0"/>
    <pivotField showAll="0"/>
    <pivotField axis="axisPage" multipleItemSelectionAllowed="1" showAll="0">
      <items count="4">
        <item h="1" x="1"/>
        <item h="1" x="2"/>
        <item x="0"/>
        <item t="default"/>
      </items>
    </pivotField>
    <pivotField axis="axisRow" showAll="0">
      <items count="23">
        <item x="19"/>
        <item x="10"/>
        <item x="16"/>
        <item x="4"/>
        <item x="17"/>
        <item x="21"/>
        <item x="6"/>
        <item x="12"/>
        <item x="18"/>
        <item x="2"/>
        <item x="7"/>
        <item x="8"/>
        <item x="14"/>
        <item x="11"/>
        <item x="20"/>
        <item x="13"/>
        <item x="3"/>
        <item x="1"/>
        <item x="15"/>
        <item x="9"/>
        <item x="0"/>
        <item x="5"/>
        <item t="default"/>
      </items>
    </pivotField>
    <pivotField axis="axisPage" multipleItemSelectionAllowed="1" showAll="0">
      <items count="20">
        <item x="7"/>
        <item x="17"/>
        <item x="12"/>
        <item x="15"/>
        <item x="8"/>
        <item x="14"/>
        <item x="18"/>
        <item x="9"/>
        <item x="13"/>
        <item x="5"/>
        <item x="6"/>
        <item x="1"/>
        <item x="4"/>
        <item x="11"/>
        <item x="10"/>
        <item x="16"/>
        <item x="0"/>
        <item x="3"/>
        <item h="1" x="2"/>
        <item t="default"/>
      </items>
    </pivotField>
    <pivotField dataField="1" showAll="0"/>
    <pivotField dataField="1" showAll="0"/>
    <pivotField showAll="0"/>
  </pivotFields>
  <rowFields count="1">
    <field x="4"/>
  </rowFields>
  <rowItems count="18">
    <i>
      <x/>
    </i>
    <i>
      <x v="1"/>
    </i>
    <i>
      <x v="3"/>
    </i>
    <i>
      <x v="4"/>
    </i>
    <i>
      <x v="5"/>
    </i>
    <i>
      <x v="6"/>
    </i>
    <i>
      <x v="7"/>
    </i>
    <i>
      <x v="9"/>
    </i>
    <i>
      <x v="10"/>
    </i>
    <i>
      <x v="11"/>
    </i>
    <i>
      <x v="13"/>
    </i>
    <i>
      <x v="15"/>
    </i>
    <i>
      <x v="16"/>
    </i>
    <i>
      <x v="17"/>
    </i>
    <i>
      <x v="19"/>
    </i>
    <i>
      <x v="20"/>
    </i>
    <i>
      <x v="21"/>
    </i>
    <i t="grand">
      <x/>
    </i>
  </rowItems>
  <colFields count="1">
    <field x="-2"/>
  </colFields>
  <colItems count="2">
    <i>
      <x/>
    </i>
    <i i="1">
      <x v="1"/>
    </i>
  </colItems>
  <pageFields count="2">
    <pageField fld="3" hier="-1"/>
    <pageField fld="5" hier="-1"/>
  </pageFields>
  <dataFields count="2">
    <dataField name="Среднее по полю мин" fld="6" subtotal="average" baseField="0" baseItem="0"/>
    <dataField name="Среднее по полю макс" fld="7" subtotal="average" baseField="0" baseItem="0"/>
  </dataField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83EC4D-7B11-9A4B-9346-9BFFA2C9D6C5}" name="Сводная таблица6" cacheId="4"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chartFormat="6">
  <location ref="Q73:R79" firstHeaderRow="1" firstDataRow="1" firstDataCol="1" rowPageCount="2" colPageCount="1"/>
  <pivotFields count="10">
    <pivotField showAll="0"/>
    <pivotField numFmtId="164" showAll="0"/>
    <pivotField showAll="0"/>
    <pivotField axis="axisPage" multipleItemSelectionAllowed="1" showAll="0">
      <items count="4">
        <item h="1" x="1"/>
        <item h="1" x="2"/>
        <item x="0"/>
        <item t="default"/>
      </items>
    </pivotField>
    <pivotField showAll="0"/>
    <pivotField axis="axisPage" showAll="0">
      <items count="20">
        <item x="7"/>
        <item x="17"/>
        <item x="12"/>
        <item x="15"/>
        <item x="8"/>
        <item x="14"/>
        <item x="18"/>
        <item x="9"/>
        <item x="13"/>
        <item x="5"/>
        <item x="6"/>
        <item x="1"/>
        <item x="4"/>
        <item x="11"/>
        <item x="10"/>
        <item x="16"/>
        <item x="0"/>
        <item x="3"/>
        <item x="2"/>
        <item t="default"/>
      </items>
    </pivotField>
    <pivotField showAll="0"/>
    <pivotField showAll="0"/>
    <pivotField showAll="0"/>
    <pivotField axis="axisRow" dataField="1" showAll="0">
      <items count="7">
        <item x="1"/>
        <item x="5"/>
        <item x="0"/>
        <item x="4"/>
        <item x="2"/>
        <item x="3"/>
        <item t="default"/>
      </items>
    </pivotField>
  </pivotFields>
  <rowFields count="1">
    <field x="9"/>
  </rowFields>
  <rowItems count="6">
    <i>
      <x/>
    </i>
    <i>
      <x v="2"/>
    </i>
    <i>
      <x v="3"/>
    </i>
    <i>
      <x v="4"/>
    </i>
    <i>
      <x v="5"/>
    </i>
    <i t="grand">
      <x/>
    </i>
  </rowItems>
  <colItems count="1">
    <i/>
  </colItems>
  <pageFields count="2">
    <pageField fld="3" hier="-1"/>
    <pageField fld="5" hier="-1"/>
  </pageFields>
  <dataFields count="1">
    <dataField name="Количество по полю вид штрафа" fld="9" subtotal="count" baseField="0" baseItem="0"/>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4"/>
          </reference>
        </references>
      </pivotArea>
    </chartFormat>
    <chartFormat chart="0" format="2">
      <pivotArea type="data" outline="0" fieldPosition="0">
        <references count="2">
          <reference field="4294967294" count="1" selected="0">
            <x v="0"/>
          </reference>
          <reference field="9" count="1" selected="0">
            <x v="0"/>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9" count="1" selected="0">
            <x v="0"/>
          </reference>
        </references>
      </pivotArea>
    </chartFormat>
    <chartFormat chart="3" format="7">
      <pivotArea type="data" outline="0" fieldPosition="0">
        <references count="2">
          <reference field="4294967294" count="1" selected="0">
            <x v="0"/>
          </reference>
          <reference field="9" count="1" selected="0">
            <x v="2"/>
          </reference>
        </references>
      </pivotArea>
    </chartFormat>
    <chartFormat chart="3" format="8">
      <pivotArea type="data" outline="0" fieldPosition="0">
        <references count="2">
          <reference field="4294967294" count="1" selected="0">
            <x v="0"/>
          </reference>
          <reference field="9" count="1" selected="0">
            <x v="3"/>
          </reference>
        </references>
      </pivotArea>
    </chartFormat>
    <chartFormat chart="3" format="9">
      <pivotArea type="data" outline="0" fieldPosition="0">
        <references count="2">
          <reference field="4294967294" count="1" selected="0">
            <x v="0"/>
          </reference>
          <reference field="9" count="1" selected="0">
            <x v="4"/>
          </reference>
        </references>
      </pivotArea>
    </chartFormat>
    <chartFormat chart="3" format="10">
      <pivotArea type="data" outline="0" fieldPosition="0">
        <references count="2">
          <reference field="4294967294" count="1" selected="0">
            <x v="0"/>
          </reference>
          <reference field="9" count="1" selected="0">
            <x v="5"/>
          </reference>
        </references>
      </pivotArea>
    </chartFormat>
    <chartFormat chart="4" format="11" series="1">
      <pivotArea type="data" outline="0" fieldPosition="0">
        <references count="1">
          <reference field="4294967294" count="1" selected="0">
            <x v="0"/>
          </reference>
        </references>
      </pivotArea>
    </chartFormat>
    <chartFormat chart="4" format="12">
      <pivotArea type="data" outline="0" fieldPosition="0">
        <references count="2">
          <reference field="4294967294" count="1" selected="0">
            <x v="0"/>
          </reference>
          <reference field="9" count="1" selected="0">
            <x v="0"/>
          </reference>
        </references>
      </pivotArea>
    </chartFormat>
    <chartFormat chart="4" format="13">
      <pivotArea type="data" outline="0" fieldPosition="0">
        <references count="2">
          <reference field="4294967294" count="1" selected="0">
            <x v="0"/>
          </reference>
          <reference field="9" count="1" selected="0">
            <x v="2"/>
          </reference>
        </references>
      </pivotArea>
    </chartFormat>
    <chartFormat chart="4" format="14">
      <pivotArea type="data" outline="0" fieldPosition="0">
        <references count="2">
          <reference field="4294967294" count="1" selected="0">
            <x v="0"/>
          </reference>
          <reference field="9" count="1" selected="0">
            <x v="3"/>
          </reference>
        </references>
      </pivotArea>
    </chartFormat>
    <chartFormat chart="4" format="15">
      <pivotArea type="data" outline="0" fieldPosition="0">
        <references count="2">
          <reference field="4294967294" count="1" selected="0">
            <x v="0"/>
          </reference>
          <reference field="9" count="1" selected="0">
            <x v="4"/>
          </reference>
        </references>
      </pivotArea>
    </chartFormat>
    <chartFormat chart="4" format="16">
      <pivotArea type="data" outline="0" fieldPosition="0">
        <references count="2">
          <reference field="4294967294" count="1" selected="0">
            <x v="0"/>
          </reference>
          <reference field="9" count="1" selected="0">
            <x v="5"/>
          </reference>
        </references>
      </pivotArea>
    </chartFormat>
    <chartFormat chart="0" format="5">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39172B3-803C-204C-8377-39997F2B61CB}" name="Сводная таблица1" cacheId="4"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chartFormat="7">
  <location ref="N45:O49" firstHeaderRow="1" firstDataRow="1" firstDataCol="1"/>
  <pivotFields count="10">
    <pivotField showAll="0"/>
    <pivotField numFmtId="164"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s>
  <rowFields count="1">
    <field x="3"/>
  </rowFields>
  <rowItems count="4">
    <i>
      <x v="1"/>
    </i>
    <i>
      <x/>
    </i>
    <i>
      <x v="2"/>
    </i>
    <i t="grand">
      <x/>
    </i>
  </rowItems>
  <colItems count="1">
    <i/>
  </colItems>
  <dataFields count="1">
    <dataField name="Сумма по полю Штраф факт" fld="5"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Срез_Тип_лица1" xr10:uid="{8031FADD-0BC5-D54D-ADEF-4B61632D2172}" sourceName="Тип лица">
  <pivotTables>
    <pivotTable tabId="12" name="Сводная таблица8"/>
  </pivotTables>
  <data>
    <tabular pivotCacheId="1868571895">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Срез_Штраф_факт1" xr10:uid="{00B0EFD4-B6E5-1A4B-BEB4-2F6B7DD50F64}" sourceName="Штраф факт">
  <pivotTables>
    <pivotTable tabId="12" name="Сводная таблица8"/>
  </pivotTables>
  <data>
    <tabular pivotCacheId="1868571895">
      <items count="19">
        <i x="7" s="1"/>
        <i x="17" s="1"/>
        <i x="12" s="1"/>
        <i x="15" s="1"/>
        <i x="8" s="1"/>
        <i x="14" s="1"/>
        <i x="18" s="1"/>
        <i x="9" s="1"/>
        <i x="13" s="1"/>
        <i x="5" s="1"/>
        <i x="6" s="1"/>
        <i x="1" s="1"/>
        <i x="4" s="1"/>
        <i x="11" s="1"/>
        <i x="10" s="1"/>
        <i x="16"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Срез_Статья_КоАП1" xr10:uid="{27CCC14B-7A8A-1B48-A035-B461A66B39B9}" sourceName="Статья КоАП">
  <pivotTables>
    <pivotTable tabId="12" name="Сводная таблица11"/>
    <pivotTable tabId="12" name="Сводная таблица12"/>
    <pivotTable tabId="12" name="Сводная таблица13"/>
  </pivotTables>
  <data>
    <tabular pivotCacheId="1743863915">
      <items count="22">
        <i x="19" s="1"/>
        <i x="10" s="1"/>
        <i x="4" s="1"/>
        <i x="17" s="1"/>
        <i x="21" s="1"/>
        <i x="6" s="1"/>
        <i x="12" s="1"/>
        <i x="2" s="1"/>
        <i x="7" s="1"/>
        <i x="8" s="1"/>
        <i x="11" s="1"/>
        <i x="13" s="1"/>
        <i x="3" s="1"/>
        <i x="1" s="1"/>
        <i x="9" s="1"/>
        <i x="0" s="1"/>
        <i x="5" s="1"/>
        <i x="16" s="1" nd="1"/>
        <i x="18" s="1" nd="1"/>
        <i x="14" s="1" nd="1"/>
        <i x="20" s="1" nd="1"/>
        <i x="1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Срез_Штраф_факт2" xr10:uid="{14EC4B1E-528B-3945-8B81-E249B3D27CAF}" sourceName="Штраф факт">
  <pivotTables>
    <pivotTable tabId="12" name="Сводная таблица11"/>
    <pivotTable tabId="12" name="Сводная таблица12"/>
    <pivotTable tabId="12" name="Сводная таблица13"/>
  </pivotTables>
  <data>
    <tabular pivotCacheId="1743863915">
      <items count="19">
        <i x="12" s="1"/>
        <i x="15" s="1"/>
        <i x="8" s="1"/>
        <i x="14" s="1"/>
        <i x="18" s="1"/>
        <i x="9" s="1"/>
        <i x="13" s="1"/>
        <i x="5" s="1"/>
        <i x="6" s="1"/>
        <i x="1" s="1"/>
        <i x="4" s="1"/>
        <i x="11" s="1"/>
        <i x="10" s="1"/>
        <i x="16" s="1"/>
        <i x="0" s="1"/>
        <i x="3" s="1"/>
        <i x="2"/>
        <i x="7" s="1" nd="1"/>
        <i x="1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Тип лица 1" xr10:uid="{BD01D486-9FFB-2442-BDBC-167BEC97FC91}" cache="Срез_Тип_лица1" caption="Тип лица" rowHeight="230716"/>
  <slicer name="Штраф факт 1" xr10:uid="{6C2B81F6-68C8-574B-A4CF-AD03210A007B}" cache="Срез_Штраф_факт1" caption="Штраф факт" startItem="10" rowHeight="230716"/>
  <slicer name="Статья КоАП 2" xr10:uid="{15F4BE8A-8128-B44F-9FF3-C02A389DBE89}" cache="Срез_Статья_КоАП1" caption="Статья КоАП" rowHeight="230716"/>
  <slicer name="Штраф факт 3" xr10:uid="{06EF8CDF-09DF-5C46-AF36-287E975D993F}" cache="Срез_Штраф_факт2" caption="Штраф факт"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ВстроеннаяВременнаяШкала_Дата_постановления" xr10:uid="{C10D6B52-D737-2643-8EB1-AFA75A1B4898}" sourceName="Дата постановления">
  <pivotTables>
    <pivotTable tabId="12" name="Сводная таблица8"/>
  </pivotTables>
  <state minimalRefreshVersion="6" lastRefreshVersion="6" pivotCacheId="1868571895" filterType="unknown">
    <bounds startDate="2025-01-01T00:00:00" endDate="202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Дата постановления" xr10:uid="{B14666EC-D92E-074C-BFA0-D5459A9981BF}" cache="ВстроеннаяВременнаяШкала_Дата_постановления" caption="Дата постановления" level="2" selectionLevel="2" scrollPosition="2025-07-10T00:00:00"/>
</timelines>
</file>

<file path=xl/worksheets/_rels/sheet3.xml.rels><?xml version="1.0" encoding="UTF-8" standalone="yes"?>
<Relationships xmlns="http://schemas.openxmlformats.org/package/2006/relationships"><Relationship Id="rId8" Type="http://schemas.openxmlformats.org/officeDocument/2006/relationships/hyperlink" Target="https://www.consultant.ru/document/cons_doc_LAW_34661/f7a73ccddc3a88c1cb716bbc7101cc6d315fe443/?ysclid=mm0d68c29i876299488" TargetMode="External"/><Relationship Id="rId13" Type="http://schemas.openxmlformats.org/officeDocument/2006/relationships/hyperlink" Target="https://www.consultant.ru/document/cons_doc_LAW_34661/ac32cb182104127fdf874ef2d66f052a31289f3a/" TargetMode="External"/><Relationship Id="rId18" Type="http://schemas.openxmlformats.org/officeDocument/2006/relationships/hyperlink" Target="https://www.consultant.ru/document/cons_doc_LAW_34661/a339a131911d6de67fca2dd1e5f14b04ea9a677a/?ysclid=mm0elxghta625018373" TargetMode="External"/><Relationship Id="rId3" Type="http://schemas.openxmlformats.org/officeDocument/2006/relationships/hyperlink" Target="https://www.consultant.ru/document/cons_doc_LAW_34661/e9b5b481e289a7e4de062a20287e2fda6937a72a/?ysclid=mm0ecax3da907850997" TargetMode="External"/><Relationship Id="rId21" Type="http://schemas.openxmlformats.org/officeDocument/2006/relationships/hyperlink" Target="https://www.consultant.ru/document/cons_doc_LAW_34661/1ff600878726e1814bd31769c9c9c37550557014/?ysclid=mm0enzowef91616665" TargetMode="External"/><Relationship Id="rId7" Type="http://schemas.openxmlformats.org/officeDocument/2006/relationships/hyperlink" Target="https://www.consultant.ru/document/cons_doc_LAW_34661/f7a73ccddc3a88c1cb716bbc7101cc6d315fe443/?ysclid=mm0d68c29i876299488" TargetMode="External"/><Relationship Id="rId12" Type="http://schemas.openxmlformats.org/officeDocument/2006/relationships/hyperlink" Target="https://www.consultant.ru/document/cons_doc_LAW_34661/968703e833c4e6083348590412774867e76668e7/?ysclid=mm0e9du6iq751612186" TargetMode="External"/><Relationship Id="rId17" Type="http://schemas.openxmlformats.org/officeDocument/2006/relationships/hyperlink" Target="https://www.consultant.ru/document/cons_doc_LAW_34661/54ddb920d2bcb4c8011245e0f9bd8affd16fd04d/?ysclid=mm0ebv923972660276" TargetMode="External"/><Relationship Id="rId2" Type="http://schemas.openxmlformats.org/officeDocument/2006/relationships/hyperlink" Target="https://www.consultant.ru/document/cons_doc_LAW_34661/968703e833c4e6083348590412774867e76668e7/?ysclid=mm0e9du6iq751612186" TargetMode="External"/><Relationship Id="rId16" Type="http://schemas.openxmlformats.org/officeDocument/2006/relationships/hyperlink" Target="https://www.consultant.ru/document/cons_doc_LAW_34661/ac8e91ea8157d94510d3acf5391859b483e1f733/" TargetMode="External"/><Relationship Id="rId20" Type="http://schemas.openxmlformats.org/officeDocument/2006/relationships/hyperlink" Target="https://www.consultant.ru/document/cons_doc_LAW_34661/4d203a22f2eed7023c31e9310abb0652b170020c/" TargetMode="External"/><Relationship Id="rId1" Type="http://schemas.openxmlformats.org/officeDocument/2006/relationships/hyperlink" Target="https://www.consultant.ru/document/cons_doc_LAW_34661/f7a73ccddc3a88c1cb716bbc7101cc6d315fe443/?ysclid=mm0d68c29i876299488" TargetMode="External"/><Relationship Id="rId6" Type="http://schemas.openxmlformats.org/officeDocument/2006/relationships/hyperlink" Target="https://www.consultant.ru/document/cons_doc_LAW_34661/f7a73ccddc3a88c1cb716bbc7101cc6d315fe443/?ysclid=mm0d68c29i876299488" TargetMode="External"/><Relationship Id="rId11" Type="http://schemas.openxmlformats.org/officeDocument/2006/relationships/hyperlink" Target="https://www.consultant.ru/document/cons_doc_LAW_34661/f7a73ccddc3a88c1cb716bbc7101cc6d315fe443/?ysclid=mm0d68c29i876299488" TargetMode="External"/><Relationship Id="rId5" Type="http://schemas.openxmlformats.org/officeDocument/2006/relationships/hyperlink" Target="https://www.consultant.ru/document/cons_doc_LAW_34661/e9b5b481e289a7e4de062a20287e2fda6937a72a/?ysclid=mm0ecax3da907850997" TargetMode="External"/><Relationship Id="rId15" Type="http://schemas.openxmlformats.org/officeDocument/2006/relationships/hyperlink" Target="https://www.consultant.ru/document/cons_doc_LAW_34661/fea798bdaa97f0daa0a79fba49e5a48754cdfbb4/?ysclid=mm0ejwnmy4417271320" TargetMode="External"/><Relationship Id="rId10" Type="http://schemas.openxmlformats.org/officeDocument/2006/relationships/hyperlink" Target="https://www.consultant.ru/document/cons_doc_LAW_34661/f7a73ccddc3a88c1cb716bbc7101cc6d315fe443/?ysclid=mm0d68c29i876299488" TargetMode="External"/><Relationship Id="rId19" Type="http://schemas.openxmlformats.org/officeDocument/2006/relationships/hyperlink" Target="https://www.consultant.ru/document/cons_doc_LAW_34661/4d203a22f2eed7023c31e9310abb0652b170020c/" TargetMode="External"/><Relationship Id="rId4" Type="http://schemas.openxmlformats.org/officeDocument/2006/relationships/hyperlink" Target="https://www.consultant.ru/document/cons_doc_LAW_34661/7d11e283c417dde451585f82d7b51ccf0a70dfd9/?ysclid=mm0edhxa50442507465" TargetMode="External"/><Relationship Id="rId9" Type="http://schemas.openxmlformats.org/officeDocument/2006/relationships/hyperlink" Target="https://www.consultant.ru/document/cons_doc_LAW_34661/f7a73ccddc3a88c1cb716bbc7101cc6d315fe443/?ysclid=mm0d68c29i876299488" TargetMode="External"/><Relationship Id="rId14" Type="http://schemas.openxmlformats.org/officeDocument/2006/relationships/hyperlink" Target="https://www.consultant.ru/document/cons_doc_LAW_34661/5b0dab3c1f1e635e45a3ae6710b51e0d5db0d055/?ysclid=mm0ej5nond684031882" TargetMode="External"/><Relationship Id="rId22" Type="http://schemas.openxmlformats.org/officeDocument/2006/relationships/hyperlink" Target="https://www.consultant.ru/document/cons_doc_LAW_34661/c9540220757eaa24167e7288784ad40b4c8de5db/?ysclid=mm0eqc8x45890119185" TargetMode="Externa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6F437-F13E-6B4A-A0D6-621C37ECA526}">
  <dimension ref="A1:D438"/>
  <sheetViews>
    <sheetView workbookViewId="0">
      <selection activeCell="D3" sqref="D3"/>
    </sheetView>
  </sheetViews>
  <sheetFormatPr baseColWidth="10" defaultRowHeight="15" x14ac:dyDescent="0.2"/>
  <cols>
    <col min="3" max="3" width="62" customWidth="1"/>
    <col min="4" max="4" width="85.33203125" customWidth="1"/>
  </cols>
  <sheetData>
    <row r="1" spans="1:4" x14ac:dyDescent="0.2">
      <c r="A1" s="1" t="s">
        <v>979</v>
      </c>
      <c r="B1" s="1" t="s">
        <v>521</v>
      </c>
      <c r="C1" s="1" t="s">
        <v>1</v>
      </c>
      <c r="D1" s="1" t="s">
        <v>522</v>
      </c>
    </row>
    <row r="2" spans="1:4" ht="80" x14ac:dyDescent="0.2">
      <c r="A2">
        <v>1</v>
      </c>
      <c r="B2" t="s">
        <v>3</v>
      </c>
      <c r="C2" s="3" t="s">
        <v>4</v>
      </c>
      <c r="D2" s="2" t="s">
        <v>523</v>
      </c>
    </row>
    <row r="3" spans="1:4" ht="160" x14ac:dyDescent="0.2">
      <c r="A3">
        <v>2</v>
      </c>
      <c r="B3" t="s">
        <v>3</v>
      </c>
      <c r="C3" s="3" t="s">
        <v>6</v>
      </c>
      <c r="D3" s="2" t="s">
        <v>524</v>
      </c>
    </row>
    <row r="4" spans="1:4" ht="80" x14ac:dyDescent="0.2">
      <c r="A4">
        <v>3</v>
      </c>
      <c r="B4" t="s">
        <v>9</v>
      </c>
      <c r="C4" s="3" t="s">
        <v>10</v>
      </c>
      <c r="D4" s="2" t="s">
        <v>525</v>
      </c>
    </row>
    <row r="5" spans="1:4" ht="96" x14ac:dyDescent="0.2">
      <c r="A5">
        <v>4</v>
      </c>
      <c r="B5" t="s">
        <v>12</v>
      </c>
      <c r="C5" s="3" t="s">
        <v>13</v>
      </c>
      <c r="D5" s="2" t="s">
        <v>526</v>
      </c>
    </row>
    <row r="6" spans="1:4" ht="80" x14ac:dyDescent="0.2">
      <c r="A6">
        <v>5</v>
      </c>
      <c r="B6" t="s">
        <v>12</v>
      </c>
      <c r="C6" s="3" t="s">
        <v>14</v>
      </c>
      <c r="D6" s="2" t="s">
        <v>527</v>
      </c>
    </row>
    <row r="7" spans="1:4" ht="80" x14ac:dyDescent="0.2">
      <c r="A7">
        <v>6</v>
      </c>
      <c r="B7" t="s">
        <v>12</v>
      </c>
      <c r="C7" s="3" t="s">
        <v>15</v>
      </c>
      <c r="D7" s="2" t="s">
        <v>528</v>
      </c>
    </row>
    <row r="8" spans="1:4" ht="80" x14ac:dyDescent="0.2">
      <c r="A8">
        <v>7</v>
      </c>
      <c r="B8" t="s">
        <v>12</v>
      </c>
      <c r="C8" s="3" t="s">
        <v>16</v>
      </c>
      <c r="D8" s="2" t="s">
        <v>529</v>
      </c>
    </row>
    <row r="9" spans="1:4" ht="80" x14ac:dyDescent="0.2">
      <c r="A9">
        <v>8</v>
      </c>
      <c r="B9" t="s">
        <v>12</v>
      </c>
      <c r="C9" s="3" t="s">
        <v>17</v>
      </c>
      <c r="D9" s="2" t="s">
        <v>530</v>
      </c>
    </row>
    <row r="10" spans="1:4" ht="80" x14ac:dyDescent="0.2">
      <c r="A10">
        <v>9</v>
      </c>
      <c r="B10" t="s">
        <v>19</v>
      </c>
      <c r="C10" s="3" t="s">
        <v>20</v>
      </c>
      <c r="D10" s="2" t="s">
        <v>531</v>
      </c>
    </row>
    <row r="11" spans="1:4" ht="96" x14ac:dyDescent="0.2">
      <c r="A11">
        <v>10</v>
      </c>
      <c r="B11" t="s">
        <v>21</v>
      </c>
      <c r="C11" s="3" t="s">
        <v>22</v>
      </c>
      <c r="D11" s="2" t="s">
        <v>532</v>
      </c>
    </row>
    <row r="12" spans="1:4" ht="112" x14ac:dyDescent="0.2">
      <c r="A12">
        <v>11</v>
      </c>
      <c r="B12" t="s">
        <v>21</v>
      </c>
      <c r="C12" s="3" t="s">
        <v>26</v>
      </c>
      <c r="D12" s="2" t="s">
        <v>533</v>
      </c>
    </row>
    <row r="13" spans="1:4" ht="96" x14ac:dyDescent="0.2">
      <c r="A13">
        <v>12</v>
      </c>
      <c r="B13" t="s">
        <v>21</v>
      </c>
      <c r="C13" s="3" t="s">
        <v>27</v>
      </c>
      <c r="D13" s="2" t="s">
        <v>534</v>
      </c>
    </row>
    <row r="14" spans="1:4" ht="96" x14ac:dyDescent="0.2">
      <c r="A14">
        <v>13</v>
      </c>
      <c r="B14" t="s">
        <v>25</v>
      </c>
      <c r="C14" s="3" t="s">
        <v>28</v>
      </c>
      <c r="D14" s="2" t="s">
        <v>535</v>
      </c>
    </row>
    <row r="15" spans="1:4" ht="96" x14ac:dyDescent="0.2">
      <c r="A15">
        <v>14</v>
      </c>
      <c r="B15" t="s">
        <v>29</v>
      </c>
      <c r="C15" s="3" t="s">
        <v>30</v>
      </c>
      <c r="D15" s="2" t="s">
        <v>536</v>
      </c>
    </row>
    <row r="16" spans="1:4" ht="96" x14ac:dyDescent="0.2">
      <c r="A16">
        <v>15</v>
      </c>
      <c r="B16" t="s">
        <v>29</v>
      </c>
      <c r="C16" s="3" t="s">
        <v>31</v>
      </c>
      <c r="D16" s="2" t="s">
        <v>537</v>
      </c>
    </row>
    <row r="17" spans="1:4" ht="96" x14ac:dyDescent="0.2">
      <c r="A17">
        <v>16</v>
      </c>
      <c r="B17" t="s">
        <v>29</v>
      </c>
      <c r="C17" s="3" t="s">
        <v>32</v>
      </c>
      <c r="D17" s="2" t="s">
        <v>538</v>
      </c>
    </row>
    <row r="18" spans="1:4" ht="96" x14ac:dyDescent="0.2">
      <c r="A18">
        <v>17</v>
      </c>
      <c r="B18" t="s">
        <v>29</v>
      </c>
      <c r="C18" s="3" t="s">
        <v>33</v>
      </c>
      <c r="D18" s="2" t="s">
        <v>539</v>
      </c>
    </row>
    <row r="19" spans="1:4" ht="96" x14ac:dyDescent="0.2">
      <c r="A19">
        <v>18</v>
      </c>
      <c r="B19" t="s">
        <v>29</v>
      </c>
      <c r="C19" s="3" t="s">
        <v>34</v>
      </c>
      <c r="D19" s="2" t="s">
        <v>540</v>
      </c>
    </row>
    <row r="20" spans="1:4" ht="96" x14ac:dyDescent="0.2">
      <c r="A20">
        <v>19</v>
      </c>
      <c r="B20" t="s">
        <v>29</v>
      </c>
      <c r="C20" s="3" t="s">
        <v>35</v>
      </c>
      <c r="D20" s="2" t="s">
        <v>541</v>
      </c>
    </row>
    <row r="21" spans="1:4" ht="96" x14ac:dyDescent="0.2">
      <c r="A21">
        <v>20</v>
      </c>
      <c r="B21" t="s">
        <v>29</v>
      </c>
      <c r="C21" s="3" t="s">
        <v>36</v>
      </c>
      <c r="D21" s="2" t="s">
        <v>542</v>
      </c>
    </row>
    <row r="22" spans="1:4" ht="96" x14ac:dyDescent="0.2">
      <c r="A22">
        <v>21</v>
      </c>
      <c r="B22" t="s">
        <v>37</v>
      </c>
      <c r="C22" s="3" t="s">
        <v>38</v>
      </c>
      <c r="D22" s="2" t="s">
        <v>543</v>
      </c>
    </row>
    <row r="23" spans="1:4" ht="96" x14ac:dyDescent="0.2">
      <c r="A23">
        <v>22</v>
      </c>
      <c r="B23" t="s">
        <v>37</v>
      </c>
      <c r="C23" s="3" t="s">
        <v>39</v>
      </c>
      <c r="D23" s="2" t="s">
        <v>544</v>
      </c>
    </row>
    <row r="24" spans="1:4" ht="96" x14ac:dyDescent="0.2">
      <c r="A24">
        <v>23</v>
      </c>
      <c r="B24" t="s">
        <v>40</v>
      </c>
      <c r="C24" s="3" t="s">
        <v>41</v>
      </c>
      <c r="D24" s="2" t="s">
        <v>545</v>
      </c>
    </row>
    <row r="25" spans="1:4" ht="96" x14ac:dyDescent="0.2">
      <c r="A25">
        <v>24</v>
      </c>
      <c r="B25" t="s">
        <v>42</v>
      </c>
      <c r="C25" s="3" t="s">
        <v>43</v>
      </c>
      <c r="D25" s="2" t="s">
        <v>546</v>
      </c>
    </row>
    <row r="26" spans="1:4" ht="96" x14ac:dyDescent="0.2">
      <c r="A26">
        <v>25</v>
      </c>
      <c r="B26" t="s">
        <v>42</v>
      </c>
      <c r="C26" s="3" t="s">
        <v>44</v>
      </c>
      <c r="D26" s="2" t="s">
        <v>547</v>
      </c>
    </row>
    <row r="27" spans="1:4" ht="96" x14ac:dyDescent="0.2">
      <c r="A27">
        <v>26</v>
      </c>
      <c r="B27" t="s">
        <v>42</v>
      </c>
      <c r="C27" s="3" t="s">
        <v>45</v>
      </c>
      <c r="D27" s="2" t="s">
        <v>548</v>
      </c>
    </row>
    <row r="28" spans="1:4" ht="96" x14ac:dyDescent="0.2">
      <c r="A28">
        <v>27</v>
      </c>
      <c r="B28" t="s">
        <v>42</v>
      </c>
      <c r="C28" s="3" t="s">
        <v>46</v>
      </c>
      <c r="D28" s="2" t="s">
        <v>549</v>
      </c>
    </row>
    <row r="29" spans="1:4" ht="96" x14ac:dyDescent="0.2">
      <c r="A29">
        <v>28</v>
      </c>
      <c r="B29" t="s">
        <v>42</v>
      </c>
      <c r="C29" s="3" t="s">
        <v>47</v>
      </c>
      <c r="D29" s="2" t="s">
        <v>550</v>
      </c>
    </row>
    <row r="30" spans="1:4" ht="96" x14ac:dyDescent="0.2">
      <c r="A30">
        <v>29</v>
      </c>
      <c r="B30" t="s">
        <v>42</v>
      </c>
      <c r="C30" s="3" t="s">
        <v>48</v>
      </c>
      <c r="D30" s="2" t="s">
        <v>551</v>
      </c>
    </row>
    <row r="31" spans="1:4" ht="96" x14ac:dyDescent="0.2">
      <c r="A31">
        <v>30</v>
      </c>
      <c r="B31" t="s">
        <v>49</v>
      </c>
      <c r="C31" s="3" t="s">
        <v>50</v>
      </c>
      <c r="D31" s="2" t="s">
        <v>552</v>
      </c>
    </row>
    <row r="32" spans="1:4" ht="96" x14ac:dyDescent="0.2">
      <c r="A32">
        <v>31</v>
      </c>
      <c r="B32" t="s">
        <v>49</v>
      </c>
      <c r="C32" s="3" t="s">
        <v>52</v>
      </c>
      <c r="D32" s="2" t="s">
        <v>553</v>
      </c>
    </row>
    <row r="33" spans="1:4" ht="96" x14ac:dyDescent="0.2">
      <c r="A33">
        <v>32</v>
      </c>
      <c r="B33" t="s">
        <v>49</v>
      </c>
      <c r="C33" s="3" t="s">
        <v>53</v>
      </c>
      <c r="D33" s="2" t="s">
        <v>554</v>
      </c>
    </row>
    <row r="34" spans="1:4" ht="96" x14ac:dyDescent="0.2">
      <c r="A34">
        <v>33</v>
      </c>
      <c r="B34" t="s">
        <v>49</v>
      </c>
      <c r="C34" s="3" t="s">
        <v>54</v>
      </c>
      <c r="D34" s="2" t="s">
        <v>555</v>
      </c>
    </row>
    <row r="35" spans="1:4" ht="96" x14ac:dyDescent="0.2">
      <c r="A35">
        <v>34</v>
      </c>
      <c r="B35" t="s">
        <v>49</v>
      </c>
      <c r="C35" s="3" t="s">
        <v>55</v>
      </c>
      <c r="D35" s="2" t="s">
        <v>556</v>
      </c>
    </row>
    <row r="36" spans="1:4" ht="96" x14ac:dyDescent="0.2">
      <c r="A36">
        <v>35</v>
      </c>
      <c r="B36" t="s">
        <v>56</v>
      </c>
      <c r="C36" s="3" t="s">
        <v>57</v>
      </c>
      <c r="D36" s="2" t="s">
        <v>557</v>
      </c>
    </row>
    <row r="37" spans="1:4" ht="96" x14ac:dyDescent="0.2">
      <c r="A37">
        <v>36</v>
      </c>
      <c r="B37" t="s">
        <v>56</v>
      </c>
      <c r="C37" s="3" t="s">
        <v>59</v>
      </c>
      <c r="D37" s="2" t="s">
        <v>558</v>
      </c>
    </row>
    <row r="38" spans="1:4" ht="96" x14ac:dyDescent="0.2">
      <c r="A38">
        <v>37</v>
      </c>
      <c r="B38" t="s">
        <v>51</v>
      </c>
      <c r="C38" s="3" t="s">
        <v>60</v>
      </c>
      <c r="D38" s="2" t="s">
        <v>559</v>
      </c>
    </row>
    <row r="39" spans="1:4" ht="96" x14ac:dyDescent="0.2">
      <c r="A39">
        <v>38</v>
      </c>
      <c r="B39" t="s">
        <v>51</v>
      </c>
      <c r="C39" s="3" t="s">
        <v>61</v>
      </c>
      <c r="D39" s="2" t="s">
        <v>560</v>
      </c>
    </row>
    <row r="40" spans="1:4" ht="96" x14ac:dyDescent="0.2">
      <c r="A40">
        <v>39</v>
      </c>
      <c r="B40" t="s">
        <v>51</v>
      </c>
      <c r="C40" s="3" t="s">
        <v>62</v>
      </c>
      <c r="D40" s="2" t="s">
        <v>561</v>
      </c>
    </row>
    <row r="41" spans="1:4" ht="96" x14ac:dyDescent="0.2">
      <c r="A41">
        <v>40</v>
      </c>
      <c r="B41" t="s">
        <v>51</v>
      </c>
      <c r="C41" s="3" t="s">
        <v>63</v>
      </c>
      <c r="D41" s="2" t="s">
        <v>562</v>
      </c>
    </row>
    <row r="42" spans="1:4" ht="96" x14ac:dyDescent="0.2">
      <c r="A42">
        <v>41</v>
      </c>
      <c r="B42" t="s">
        <v>51</v>
      </c>
      <c r="C42" s="3" t="s">
        <v>64</v>
      </c>
      <c r="D42" s="2" t="s">
        <v>563</v>
      </c>
    </row>
    <row r="43" spans="1:4" ht="96" x14ac:dyDescent="0.2">
      <c r="A43">
        <v>42</v>
      </c>
      <c r="B43" t="s">
        <v>51</v>
      </c>
      <c r="C43" s="3" t="s">
        <v>65</v>
      </c>
      <c r="D43" s="2" t="s">
        <v>564</v>
      </c>
    </row>
    <row r="44" spans="1:4" ht="96" x14ac:dyDescent="0.2">
      <c r="A44">
        <v>43</v>
      </c>
      <c r="B44" t="s">
        <v>51</v>
      </c>
      <c r="C44" s="3" t="s">
        <v>66</v>
      </c>
      <c r="D44" s="2" t="s">
        <v>565</v>
      </c>
    </row>
    <row r="45" spans="1:4" ht="96" x14ac:dyDescent="0.2">
      <c r="A45">
        <v>44</v>
      </c>
      <c r="B45" t="s">
        <v>51</v>
      </c>
      <c r="C45" s="3" t="s">
        <v>67</v>
      </c>
      <c r="D45" s="2" t="s">
        <v>566</v>
      </c>
    </row>
    <row r="46" spans="1:4" ht="96" x14ac:dyDescent="0.2">
      <c r="A46">
        <v>45</v>
      </c>
      <c r="B46" t="s">
        <v>51</v>
      </c>
      <c r="C46" s="3" t="s">
        <v>68</v>
      </c>
      <c r="D46" s="2" t="s">
        <v>567</v>
      </c>
    </row>
    <row r="47" spans="1:4" ht="96" x14ac:dyDescent="0.2">
      <c r="A47">
        <v>46</v>
      </c>
      <c r="B47" t="s">
        <v>51</v>
      </c>
      <c r="C47" s="3" t="s">
        <v>69</v>
      </c>
      <c r="D47" s="2" t="s">
        <v>568</v>
      </c>
    </row>
    <row r="48" spans="1:4" ht="96" x14ac:dyDescent="0.2">
      <c r="A48">
        <v>47</v>
      </c>
      <c r="B48" t="s">
        <v>51</v>
      </c>
      <c r="C48" s="3" t="s">
        <v>70</v>
      </c>
      <c r="D48" s="2" t="s">
        <v>569</v>
      </c>
    </row>
    <row r="49" spans="1:4" ht="96" x14ac:dyDescent="0.2">
      <c r="A49">
        <v>48</v>
      </c>
      <c r="B49" t="s">
        <v>51</v>
      </c>
      <c r="C49" s="3" t="s">
        <v>13</v>
      </c>
      <c r="D49" s="2" t="s">
        <v>570</v>
      </c>
    </row>
    <row r="50" spans="1:4" ht="112" x14ac:dyDescent="0.2">
      <c r="A50">
        <v>49</v>
      </c>
      <c r="B50" t="s">
        <v>51</v>
      </c>
      <c r="C50" s="3" t="s">
        <v>71</v>
      </c>
      <c r="D50" s="2" t="s">
        <v>571</v>
      </c>
    </row>
    <row r="51" spans="1:4" ht="112" x14ac:dyDescent="0.2">
      <c r="A51">
        <v>50</v>
      </c>
      <c r="B51" t="s">
        <v>51</v>
      </c>
      <c r="C51" s="3" t="s">
        <v>73</v>
      </c>
      <c r="D51" s="2" t="s">
        <v>572</v>
      </c>
    </row>
    <row r="52" spans="1:4" ht="112" x14ac:dyDescent="0.2">
      <c r="A52">
        <v>51</v>
      </c>
      <c r="B52" t="s">
        <v>51</v>
      </c>
      <c r="C52" s="3" t="s">
        <v>74</v>
      </c>
      <c r="D52" s="2" t="s">
        <v>573</v>
      </c>
    </row>
    <row r="53" spans="1:4" ht="96" x14ac:dyDescent="0.2">
      <c r="A53">
        <v>52</v>
      </c>
      <c r="B53" t="s">
        <v>51</v>
      </c>
      <c r="C53" s="3" t="s">
        <v>76</v>
      </c>
      <c r="D53" s="2" t="s">
        <v>574</v>
      </c>
    </row>
    <row r="54" spans="1:4" ht="80" x14ac:dyDescent="0.2">
      <c r="A54">
        <v>53</v>
      </c>
      <c r="B54" t="s">
        <v>51</v>
      </c>
      <c r="C54" s="3" t="s">
        <v>77</v>
      </c>
      <c r="D54" s="2" t="s">
        <v>575</v>
      </c>
    </row>
    <row r="55" spans="1:4" ht="160" x14ac:dyDescent="0.2">
      <c r="A55">
        <v>54</v>
      </c>
      <c r="B55" t="s">
        <v>51</v>
      </c>
      <c r="C55" s="3" t="s">
        <v>78</v>
      </c>
      <c r="D55" s="2" t="s">
        <v>576</v>
      </c>
    </row>
    <row r="56" spans="1:4" ht="80" x14ac:dyDescent="0.2">
      <c r="A56">
        <v>55</v>
      </c>
      <c r="B56" t="s">
        <v>51</v>
      </c>
      <c r="C56" s="3" t="s">
        <v>79</v>
      </c>
      <c r="D56" s="2" t="s">
        <v>577</v>
      </c>
    </row>
    <row r="57" spans="1:4" ht="80" x14ac:dyDescent="0.2">
      <c r="A57">
        <v>56</v>
      </c>
      <c r="B57" t="s">
        <v>51</v>
      </c>
      <c r="C57" s="3" t="s">
        <v>17</v>
      </c>
      <c r="D57" s="2" t="s">
        <v>578</v>
      </c>
    </row>
    <row r="58" spans="1:4" ht="80" x14ac:dyDescent="0.2">
      <c r="A58">
        <v>57</v>
      </c>
      <c r="B58" t="s">
        <v>51</v>
      </c>
      <c r="C58" s="3" t="s">
        <v>81</v>
      </c>
      <c r="D58" s="2" t="s">
        <v>579</v>
      </c>
    </row>
    <row r="59" spans="1:4" ht="80" x14ac:dyDescent="0.2">
      <c r="A59">
        <v>58</v>
      </c>
      <c r="B59" t="s">
        <v>51</v>
      </c>
      <c r="C59" s="3" t="s">
        <v>82</v>
      </c>
      <c r="D59" s="2" t="s">
        <v>580</v>
      </c>
    </row>
    <row r="60" spans="1:4" ht="80" x14ac:dyDescent="0.2">
      <c r="A60">
        <v>59</v>
      </c>
      <c r="B60" t="s">
        <v>51</v>
      </c>
      <c r="C60" s="3" t="s">
        <v>84</v>
      </c>
      <c r="D60" s="2" t="s">
        <v>581</v>
      </c>
    </row>
    <row r="61" spans="1:4" ht="80" x14ac:dyDescent="0.2">
      <c r="A61">
        <v>60</v>
      </c>
      <c r="B61" t="s">
        <v>51</v>
      </c>
      <c r="C61" s="3" t="s">
        <v>85</v>
      </c>
      <c r="D61" s="2" t="s">
        <v>582</v>
      </c>
    </row>
    <row r="62" spans="1:4" ht="80" x14ac:dyDescent="0.2">
      <c r="A62">
        <v>61</v>
      </c>
      <c r="B62" t="s">
        <v>58</v>
      </c>
      <c r="C62" s="3" t="s">
        <v>86</v>
      </c>
      <c r="D62" s="2" t="s">
        <v>583</v>
      </c>
    </row>
    <row r="63" spans="1:4" ht="96" x14ac:dyDescent="0.2">
      <c r="A63">
        <v>62</v>
      </c>
      <c r="B63" t="s">
        <v>58</v>
      </c>
      <c r="C63" s="3" t="s">
        <v>87</v>
      </c>
      <c r="D63" s="2" t="s">
        <v>584</v>
      </c>
    </row>
    <row r="64" spans="1:4" ht="80" x14ac:dyDescent="0.2">
      <c r="A64">
        <v>63</v>
      </c>
      <c r="B64" t="s">
        <v>58</v>
      </c>
      <c r="C64" s="3" t="s">
        <v>88</v>
      </c>
      <c r="D64" s="2" t="s">
        <v>585</v>
      </c>
    </row>
    <row r="65" spans="1:4" ht="96" x14ac:dyDescent="0.2">
      <c r="A65">
        <v>64</v>
      </c>
      <c r="B65" t="s">
        <v>58</v>
      </c>
      <c r="C65" s="3" t="s">
        <v>89</v>
      </c>
      <c r="D65" s="2" t="s">
        <v>586</v>
      </c>
    </row>
    <row r="66" spans="1:4" ht="80" x14ac:dyDescent="0.2">
      <c r="A66">
        <v>65</v>
      </c>
      <c r="B66" t="s">
        <v>90</v>
      </c>
      <c r="C66" s="3" t="s">
        <v>91</v>
      </c>
      <c r="D66" s="2" t="s">
        <v>587</v>
      </c>
    </row>
    <row r="67" spans="1:4" ht="96" x14ac:dyDescent="0.2">
      <c r="A67">
        <v>66</v>
      </c>
      <c r="B67" t="s">
        <v>92</v>
      </c>
      <c r="C67" s="3" t="s">
        <v>93</v>
      </c>
      <c r="D67" s="2" t="s">
        <v>588</v>
      </c>
    </row>
    <row r="68" spans="1:4" ht="96" x14ac:dyDescent="0.2">
      <c r="A68">
        <v>67</v>
      </c>
      <c r="B68" t="s">
        <v>92</v>
      </c>
      <c r="C68" s="3" t="s">
        <v>95</v>
      </c>
      <c r="D68" s="2" t="s">
        <v>589</v>
      </c>
    </row>
    <row r="69" spans="1:4" ht="112" x14ac:dyDescent="0.2">
      <c r="A69">
        <v>68</v>
      </c>
      <c r="B69" t="s">
        <v>92</v>
      </c>
      <c r="C69" s="3" t="s">
        <v>96</v>
      </c>
      <c r="D69" s="2" t="s">
        <v>590</v>
      </c>
    </row>
    <row r="70" spans="1:4" ht="112" x14ac:dyDescent="0.2">
      <c r="A70">
        <v>69</v>
      </c>
      <c r="B70" t="s">
        <v>92</v>
      </c>
      <c r="C70" s="3" t="s">
        <v>98</v>
      </c>
      <c r="D70" s="2" t="s">
        <v>591</v>
      </c>
    </row>
    <row r="71" spans="1:4" ht="80" x14ac:dyDescent="0.2">
      <c r="A71">
        <v>70</v>
      </c>
      <c r="B71" t="s">
        <v>92</v>
      </c>
      <c r="C71" s="3" t="s">
        <v>99</v>
      </c>
      <c r="D71" s="2" t="s">
        <v>592</v>
      </c>
    </row>
    <row r="72" spans="1:4" ht="160" x14ac:dyDescent="0.2">
      <c r="A72">
        <v>71</v>
      </c>
      <c r="B72" t="s">
        <v>92</v>
      </c>
      <c r="C72" s="3" t="s">
        <v>100</v>
      </c>
      <c r="D72" s="2" t="s">
        <v>593</v>
      </c>
    </row>
    <row r="73" spans="1:4" ht="96" x14ac:dyDescent="0.2">
      <c r="A73">
        <v>72</v>
      </c>
      <c r="B73" t="s">
        <v>101</v>
      </c>
      <c r="C73" s="3" t="s">
        <v>102</v>
      </c>
      <c r="D73" s="2" t="s">
        <v>594</v>
      </c>
    </row>
    <row r="74" spans="1:4" ht="96" x14ac:dyDescent="0.2">
      <c r="A74">
        <v>73</v>
      </c>
      <c r="B74" t="s">
        <v>101</v>
      </c>
      <c r="C74" s="3" t="s">
        <v>103</v>
      </c>
      <c r="D74" s="2" t="s">
        <v>595</v>
      </c>
    </row>
    <row r="75" spans="1:4" ht="96" x14ac:dyDescent="0.2">
      <c r="A75">
        <v>74</v>
      </c>
      <c r="B75" t="s">
        <v>101</v>
      </c>
      <c r="C75" s="3" t="s">
        <v>104</v>
      </c>
      <c r="D75" s="2" t="s">
        <v>596</v>
      </c>
    </row>
    <row r="76" spans="1:4" ht="80" x14ac:dyDescent="0.2">
      <c r="A76">
        <v>75</v>
      </c>
      <c r="B76" t="s">
        <v>101</v>
      </c>
      <c r="C76" s="3" t="s">
        <v>105</v>
      </c>
      <c r="D76" s="2" t="s">
        <v>597</v>
      </c>
    </row>
    <row r="77" spans="1:4" ht="96" x14ac:dyDescent="0.2">
      <c r="A77">
        <v>76</v>
      </c>
      <c r="B77" t="s">
        <v>94</v>
      </c>
      <c r="C77" s="3" t="s">
        <v>106</v>
      </c>
      <c r="D77" s="2" t="s">
        <v>598</v>
      </c>
    </row>
    <row r="78" spans="1:4" ht="80" x14ac:dyDescent="0.2">
      <c r="A78">
        <v>77</v>
      </c>
      <c r="B78" t="s">
        <v>94</v>
      </c>
      <c r="C78" s="3" t="s">
        <v>107</v>
      </c>
      <c r="D78" s="2" t="s">
        <v>599</v>
      </c>
    </row>
    <row r="79" spans="1:4" ht="96" x14ac:dyDescent="0.2">
      <c r="A79">
        <v>78</v>
      </c>
      <c r="B79" t="s">
        <v>94</v>
      </c>
      <c r="C79" s="3" t="s">
        <v>109</v>
      </c>
      <c r="D79" s="2" t="s">
        <v>600</v>
      </c>
    </row>
    <row r="80" spans="1:4" ht="80" x14ac:dyDescent="0.2">
      <c r="A80">
        <v>79</v>
      </c>
      <c r="B80" t="s">
        <v>94</v>
      </c>
      <c r="C80" s="3" t="s">
        <v>110</v>
      </c>
      <c r="D80" s="2" t="s">
        <v>601</v>
      </c>
    </row>
    <row r="81" spans="1:4" ht="80" x14ac:dyDescent="0.2">
      <c r="A81">
        <v>80</v>
      </c>
      <c r="B81" t="s">
        <v>111</v>
      </c>
      <c r="C81" s="3" t="s">
        <v>112</v>
      </c>
      <c r="D81" s="2" t="s">
        <v>602</v>
      </c>
    </row>
    <row r="82" spans="1:4" ht="96" x14ac:dyDescent="0.2">
      <c r="A82">
        <v>81</v>
      </c>
      <c r="B82" t="s">
        <v>97</v>
      </c>
      <c r="C82" s="3" t="s">
        <v>113</v>
      </c>
      <c r="D82" s="2" t="s">
        <v>603</v>
      </c>
    </row>
    <row r="83" spans="1:4" ht="96" x14ac:dyDescent="0.2">
      <c r="A83">
        <v>82</v>
      </c>
      <c r="B83" t="s">
        <v>114</v>
      </c>
      <c r="C83" s="3" t="s">
        <v>115</v>
      </c>
      <c r="D83" s="2" t="s">
        <v>604</v>
      </c>
    </row>
    <row r="84" spans="1:4" ht="96" x14ac:dyDescent="0.2">
      <c r="A84">
        <v>83</v>
      </c>
      <c r="B84" t="s">
        <v>117</v>
      </c>
      <c r="C84" s="3" t="s">
        <v>118</v>
      </c>
      <c r="D84" s="2" t="s">
        <v>605</v>
      </c>
    </row>
    <row r="85" spans="1:4" ht="80" x14ac:dyDescent="0.2">
      <c r="A85">
        <v>84</v>
      </c>
      <c r="B85" t="s">
        <v>119</v>
      </c>
      <c r="C85" s="3" t="s">
        <v>120</v>
      </c>
      <c r="D85" s="2" t="s">
        <v>606</v>
      </c>
    </row>
    <row r="86" spans="1:4" ht="96" x14ac:dyDescent="0.2">
      <c r="A86">
        <v>85</v>
      </c>
      <c r="B86" t="s">
        <v>121</v>
      </c>
      <c r="C86" s="3" t="s">
        <v>122</v>
      </c>
      <c r="D86" s="2" t="s">
        <v>607</v>
      </c>
    </row>
    <row r="87" spans="1:4" ht="96" x14ac:dyDescent="0.2">
      <c r="A87">
        <v>86</v>
      </c>
      <c r="B87" t="s">
        <v>121</v>
      </c>
      <c r="C87" s="3" t="s">
        <v>124</v>
      </c>
      <c r="D87" s="2" t="s">
        <v>608</v>
      </c>
    </row>
    <row r="88" spans="1:4" ht="80" x14ac:dyDescent="0.2">
      <c r="A88">
        <v>87</v>
      </c>
      <c r="B88" t="s">
        <v>116</v>
      </c>
      <c r="C88" s="3" t="s">
        <v>125</v>
      </c>
      <c r="D88" s="2" t="s">
        <v>609</v>
      </c>
    </row>
    <row r="89" spans="1:4" ht="96" x14ac:dyDescent="0.2">
      <c r="A89">
        <v>88</v>
      </c>
      <c r="B89" t="s">
        <v>116</v>
      </c>
      <c r="C89" s="3" t="s">
        <v>126</v>
      </c>
      <c r="D89" s="2" t="s">
        <v>610</v>
      </c>
    </row>
    <row r="90" spans="1:4" ht="80" x14ac:dyDescent="0.2">
      <c r="A90">
        <v>89</v>
      </c>
      <c r="B90" t="s">
        <v>123</v>
      </c>
      <c r="C90" s="3" t="s">
        <v>82</v>
      </c>
      <c r="D90" s="2" t="s">
        <v>611</v>
      </c>
    </row>
    <row r="91" spans="1:4" ht="80" x14ac:dyDescent="0.2">
      <c r="A91">
        <v>90</v>
      </c>
      <c r="B91" t="s">
        <v>127</v>
      </c>
      <c r="C91" s="3" t="s">
        <v>128</v>
      </c>
      <c r="D91" s="2" t="s">
        <v>612</v>
      </c>
    </row>
    <row r="92" spans="1:4" ht="96" x14ac:dyDescent="0.2">
      <c r="A92">
        <v>91</v>
      </c>
      <c r="B92" t="s">
        <v>130</v>
      </c>
      <c r="C92" s="3" t="s">
        <v>82</v>
      </c>
      <c r="D92" s="2" t="s">
        <v>613</v>
      </c>
    </row>
    <row r="93" spans="1:4" ht="80" x14ac:dyDescent="0.2">
      <c r="A93">
        <v>92</v>
      </c>
      <c r="B93" t="s">
        <v>130</v>
      </c>
      <c r="C93" s="3" t="s">
        <v>131</v>
      </c>
      <c r="D93" s="2" t="s">
        <v>614</v>
      </c>
    </row>
    <row r="94" spans="1:4" ht="80" x14ac:dyDescent="0.2">
      <c r="A94">
        <v>93</v>
      </c>
      <c r="B94" t="s">
        <v>130</v>
      </c>
      <c r="C94" s="3" t="s">
        <v>132</v>
      </c>
      <c r="D94" s="2" t="s">
        <v>615</v>
      </c>
    </row>
    <row r="95" spans="1:4" ht="80" x14ac:dyDescent="0.2">
      <c r="A95">
        <v>94</v>
      </c>
      <c r="B95" t="s">
        <v>130</v>
      </c>
      <c r="C95" s="3" t="s">
        <v>133</v>
      </c>
      <c r="D95" s="2" t="s">
        <v>616</v>
      </c>
    </row>
    <row r="96" spans="1:4" ht="96" x14ac:dyDescent="0.2">
      <c r="A96">
        <v>95</v>
      </c>
      <c r="B96" t="s">
        <v>134</v>
      </c>
      <c r="C96" s="3" t="s">
        <v>135</v>
      </c>
      <c r="D96" s="2" t="s">
        <v>617</v>
      </c>
    </row>
    <row r="97" spans="1:4" ht="96" x14ac:dyDescent="0.2">
      <c r="A97">
        <v>96</v>
      </c>
      <c r="B97" t="s">
        <v>134</v>
      </c>
      <c r="C97" s="3" t="s">
        <v>137</v>
      </c>
      <c r="D97" s="2" t="s">
        <v>618</v>
      </c>
    </row>
    <row r="98" spans="1:4" ht="80" x14ac:dyDescent="0.2">
      <c r="A98">
        <v>97</v>
      </c>
      <c r="B98" t="s">
        <v>134</v>
      </c>
      <c r="C98" s="3" t="s">
        <v>139</v>
      </c>
      <c r="D98" s="2" t="s">
        <v>619</v>
      </c>
    </row>
    <row r="99" spans="1:4" ht="144" x14ac:dyDescent="0.2">
      <c r="A99">
        <v>98</v>
      </c>
      <c r="B99" t="s">
        <v>134</v>
      </c>
      <c r="C99" s="3" t="s">
        <v>140</v>
      </c>
      <c r="D99" s="2" t="s">
        <v>620</v>
      </c>
    </row>
    <row r="100" spans="1:4" ht="80" x14ac:dyDescent="0.2">
      <c r="A100">
        <v>99</v>
      </c>
      <c r="B100" t="s">
        <v>138</v>
      </c>
      <c r="C100" s="3" t="s">
        <v>141</v>
      </c>
      <c r="D100" s="2" t="s">
        <v>621</v>
      </c>
    </row>
    <row r="101" spans="1:4" ht="112" x14ac:dyDescent="0.2">
      <c r="A101">
        <v>100</v>
      </c>
      <c r="B101" t="s">
        <v>142</v>
      </c>
      <c r="C101" s="3" t="s">
        <v>143</v>
      </c>
      <c r="D101" s="2" t="s">
        <v>622</v>
      </c>
    </row>
    <row r="102" spans="1:4" ht="80" x14ac:dyDescent="0.2">
      <c r="A102">
        <v>101</v>
      </c>
      <c r="B102" t="s">
        <v>142</v>
      </c>
      <c r="C102" s="3" t="s">
        <v>144</v>
      </c>
      <c r="D102" s="2" t="s">
        <v>623</v>
      </c>
    </row>
    <row r="103" spans="1:4" ht="96" x14ac:dyDescent="0.2">
      <c r="A103">
        <v>102</v>
      </c>
      <c r="B103" t="s">
        <v>136</v>
      </c>
      <c r="C103" s="3" t="s">
        <v>145</v>
      </c>
      <c r="D103" s="2" t="s">
        <v>624</v>
      </c>
    </row>
    <row r="104" spans="1:4" ht="96" x14ac:dyDescent="0.2">
      <c r="A104">
        <v>103</v>
      </c>
      <c r="B104" t="s">
        <v>136</v>
      </c>
      <c r="C104" s="3" t="s">
        <v>146</v>
      </c>
      <c r="D104" s="2" t="s">
        <v>625</v>
      </c>
    </row>
    <row r="105" spans="1:4" ht="96" x14ac:dyDescent="0.2">
      <c r="A105">
        <v>104</v>
      </c>
      <c r="B105" t="s">
        <v>136</v>
      </c>
      <c r="C105" s="3" t="s">
        <v>147</v>
      </c>
      <c r="D105" s="2" t="s">
        <v>626</v>
      </c>
    </row>
    <row r="106" spans="1:4" ht="96" x14ac:dyDescent="0.2">
      <c r="A106">
        <v>105</v>
      </c>
      <c r="B106" t="s">
        <v>136</v>
      </c>
      <c r="C106" s="3" t="s">
        <v>148</v>
      </c>
      <c r="D106" s="2" t="s">
        <v>627</v>
      </c>
    </row>
    <row r="107" spans="1:4" ht="96" x14ac:dyDescent="0.2">
      <c r="A107">
        <v>106</v>
      </c>
      <c r="B107" t="s">
        <v>136</v>
      </c>
      <c r="C107" s="3" t="s">
        <v>149</v>
      </c>
      <c r="D107" s="2" t="s">
        <v>628</v>
      </c>
    </row>
    <row r="108" spans="1:4" ht="96" x14ac:dyDescent="0.2">
      <c r="A108">
        <v>107</v>
      </c>
      <c r="B108" t="s">
        <v>136</v>
      </c>
      <c r="C108" s="3" t="s">
        <v>150</v>
      </c>
      <c r="D108" s="2" t="s">
        <v>629</v>
      </c>
    </row>
    <row r="109" spans="1:4" ht="96" x14ac:dyDescent="0.2">
      <c r="A109">
        <v>108</v>
      </c>
      <c r="B109" t="s">
        <v>136</v>
      </c>
      <c r="C109" s="3" t="s">
        <v>151</v>
      </c>
      <c r="D109" s="2" t="s">
        <v>630</v>
      </c>
    </row>
    <row r="110" spans="1:4" ht="96" x14ac:dyDescent="0.2">
      <c r="A110">
        <v>109</v>
      </c>
      <c r="B110" t="s">
        <v>152</v>
      </c>
      <c r="C110" s="3" t="s">
        <v>153</v>
      </c>
      <c r="D110" s="2" t="s">
        <v>631</v>
      </c>
    </row>
    <row r="111" spans="1:4" ht="96" x14ac:dyDescent="0.2">
      <c r="A111">
        <v>110</v>
      </c>
      <c r="B111" t="s">
        <v>152</v>
      </c>
      <c r="C111" s="3" t="s">
        <v>155</v>
      </c>
      <c r="D111" s="2" t="s">
        <v>632</v>
      </c>
    </row>
    <row r="112" spans="1:4" ht="96" x14ac:dyDescent="0.2">
      <c r="A112">
        <v>111</v>
      </c>
      <c r="B112" t="s">
        <v>156</v>
      </c>
      <c r="C112" s="3" t="s">
        <v>157</v>
      </c>
      <c r="D112" s="2" t="s">
        <v>633</v>
      </c>
    </row>
    <row r="113" spans="1:4" ht="96" x14ac:dyDescent="0.2">
      <c r="A113">
        <v>112</v>
      </c>
      <c r="B113" t="s">
        <v>158</v>
      </c>
      <c r="C113" s="3" t="s">
        <v>159</v>
      </c>
      <c r="D113" s="2" t="s">
        <v>634</v>
      </c>
    </row>
    <row r="114" spans="1:4" ht="96" x14ac:dyDescent="0.2">
      <c r="A114">
        <v>113</v>
      </c>
      <c r="B114" t="s">
        <v>158</v>
      </c>
      <c r="C114" s="3" t="s">
        <v>160</v>
      </c>
      <c r="D114" s="2" t="s">
        <v>635</v>
      </c>
    </row>
    <row r="115" spans="1:4" ht="96" x14ac:dyDescent="0.2">
      <c r="A115">
        <v>114</v>
      </c>
      <c r="B115" t="s">
        <v>158</v>
      </c>
      <c r="C115" s="3" t="s">
        <v>161</v>
      </c>
      <c r="D115" s="2" t="s">
        <v>636</v>
      </c>
    </row>
    <row r="116" spans="1:4" ht="96" x14ac:dyDescent="0.2">
      <c r="A116">
        <v>115</v>
      </c>
      <c r="B116" t="s">
        <v>154</v>
      </c>
      <c r="C116" s="3" t="s">
        <v>162</v>
      </c>
      <c r="D116" s="2" t="s">
        <v>637</v>
      </c>
    </row>
    <row r="117" spans="1:4" ht="96" x14ac:dyDescent="0.2">
      <c r="A117">
        <v>116</v>
      </c>
      <c r="B117" t="s">
        <v>154</v>
      </c>
      <c r="C117" s="3" t="s">
        <v>163</v>
      </c>
      <c r="D117" s="2" t="s">
        <v>638</v>
      </c>
    </row>
    <row r="118" spans="1:4" ht="96" x14ac:dyDescent="0.2">
      <c r="A118">
        <v>117</v>
      </c>
      <c r="B118" t="s">
        <v>154</v>
      </c>
      <c r="C118" s="3" t="s">
        <v>164</v>
      </c>
      <c r="D118" s="2" t="s">
        <v>639</v>
      </c>
    </row>
    <row r="119" spans="1:4" ht="96" x14ac:dyDescent="0.2">
      <c r="A119">
        <v>118</v>
      </c>
      <c r="B119" t="s">
        <v>154</v>
      </c>
      <c r="C119" s="3" t="s">
        <v>165</v>
      </c>
      <c r="D119" s="2" t="s">
        <v>640</v>
      </c>
    </row>
    <row r="120" spans="1:4" ht="240" x14ac:dyDescent="0.2">
      <c r="A120">
        <v>119</v>
      </c>
      <c r="B120" t="s">
        <v>154</v>
      </c>
      <c r="C120" s="3" t="s">
        <v>166</v>
      </c>
      <c r="D120" s="2" t="s">
        <v>641</v>
      </c>
    </row>
    <row r="121" spans="1:4" ht="80" x14ac:dyDescent="0.2">
      <c r="A121">
        <v>120</v>
      </c>
      <c r="B121" t="s">
        <v>154</v>
      </c>
      <c r="C121" s="3" t="s">
        <v>140</v>
      </c>
      <c r="D121" s="2" t="s">
        <v>642</v>
      </c>
    </row>
    <row r="122" spans="1:4" ht="80" x14ac:dyDescent="0.2">
      <c r="A122">
        <v>121</v>
      </c>
      <c r="B122" t="s">
        <v>154</v>
      </c>
      <c r="C122" s="3" t="s">
        <v>169</v>
      </c>
      <c r="D122" s="2" t="s">
        <v>643</v>
      </c>
    </row>
    <row r="123" spans="1:4" ht="409.6" x14ac:dyDescent="0.2">
      <c r="A123">
        <v>122</v>
      </c>
      <c r="B123" t="s">
        <v>154</v>
      </c>
      <c r="C123" s="3" t="s">
        <v>170</v>
      </c>
      <c r="D123" s="2" t="s">
        <v>644</v>
      </c>
    </row>
    <row r="124" spans="1:4" ht="80" x14ac:dyDescent="0.2">
      <c r="A124">
        <v>123</v>
      </c>
      <c r="B124" t="s">
        <v>154</v>
      </c>
      <c r="C124" s="3" t="s">
        <v>99</v>
      </c>
      <c r="D124" s="2" t="s">
        <v>645</v>
      </c>
    </row>
    <row r="125" spans="1:4" ht="96" x14ac:dyDescent="0.2">
      <c r="A125">
        <v>124</v>
      </c>
      <c r="B125" t="s">
        <v>171</v>
      </c>
      <c r="C125" s="3" t="s">
        <v>59</v>
      </c>
      <c r="D125" s="2" t="s">
        <v>646</v>
      </c>
    </row>
    <row r="126" spans="1:4" ht="96" x14ac:dyDescent="0.2">
      <c r="A126">
        <v>125</v>
      </c>
      <c r="B126" t="s">
        <v>171</v>
      </c>
      <c r="C126" s="3" t="s">
        <v>173</v>
      </c>
      <c r="D126" s="2" t="s">
        <v>647</v>
      </c>
    </row>
    <row r="127" spans="1:4" ht="96" x14ac:dyDescent="0.2">
      <c r="A127">
        <v>126</v>
      </c>
      <c r="B127" t="s">
        <v>171</v>
      </c>
      <c r="C127" s="3" t="s">
        <v>174</v>
      </c>
      <c r="D127" s="2" t="s">
        <v>648</v>
      </c>
    </row>
    <row r="128" spans="1:4" ht="96" x14ac:dyDescent="0.2">
      <c r="A128">
        <v>127</v>
      </c>
      <c r="B128" t="s">
        <v>171</v>
      </c>
      <c r="C128" s="3" t="s">
        <v>175</v>
      </c>
      <c r="D128" s="2" t="s">
        <v>649</v>
      </c>
    </row>
    <row r="129" spans="1:4" ht="96" x14ac:dyDescent="0.2">
      <c r="A129">
        <v>128</v>
      </c>
      <c r="B129" t="s">
        <v>176</v>
      </c>
      <c r="C129" s="3" t="s">
        <v>177</v>
      </c>
      <c r="D129" s="2" t="s">
        <v>650</v>
      </c>
    </row>
    <row r="130" spans="1:4" ht="96" x14ac:dyDescent="0.2">
      <c r="A130">
        <v>129</v>
      </c>
      <c r="B130" t="s">
        <v>176</v>
      </c>
      <c r="C130" s="3" t="s">
        <v>178</v>
      </c>
      <c r="D130" s="2" t="s">
        <v>651</v>
      </c>
    </row>
    <row r="131" spans="1:4" ht="96" x14ac:dyDescent="0.2">
      <c r="A131">
        <v>130</v>
      </c>
      <c r="B131" t="s">
        <v>176</v>
      </c>
      <c r="C131" s="3" t="s">
        <v>179</v>
      </c>
      <c r="D131" s="2" t="s">
        <v>652</v>
      </c>
    </row>
    <row r="132" spans="1:4" ht="96" x14ac:dyDescent="0.2">
      <c r="A132">
        <v>131</v>
      </c>
      <c r="B132" t="s">
        <v>176</v>
      </c>
      <c r="C132" s="3" t="s">
        <v>180</v>
      </c>
      <c r="D132" s="2" t="s">
        <v>653</v>
      </c>
    </row>
    <row r="133" spans="1:4" ht="96" x14ac:dyDescent="0.2">
      <c r="A133">
        <v>132</v>
      </c>
      <c r="B133" t="s">
        <v>176</v>
      </c>
      <c r="C133" s="3" t="s">
        <v>181</v>
      </c>
      <c r="D133" s="2" t="s">
        <v>654</v>
      </c>
    </row>
    <row r="134" spans="1:4" ht="80" x14ac:dyDescent="0.2">
      <c r="A134">
        <v>133</v>
      </c>
      <c r="B134" t="s">
        <v>176</v>
      </c>
      <c r="C134" s="3" t="s">
        <v>182</v>
      </c>
      <c r="D134" s="2" t="s">
        <v>655</v>
      </c>
    </row>
    <row r="135" spans="1:4" ht="96" x14ac:dyDescent="0.2">
      <c r="A135">
        <v>134</v>
      </c>
      <c r="B135" t="s">
        <v>183</v>
      </c>
      <c r="C135" s="3" t="s">
        <v>184</v>
      </c>
      <c r="D135" s="2" t="s">
        <v>656</v>
      </c>
    </row>
    <row r="136" spans="1:4" ht="96" x14ac:dyDescent="0.2">
      <c r="A136">
        <v>135</v>
      </c>
      <c r="B136" t="s">
        <v>183</v>
      </c>
      <c r="C136" s="3" t="s">
        <v>185</v>
      </c>
      <c r="D136" s="2" t="s">
        <v>657</v>
      </c>
    </row>
    <row r="137" spans="1:4" ht="96" x14ac:dyDescent="0.2">
      <c r="A137">
        <v>136</v>
      </c>
      <c r="B137" t="s">
        <v>183</v>
      </c>
      <c r="C137" s="3" t="s">
        <v>186</v>
      </c>
      <c r="D137" s="2" t="s">
        <v>658</v>
      </c>
    </row>
    <row r="138" spans="1:4" ht="96" x14ac:dyDescent="0.2">
      <c r="A138">
        <v>137</v>
      </c>
      <c r="B138" t="s">
        <v>187</v>
      </c>
      <c r="C138" s="3" t="s">
        <v>188</v>
      </c>
      <c r="D138" s="2" t="s">
        <v>659</v>
      </c>
    </row>
    <row r="139" spans="1:4" ht="96" x14ac:dyDescent="0.2">
      <c r="A139">
        <v>138</v>
      </c>
      <c r="B139" t="s">
        <v>187</v>
      </c>
      <c r="C139" s="3" t="s">
        <v>189</v>
      </c>
      <c r="D139" s="2" t="s">
        <v>660</v>
      </c>
    </row>
    <row r="140" spans="1:4" ht="96" x14ac:dyDescent="0.2">
      <c r="A140">
        <v>139</v>
      </c>
      <c r="B140" t="s">
        <v>187</v>
      </c>
      <c r="C140" s="3" t="s">
        <v>190</v>
      </c>
      <c r="D140" s="2" t="s">
        <v>661</v>
      </c>
    </row>
    <row r="141" spans="1:4" ht="80" x14ac:dyDescent="0.2">
      <c r="A141">
        <v>140</v>
      </c>
      <c r="B141" t="s">
        <v>187</v>
      </c>
      <c r="C141" s="3" t="s">
        <v>191</v>
      </c>
      <c r="D141" s="2" t="s">
        <v>662</v>
      </c>
    </row>
    <row r="142" spans="1:4" ht="96" x14ac:dyDescent="0.2">
      <c r="A142">
        <v>141</v>
      </c>
      <c r="B142" t="s">
        <v>172</v>
      </c>
      <c r="C142" s="3" t="s">
        <v>192</v>
      </c>
      <c r="D142" s="2" t="s">
        <v>663</v>
      </c>
    </row>
    <row r="143" spans="1:4" ht="96" x14ac:dyDescent="0.2">
      <c r="A143">
        <v>142</v>
      </c>
      <c r="B143" t="s">
        <v>193</v>
      </c>
      <c r="C143" s="3" t="s">
        <v>194</v>
      </c>
      <c r="D143" s="2" t="s">
        <v>664</v>
      </c>
    </row>
    <row r="144" spans="1:4" ht="96" x14ac:dyDescent="0.2">
      <c r="A144">
        <v>143</v>
      </c>
      <c r="B144" t="s">
        <v>193</v>
      </c>
      <c r="C144" s="3" t="s">
        <v>196</v>
      </c>
      <c r="D144" s="2" t="s">
        <v>665</v>
      </c>
    </row>
    <row r="145" spans="1:4" ht="96" x14ac:dyDescent="0.2">
      <c r="A145">
        <v>144</v>
      </c>
      <c r="B145" t="s">
        <v>193</v>
      </c>
      <c r="C145" s="3" t="s">
        <v>197</v>
      </c>
      <c r="D145" s="2" t="s">
        <v>666</v>
      </c>
    </row>
    <row r="146" spans="1:4" ht="96" x14ac:dyDescent="0.2">
      <c r="A146">
        <v>145</v>
      </c>
      <c r="B146" t="s">
        <v>193</v>
      </c>
      <c r="C146" s="3" t="s">
        <v>198</v>
      </c>
      <c r="D146" s="2" t="s">
        <v>667</v>
      </c>
    </row>
    <row r="147" spans="1:4" ht="96" x14ac:dyDescent="0.2">
      <c r="A147">
        <v>146</v>
      </c>
      <c r="B147" t="s">
        <v>193</v>
      </c>
      <c r="C147" s="3" t="s">
        <v>199</v>
      </c>
      <c r="D147" s="2" t="s">
        <v>668</v>
      </c>
    </row>
    <row r="148" spans="1:4" ht="96" x14ac:dyDescent="0.2">
      <c r="A148">
        <v>147</v>
      </c>
      <c r="B148" t="s">
        <v>193</v>
      </c>
      <c r="C148" s="3" t="s">
        <v>200</v>
      </c>
      <c r="D148" s="2" t="s">
        <v>669</v>
      </c>
    </row>
    <row r="149" spans="1:4" ht="80" x14ac:dyDescent="0.2">
      <c r="A149">
        <v>148</v>
      </c>
      <c r="B149" t="s">
        <v>195</v>
      </c>
      <c r="C149" s="3" t="s">
        <v>670</v>
      </c>
      <c r="D149" s="2" t="s">
        <v>671</v>
      </c>
    </row>
    <row r="150" spans="1:4" ht="96" x14ac:dyDescent="0.2">
      <c r="A150">
        <v>149</v>
      </c>
      <c r="B150" t="s">
        <v>195</v>
      </c>
      <c r="C150" s="3" t="s">
        <v>201</v>
      </c>
      <c r="D150" s="2" t="s">
        <v>672</v>
      </c>
    </row>
    <row r="151" spans="1:4" ht="80" x14ac:dyDescent="0.2">
      <c r="A151">
        <v>150</v>
      </c>
      <c r="B151" t="s">
        <v>195</v>
      </c>
      <c r="C151" s="3" t="s">
        <v>203</v>
      </c>
      <c r="D151" s="2" t="s">
        <v>673</v>
      </c>
    </row>
    <row r="152" spans="1:4" ht="96" x14ac:dyDescent="0.2">
      <c r="A152">
        <v>151</v>
      </c>
      <c r="B152" t="s">
        <v>195</v>
      </c>
      <c r="C152" s="3" t="s">
        <v>204</v>
      </c>
      <c r="D152" s="2" t="s">
        <v>674</v>
      </c>
    </row>
    <row r="153" spans="1:4" ht="80" x14ac:dyDescent="0.2">
      <c r="A153">
        <v>152</v>
      </c>
      <c r="B153" t="s">
        <v>195</v>
      </c>
      <c r="C153" s="3" t="s">
        <v>206</v>
      </c>
      <c r="D153" s="2" t="s">
        <v>675</v>
      </c>
    </row>
    <row r="154" spans="1:4" ht="96" x14ac:dyDescent="0.2">
      <c r="A154">
        <v>153</v>
      </c>
      <c r="B154" t="s">
        <v>195</v>
      </c>
      <c r="C154" s="3" t="s">
        <v>207</v>
      </c>
      <c r="D154" s="2" t="s">
        <v>676</v>
      </c>
    </row>
    <row r="155" spans="1:4" ht="96" x14ac:dyDescent="0.2">
      <c r="A155">
        <v>154</v>
      </c>
      <c r="B155" t="s">
        <v>195</v>
      </c>
      <c r="C155" s="3" t="s">
        <v>208</v>
      </c>
      <c r="D155" s="2" t="s">
        <v>677</v>
      </c>
    </row>
    <row r="156" spans="1:4" ht="96" x14ac:dyDescent="0.2">
      <c r="A156">
        <v>155</v>
      </c>
      <c r="B156" t="s">
        <v>195</v>
      </c>
      <c r="C156" s="3" t="s">
        <v>209</v>
      </c>
      <c r="D156" s="2" t="s">
        <v>678</v>
      </c>
    </row>
    <row r="157" spans="1:4" ht="80" x14ac:dyDescent="0.2">
      <c r="A157">
        <v>156</v>
      </c>
      <c r="B157" t="s">
        <v>195</v>
      </c>
      <c r="C157" s="3" t="s">
        <v>210</v>
      </c>
      <c r="D157" s="2" t="s">
        <v>679</v>
      </c>
    </row>
    <row r="158" spans="1:4" ht="112" x14ac:dyDescent="0.2">
      <c r="A158">
        <v>157</v>
      </c>
      <c r="B158" t="s">
        <v>211</v>
      </c>
      <c r="C158" s="3" t="s">
        <v>212</v>
      </c>
      <c r="D158" s="2" t="s">
        <v>680</v>
      </c>
    </row>
    <row r="159" spans="1:4" ht="112" x14ac:dyDescent="0.2">
      <c r="A159">
        <v>158</v>
      </c>
      <c r="B159" t="s">
        <v>211</v>
      </c>
      <c r="C159" s="3" t="s">
        <v>214</v>
      </c>
      <c r="D159" s="2" t="s">
        <v>681</v>
      </c>
    </row>
    <row r="160" spans="1:4" ht="112" x14ac:dyDescent="0.2">
      <c r="A160">
        <v>159</v>
      </c>
      <c r="B160" t="s">
        <v>211</v>
      </c>
      <c r="C160" s="3" t="s">
        <v>215</v>
      </c>
      <c r="D160" s="2" t="s">
        <v>682</v>
      </c>
    </row>
    <row r="161" spans="1:4" ht="96" x14ac:dyDescent="0.2">
      <c r="A161">
        <v>160</v>
      </c>
      <c r="B161" t="s">
        <v>211</v>
      </c>
      <c r="C161" s="3" t="s">
        <v>217</v>
      </c>
      <c r="D161" s="2" t="s">
        <v>683</v>
      </c>
    </row>
    <row r="162" spans="1:4" ht="96" x14ac:dyDescent="0.2">
      <c r="A162">
        <v>161</v>
      </c>
      <c r="B162" t="s">
        <v>211</v>
      </c>
      <c r="C162" s="3" t="s">
        <v>218</v>
      </c>
      <c r="D162" s="2" t="s">
        <v>684</v>
      </c>
    </row>
    <row r="163" spans="1:4" ht="80" x14ac:dyDescent="0.2">
      <c r="A163">
        <v>162</v>
      </c>
      <c r="B163" t="s">
        <v>211</v>
      </c>
      <c r="C163" s="3" t="s">
        <v>100</v>
      </c>
      <c r="D163" s="2" t="s">
        <v>685</v>
      </c>
    </row>
    <row r="164" spans="1:4" ht="96" x14ac:dyDescent="0.2">
      <c r="A164">
        <v>163</v>
      </c>
      <c r="B164" t="s">
        <v>211</v>
      </c>
      <c r="C164" s="3" t="s">
        <v>219</v>
      </c>
      <c r="D164" s="2" t="s">
        <v>686</v>
      </c>
    </row>
    <row r="165" spans="1:4" ht="96" x14ac:dyDescent="0.2">
      <c r="A165">
        <v>164</v>
      </c>
      <c r="B165" t="s">
        <v>211</v>
      </c>
      <c r="C165" s="3" t="s">
        <v>220</v>
      </c>
      <c r="D165" s="2" t="s">
        <v>687</v>
      </c>
    </row>
    <row r="166" spans="1:4" ht="96" x14ac:dyDescent="0.2">
      <c r="A166">
        <v>165</v>
      </c>
      <c r="B166" t="s">
        <v>213</v>
      </c>
      <c r="C166" s="3" t="s">
        <v>221</v>
      </c>
      <c r="D166" s="2" t="s">
        <v>688</v>
      </c>
    </row>
    <row r="167" spans="1:4" ht="96" x14ac:dyDescent="0.2">
      <c r="A167">
        <v>166</v>
      </c>
      <c r="B167" t="s">
        <v>213</v>
      </c>
      <c r="C167" s="3" t="s">
        <v>222</v>
      </c>
      <c r="D167" s="2" t="s">
        <v>689</v>
      </c>
    </row>
    <row r="168" spans="1:4" ht="96" x14ac:dyDescent="0.2">
      <c r="A168">
        <v>167</v>
      </c>
      <c r="B168" t="s">
        <v>213</v>
      </c>
      <c r="C168" s="3" t="s">
        <v>223</v>
      </c>
      <c r="D168" s="2" t="s">
        <v>690</v>
      </c>
    </row>
    <row r="169" spans="1:4" ht="96" x14ac:dyDescent="0.2">
      <c r="A169">
        <v>168</v>
      </c>
      <c r="B169" t="s">
        <v>224</v>
      </c>
      <c r="C169" s="3" t="s">
        <v>225</v>
      </c>
      <c r="D169" s="2" t="s">
        <v>691</v>
      </c>
    </row>
    <row r="170" spans="1:4" ht="96" x14ac:dyDescent="0.2">
      <c r="A170">
        <v>169</v>
      </c>
      <c r="B170" t="s">
        <v>224</v>
      </c>
      <c r="C170" s="3" t="s">
        <v>226</v>
      </c>
      <c r="D170" s="2" t="s">
        <v>692</v>
      </c>
    </row>
    <row r="171" spans="1:4" ht="160" x14ac:dyDescent="0.2">
      <c r="A171">
        <v>170</v>
      </c>
      <c r="B171" t="s">
        <v>224</v>
      </c>
      <c r="C171" s="3" t="s">
        <v>227</v>
      </c>
      <c r="D171" s="2" t="s">
        <v>693</v>
      </c>
    </row>
    <row r="172" spans="1:4" ht="96" x14ac:dyDescent="0.2">
      <c r="A172">
        <v>171</v>
      </c>
      <c r="B172" t="s">
        <v>228</v>
      </c>
      <c r="C172" s="3" t="s">
        <v>229</v>
      </c>
      <c r="D172" s="2" t="s">
        <v>694</v>
      </c>
    </row>
    <row r="173" spans="1:4" ht="96" x14ac:dyDescent="0.2">
      <c r="A173">
        <v>172</v>
      </c>
      <c r="B173" t="s">
        <v>230</v>
      </c>
      <c r="C173" s="3" t="s">
        <v>231</v>
      </c>
      <c r="D173" s="2" t="s">
        <v>695</v>
      </c>
    </row>
    <row r="174" spans="1:4" ht="160" x14ac:dyDescent="0.2">
      <c r="A174">
        <v>173</v>
      </c>
      <c r="B174" t="s">
        <v>230</v>
      </c>
      <c r="C174" s="3" t="s">
        <v>232</v>
      </c>
      <c r="D174" s="2" t="s">
        <v>696</v>
      </c>
    </row>
    <row r="175" spans="1:4" ht="96" x14ac:dyDescent="0.2">
      <c r="A175">
        <v>174</v>
      </c>
      <c r="B175" t="s">
        <v>230</v>
      </c>
      <c r="C175" s="3" t="s">
        <v>233</v>
      </c>
      <c r="D175" s="2" t="s">
        <v>697</v>
      </c>
    </row>
    <row r="176" spans="1:4" ht="96" x14ac:dyDescent="0.2">
      <c r="A176">
        <v>175</v>
      </c>
      <c r="B176" t="s">
        <v>230</v>
      </c>
      <c r="C176" s="3" t="s">
        <v>235</v>
      </c>
      <c r="D176" s="2" t="s">
        <v>698</v>
      </c>
    </row>
    <row r="177" spans="1:4" ht="96" x14ac:dyDescent="0.2">
      <c r="A177">
        <v>176</v>
      </c>
      <c r="B177" t="s">
        <v>230</v>
      </c>
      <c r="C177" s="3" t="s">
        <v>236</v>
      </c>
      <c r="D177" s="2" t="s">
        <v>699</v>
      </c>
    </row>
    <row r="178" spans="1:4" ht="96" x14ac:dyDescent="0.2">
      <c r="A178">
        <v>177</v>
      </c>
      <c r="B178" t="s">
        <v>237</v>
      </c>
      <c r="C178" s="3" t="s">
        <v>238</v>
      </c>
      <c r="D178" s="2" t="s">
        <v>700</v>
      </c>
    </row>
    <row r="179" spans="1:4" ht="80" x14ac:dyDescent="0.2">
      <c r="A179">
        <v>178</v>
      </c>
      <c r="B179" t="s">
        <v>234</v>
      </c>
      <c r="C179" s="3" t="s">
        <v>240</v>
      </c>
      <c r="D179" s="2" t="s">
        <v>701</v>
      </c>
    </row>
    <row r="180" spans="1:4" ht="96" x14ac:dyDescent="0.2">
      <c r="A180">
        <v>179</v>
      </c>
      <c r="B180" t="s">
        <v>239</v>
      </c>
      <c r="C180" s="3" t="s">
        <v>241</v>
      </c>
      <c r="D180" s="2" t="s">
        <v>702</v>
      </c>
    </row>
    <row r="181" spans="1:4" ht="96" x14ac:dyDescent="0.2">
      <c r="A181">
        <v>180</v>
      </c>
      <c r="B181" t="s">
        <v>239</v>
      </c>
      <c r="C181" s="3" t="s">
        <v>242</v>
      </c>
      <c r="D181" s="2" t="s">
        <v>703</v>
      </c>
    </row>
    <row r="182" spans="1:4" ht="96" x14ac:dyDescent="0.2">
      <c r="A182">
        <v>181</v>
      </c>
      <c r="B182" t="s">
        <v>239</v>
      </c>
      <c r="C182" s="3" t="s">
        <v>243</v>
      </c>
      <c r="D182" s="2" t="s">
        <v>704</v>
      </c>
    </row>
    <row r="183" spans="1:4" ht="80" x14ac:dyDescent="0.2">
      <c r="A183">
        <v>182</v>
      </c>
      <c r="B183" t="s">
        <v>239</v>
      </c>
      <c r="C183" s="3" t="s">
        <v>227</v>
      </c>
      <c r="D183" s="2" t="s">
        <v>705</v>
      </c>
    </row>
    <row r="184" spans="1:4" ht="96" x14ac:dyDescent="0.2">
      <c r="A184">
        <v>183</v>
      </c>
      <c r="B184" t="s">
        <v>244</v>
      </c>
      <c r="C184" s="3" t="s">
        <v>245</v>
      </c>
      <c r="D184" s="2" t="s">
        <v>706</v>
      </c>
    </row>
    <row r="185" spans="1:4" ht="96" x14ac:dyDescent="0.2">
      <c r="A185">
        <v>184</v>
      </c>
      <c r="B185" t="s">
        <v>246</v>
      </c>
      <c r="C185" s="3" t="s">
        <v>247</v>
      </c>
      <c r="D185" s="2" t="s">
        <v>707</v>
      </c>
    </row>
    <row r="186" spans="1:4" ht="96" x14ac:dyDescent="0.2">
      <c r="A186">
        <v>185</v>
      </c>
      <c r="B186" t="s">
        <v>249</v>
      </c>
      <c r="C186" s="3" t="s">
        <v>250</v>
      </c>
      <c r="D186" s="2" t="s">
        <v>708</v>
      </c>
    </row>
    <row r="187" spans="1:4" ht="96" x14ac:dyDescent="0.2">
      <c r="A187">
        <v>186</v>
      </c>
      <c r="B187" t="s">
        <v>249</v>
      </c>
      <c r="C187" s="3" t="s">
        <v>251</v>
      </c>
      <c r="D187" s="2" t="s">
        <v>709</v>
      </c>
    </row>
    <row r="188" spans="1:4" ht="96" x14ac:dyDescent="0.2">
      <c r="A188">
        <v>187</v>
      </c>
      <c r="B188" t="s">
        <v>249</v>
      </c>
      <c r="C188" s="3" t="s">
        <v>252</v>
      </c>
      <c r="D188" s="2" t="s">
        <v>710</v>
      </c>
    </row>
    <row r="189" spans="1:4" ht="96" x14ac:dyDescent="0.2">
      <c r="A189">
        <v>188</v>
      </c>
      <c r="B189" t="s">
        <v>248</v>
      </c>
      <c r="C189" s="3" t="s">
        <v>253</v>
      </c>
      <c r="D189" s="2" t="s">
        <v>711</v>
      </c>
    </row>
    <row r="190" spans="1:4" ht="96" x14ac:dyDescent="0.2">
      <c r="A190">
        <v>189</v>
      </c>
      <c r="B190" t="s">
        <v>248</v>
      </c>
      <c r="C190" s="3" t="s">
        <v>254</v>
      </c>
      <c r="D190" s="2" t="s">
        <v>712</v>
      </c>
    </row>
    <row r="191" spans="1:4" ht="96" x14ac:dyDescent="0.2">
      <c r="A191">
        <v>190</v>
      </c>
      <c r="B191" t="s">
        <v>248</v>
      </c>
      <c r="C191" s="3" t="s">
        <v>255</v>
      </c>
      <c r="D191" s="2" t="s">
        <v>713</v>
      </c>
    </row>
    <row r="192" spans="1:4" ht="96" x14ac:dyDescent="0.2">
      <c r="A192">
        <v>191</v>
      </c>
      <c r="B192" t="s">
        <v>248</v>
      </c>
      <c r="C192" s="3" t="s">
        <v>256</v>
      </c>
      <c r="D192" s="2" t="s">
        <v>714</v>
      </c>
    </row>
    <row r="193" spans="1:4" ht="96" x14ac:dyDescent="0.2">
      <c r="A193">
        <v>192</v>
      </c>
      <c r="B193" t="s">
        <v>257</v>
      </c>
      <c r="C193" s="3" t="s">
        <v>258</v>
      </c>
      <c r="D193" s="2" t="s">
        <v>715</v>
      </c>
    </row>
    <row r="194" spans="1:4" ht="80" x14ac:dyDescent="0.2">
      <c r="A194">
        <v>193</v>
      </c>
      <c r="B194" t="s">
        <v>257</v>
      </c>
      <c r="C194" s="3" t="s">
        <v>169</v>
      </c>
      <c r="D194" s="2" t="s">
        <v>716</v>
      </c>
    </row>
    <row r="195" spans="1:4" ht="112" x14ac:dyDescent="0.2">
      <c r="A195">
        <v>194</v>
      </c>
      <c r="B195" t="s">
        <v>257</v>
      </c>
      <c r="C195" s="3" t="s">
        <v>259</v>
      </c>
      <c r="D195" s="2" t="s">
        <v>717</v>
      </c>
    </row>
    <row r="196" spans="1:4" ht="96" x14ac:dyDescent="0.2">
      <c r="A196">
        <v>195</v>
      </c>
      <c r="B196" t="s">
        <v>257</v>
      </c>
      <c r="C196" s="3" t="s">
        <v>260</v>
      </c>
      <c r="D196" s="2" t="s">
        <v>718</v>
      </c>
    </row>
    <row r="197" spans="1:4" ht="64" x14ac:dyDescent="0.2">
      <c r="A197">
        <v>196</v>
      </c>
      <c r="B197" t="s">
        <v>257</v>
      </c>
      <c r="C197" s="3" t="s">
        <v>719</v>
      </c>
      <c r="D197" s="2" t="s">
        <v>720</v>
      </c>
    </row>
    <row r="198" spans="1:4" ht="112" x14ac:dyDescent="0.2">
      <c r="A198">
        <v>197</v>
      </c>
      <c r="B198" t="s">
        <v>261</v>
      </c>
      <c r="C198" s="3" t="s">
        <v>262</v>
      </c>
      <c r="D198" s="2" t="s">
        <v>721</v>
      </c>
    </row>
    <row r="199" spans="1:4" ht="192" x14ac:dyDescent="0.2">
      <c r="A199">
        <v>198</v>
      </c>
      <c r="B199" t="s">
        <v>261</v>
      </c>
      <c r="C199" s="3" t="s">
        <v>263</v>
      </c>
      <c r="D199" s="2" t="s">
        <v>722</v>
      </c>
    </row>
    <row r="200" spans="1:4" ht="96" x14ac:dyDescent="0.2">
      <c r="A200">
        <v>199</v>
      </c>
      <c r="B200" t="s">
        <v>261</v>
      </c>
      <c r="C200" s="3" t="s">
        <v>267</v>
      </c>
      <c r="D200" s="2" t="s">
        <v>723</v>
      </c>
    </row>
    <row r="201" spans="1:4" ht="112" x14ac:dyDescent="0.2">
      <c r="A201">
        <v>200</v>
      </c>
      <c r="B201" t="s">
        <v>261</v>
      </c>
      <c r="C201" s="3" t="s">
        <v>268</v>
      </c>
      <c r="D201" s="2" t="s">
        <v>724</v>
      </c>
    </row>
    <row r="202" spans="1:4" ht="80" x14ac:dyDescent="0.2">
      <c r="A202">
        <v>201</v>
      </c>
      <c r="B202" t="s">
        <v>265</v>
      </c>
      <c r="C202" s="3" t="s">
        <v>269</v>
      </c>
      <c r="D202" s="2" t="s">
        <v>725</v>
      </c>
    </row>
    <row r="203" spans="1:4" ht="160" x14ac:dyDescent="0.2">
      <c r="A203">
        <v>202</v>
      </c>
      <c r="B203" t="s">
        <v>265</v>
      </c>
      <c r="C203" s="3" t="s">
        <v>270</v>
      </c>
      <c r="D203" s="2" t="s">
        <v>726</v>
      </c>
    </row>
    <row r="204" spans="1:4" ht="80" x14ac:dyDescent="0.2">
      <c r="A204">
        <v>203</v>
      </c>
      <c r="B204" t="s">
        <v>265</v>
      </c>
      <c r="C204" s="3" t="s">
        <v>271</v>
      </c>
      <c r="D204" s="2" t="s">
        <v>727</v>
      </c>
    </row>
    <row r="205" spans="1:4" ht="96" x14ac:dyDescent="0.2">
      <c r="A205">
        <v>204</v>
      </c>
      <c r="B205" t="s">
        <v>272</v>
      </c>
      <c r="C205" s="3" t="s">
        <v>273</v>
      </c>
      <c r="D205" s="2" t="s">
        <v>728</v>
      </c>
    </row>
    <row r="206" spans="1:4" ht="80" x14ac:dyDescent="0.2">
      <c r="A206">
        <v>205</v>
      </c>
      <c r="B206" t="s">
        <v>205</v>
      </c>
      <c r="C206" s="3" t="s">
        <v>166</v>
      </c>
      <c r="D206" s="2" t="s">
        <v>729</v>
      </c>
    </row>
    <row r="207" spans="1:4" ht="96" x14ac:dyDescent="0.2">
      <c r="A207">
        <v>206</v>
      </c>
      <c r="B207" t="s">
        <v>205</v>
      </c>
      <c r="C207" s="3" t="s">
        <v>275</v>
      </c>
      <c r="D207" s="2" t="s">
        <v>730</v>
      </c>
    </row>
    <row r="208" spans="1:4" ht="80" x14ac:dyDescent="0.2">
      <c r="A208">
        <v>207</v>
      </c>
      <c r="B208" t="s">
        <v>276</v>
      </c>
      <c r="C208" s="3" t="s">
        <v>277</v>
      </c>
      <c r="D208" s="2" t="s">
        <v>731</v>
      </c>
    </row>
    <row r="209" spans="1:4" ht="80" x14ac:dyDescent="0.2">
      <c r="A209">
        <v>208</v>
      </c>
      <c r="B209" t="s">
        <v>276</v>
      </c>
      <c r="C209" s="3" t="s">
        <v>85</v>
      </c>
      <c r="D209" s="2" t="s">
        <v>732</v>
      </c>
    </row>
    <row r="210" spans="1:4" ht="96" x14ac:dyDescent="0.2">
      <c r="A210">
        <v>209</v>
      </c>
      <c r="B210" t="s">
        <v>278</v>
      </c>
      <c r="C210" s="3" t="s">
        <v>279</v>
      </c>
      <c r="D210" s="2" t="s">
        <v>733</v>
      </c>
    </row>
    <row r="211" spans="1:4" ht="96" x14ac:dyDescent="0.2">
      <c r="A211">
        <v>210</v>
      </c>
      <c r="B211" t="s">
        <v>278</v>
      </c>
      <c r="C211" s="3" t="s">
        <v>281</v>
      </c>
      <c r="D211" s="2" t="s">
        <v>734</v>
      </c>
    </row>
    <row r="212" spans="1:4" ht="96" x14ac:dyDescent="0.2">
      <c r="A212">
        <v>211</v>
      </c>
      <c r="B212" t="s">
        <v>278</v>
      </c>
      <c r="C212" s="3" t="s">
        <v>282</v>
      </c>
      <c r="D212" s="2" t="s">
        <v>735</v>
      </c>
    </row>
    <row r="213" spans="1:4" ht="80" x14ac:dyDescent="0.2">
      <c r="A213">
        <v>212</v>
      </c>
      <c r="B213" t="s">
        <v>280</v>
      </c>
      <c r="C213" s="3" t="s">
        <v>269</v>
      </c>
      <c r="D213" s="2" t="s">
        <v>736</v>
      </c>
    </row>
    <row r="214" spans="1:4" ht="80" x14ac:dyDescent="0.2">
      <c r="A214">
        <v>213</v>
      </c>
      <c r="B214" t="s">
        <v>280</v>
      </c>
      <c r="C214" s="3" t="s">
        <v>79</v>
      </c>
      <c r="D214" s="2" t="s">
        <v>737</v>
      </c>
    </row>
    <row r="215" spans="1:4" ht="160" x14ac:dyDescent="0.2">
      <c r="A215">
        <v>214</v>
      </c>
      <c r="B215" t="s">
        <v>738</v>
      </c>
      <c r="C215" s="3" t="s">
        <v>739</v>
      </c>
      <c r="D215" s="2" t="s">
        <v>740</v>
      </c>
    </row>
    <row r="216" spans="1:4" ht="80" x14ac:dyDescent="0.2">
      <c r="A216">
        <v>215</v>
      </c>
      <c r="B216" t="s">
        <v>283</v>
      </c>
      <c r="C216" s="3" t="s">
        <v>284</v>
      </c>
      <c r="D216" s="2" t="s">
        <v>741</v>
      </c>
    </row>
    <row r="217" spans="1:4" ht="80" x14ac:dyDescent="0.2">
      <c r="A217">
        <v>216</v>
      </c>
      <c r="B217" t="s">
        <v>283</v>
      </c>
      <c r="C217" s="3" t="s">
        <v>133</v>
      </c>
      <c r="D217" s="2" t="s">
        <v>742</v>
      </c>
    </row>
    <row r="218" spans="1:4" ht="112" x14ac:dyDescent="0.2">
      <c r="A218">
        <v>217</v>
      </c>
      <c r="B218" t="s">
        <v>283</v>
      </c>
      <c r="C218" s="3" t="s">
        <v>285</v>
      </c>
      <c r="D218" s="2" t="s">
        <v>743</v>
      </c>
    </row>
    <row r="219" spans="1:4" ht="80" x14ac:dyDescent="0.2">
      <c r="A219">
        <v>218</v>
      </c>
      <c r="B219" t="s">
        <v>286</v>
      </c>
      <c r="C219" s="3" t="s">
        <v>269</v>
      </c>
      <c r="D219" s="2" t="s">
        <v>744</v>
      </c>
    </row>
    <row r="220" spans="1:4" ht="96" x14ac:dyDescent="0.2">
      <c r="A220">
        <v>219</v>
      </c>
      <c r="B220" t="s">
        <v>286</v>
      </c>
      <c r="C220" s="3" t="s">
        <v>287</v>
      </c>
      <c r="D220" s="2" t="s">
        <v>745</v>
      </c>
    </row>
    <row r="221" spans="1:4" ht="80" x14ac:dyDescent="0.2">
      <c r="A221">
        <v>220</v>
      </c>
      <c r="B221" t="s">
        <v>288</v>
      </c>
      <c r="C221" s="3" t="s">
        <v>289</v>
      </c>
      <c r="D221" s="2" t="s">
        <v>746</v>
      </c>
    </row>
    <row r="222" spans="1:4" ht="80" x14ac:dyDescent="0.2">
      <c r="A222">
        <v>221</v>
      </c>
      <c r="B222" t="s">
        <v>290</v>
      </c>
      <c r="C222" s="3" t="s">
        <v>291</v>
      </c>
      <c r="D222" s="2" t="s">
        <v>747</v>
      </c>
    </row>
    <row r="223" spans="1:4" ht="80" x14ac:dyDescent="0.2">
      <c r="A223">
        <v>222</v>
      </c>
      <c r="B223" t="s">
        <v>290</v>
      </c>
      <c r="C223" s="3" t="s">
        <v>292</v>
      </c>
      <c r="D223" s="2" t="s">
        <v>748</v>
      </c>
    </row>
    <row r="224" spans="1:4" ht="64" x14ac:dyDescent="0.2">
      <c r="A224">
        <v>223</v>
      </c>
      <c r="B224" t="s">
        <v>293</v>
      </c>
      <c r="C224" s="3" t="s">
        <v>294</v>
      </c>
      <c r="D224" s="2" t="s">
        <v>749</v>
      </c>
    </row>
    <row r="225" spans="1:4" ht="96" x14ac:dyDescent="0.2">
      <c r="A225">
        <v>224</v>
      </c>
      <c r="B225" t="s">
        <v>295</v>
      </c>
      <c r="C225" s="3" t="s">
        <v>296</v>
      </c>
      <c r="D225" s="2" t="s">
        <v>750</v>
      </c>
    </row>
    <row r="226" spans="1:4" ht="80" x14ac:dyDescent="0.2">
      <c r="A226">
        <v>225</v>
      </c>
      <c r="B226" t="s">
        <v>295</v>
      </c>
      <c r="C226" s="3" t="s">
        <v>297</v>
      </c>
      <c r="D226" s="2" t="s">
        <v>751</v>
      </c>
    </row>
    <row r="227" spans="1:4" ht="80" x14ac:dyDescent="0.2">
      <c r="A227">
        <v>226</v>
      </c>
      <c r="B227" t="s">
        <v>295</v>
      </c>
      <c r="C227" s="3" t="s">
        <v>298</v>
      </c>
      <c r="D227" s="2" t="s">
        <v>752</v>
      </c>
    </row>
    <row r="228" spans="1:4" ht="80" x14ac:dyDescent="0.2">
      <c r="A228">
        <v>227</v>
      </c>
      <c r="B228" t="s">
        <v>295</v>
      </c>
      <c r="C228" s="3" t="s">
        <v>299</v>
      </c>
      <c r="D228" s="2" t="s">
        <v>753</v>
      </c>
    </row>
    <row r="229" spans="1:4" ht="80" x14ac:dyDescent="0.2">
      <c r="A229">
        <v>228</v>
      </c>
      <c r="B229" t="s">
        <v>300</v>
      </c>
      <c r="C229" s="3" t="s">
        <v>301</v>
      </c>
      <c r="D229" s="2" t="s">
        <v>754</v>
      </c>
    </row>
    <row r="230" spans="1:4" ht="80" x14ac:dyDescent="0.2">
      <c r="A230">
        <v>229</v>
      </c>
      <c r="B230" t="s">
        <v>300</v>
      </c>
      <c r="C230" s="3" t="s">
        <v>302</v>
      </c>
      <c r="D230" s="2" t="s">
        <v>755</v>
      </c>
    </row>
    <row r="231" spans="1:4" ht="112" x14ac:dyDescent="0.2">
      <c r="A231">
        <v>230</v>
      </c>
      <c r="B231" t="s">
        <v>303</v>
      </c>
      <c r="C231" s="3" t="s">
        <v>304</v>
      </c>
      <c r="D231" s="2" t="s">
        <v>756</v>
      </c>
    </row>
    <row r="232" spans="1:4" ht="112" x14ac:dyDescent="0.2">
      <c r="A232">
        <v>231</v>
      </c>
      <c r="B232" t="s">
        <v>303</v>
      </c>
      <c r="C232" s="3" t="s">
        <v>306</v>
      </c>
      <c r="D232" s="2" t="s">
        <v>757</v>
      </c>
    </row>
    <row r="233" spans="1:4" ht="96" x14ac:dyDescent="0.2">
      <c r="A233">
        <v>232</v>
      </c>
      <c r="B233" t="s">
        <v>305</v>
      </c>
      <c r="C233" s="3" t="s">
        <v>307</v>
      </c>
      <c r="D233" s="2" t="s">
        <v>758</v>
      </c>
    </row>
    <row r="234" spans="1:4" ht="96" x14ac:dyDescent="0.2">
      <c r="A234">
        <v>233</v>
      </c>
      <c r="B234" t="s">
        <v>305</v>
      </c>
      <c r="C234" s="3" t="s">
        <v>308</v>
      </c>
      <c r="D234" s="2" t="s">
        <v>759</v>
      </c>
    </row>
    <row r="235" spans="1:4" ht="96" x14ac:dyDescent="0.2">
      <c r="A235">
        <v>234</v>
      </c>
      <c r="B235" t="s">
        <v>305</v>
      </c>
      <c r="C235" s="3" t="s">
        <v>310</v>
      </c>
      <c r="D235" s="2" t="s">
        <v>760</v>
      </c>
    </row>
    <row r="236" spans="1:4" ht="96" x14ac:dyDescent="0.2">
      <c r="A236">
        <v>235</v>
      </c>
      <c r="B236" t="s">
        <v>305</v>
      </c>
      <c r="C236" s="3" t="s">
        <v>311</v>
      </c>
      <c r="D236" s="2" t="s">
        <v>761</v>
      </c>
    </row>
    <row r="237" spans="1:4" ht="80" x14ac:dyDescent="0.2">
      <c r="A237">
        <v>236</v>
      </c>
      <c r="B237" t="s">
        <v>305</v>
      </c>
      <c r="C237" s="3" t="s">
        <v>289</v>
      </c>
      <c r="D237" s="2" t="s">
        <v>762</v>
      </c>
    </row>
    <row r="238" spans="1:4" ht="80" x14ac:dyDescent="0.2">
      <c r="A238">
        <v>237</v>
      </c>
      <c r="B238" t="s">
        <v>305</v>
      </c>
      <c r="C238" s="3" t="s">
        <v>263</v>
      </c>
      <c r="D238" s="2" t="s">
        <v>763</v>
      </c>
    </row>
    <row r="239" spans="1:4" ht="96" x14ac:dyDescent="0.2">
      <c r="A239">
        <v>238</v>
      </c>
      <c r="B239" t="s">
        <v>312</v>
      </c>
      <c r="C239" s="3" t="s">
        <v>313</v>
      </c>
      <c r="D239" s="2" t="s">
        <v>764</v>
      </c>
    </row>
    <row r="240" spans="1:4" ht="96" x14ac:dyDescent="0.2">
      <c r="A240">
        <v>239</v>
      </c>
      <c r="B240" t="s">
        <v>312</v>
      </c>
      <c r="C240" s="3" t="s">
        <v>314</v>
      </c>
      <c r="D240" s="2" t="s">
        <v>765</v>
      </c>
    </row>
    <row r="241" spans="1:4" ht="80" x14ac:dyDescent="0.2">
      <c r="A241">
        <v>240</v>
      </c>
      <c r="B241" t="s">
        <v>312</v>
      </c>
      <c r="C241" s="3" t="s">
        <v>315</v>
      </c>
      <c r="D241" s="2" t="s">
        <v>766</v>
      </c>
    </row>
    <row r="242" spans="1:4" ht="80" x14ac:dyDescent="0.2">
      <c r="A242">
        <v>241</v>
      </c>
      <c r="B242" t="s">
        <v>312</v>
      </c>
      <c r="C242" s="3" t="s">
        <v>316</v>
      </c>
      <c r="D242" s="2" t="s">
        <v>767</v>
      </c>
    </row>
    <row r="243" spans="1:4" ht="96" x14ac:dyDescent="0.2">
      <c r="A243">
        <v>242</v>
      </c>
      <c r="B243" t="s">
        <v>317</v>
      </c>
      <c r="C243" s="3" t="s">
        <v>318</v>
      </c>
      <c r="D243" s="2" t="s">
        <v>768</v>
      </c>
    </row>
    <row r="244" spans="1:4" ht="80" x14ac:dyDescent="0.2">
      <c r="A244">
        <v>243</v>
      </c>
      <c r="B244" t="s">
        <v>317</v>
      </c>
      <c r="C244" s="3" t="s">
        <v>319</v>
      </c>
      <c r="D244" s="2" t="s">
        <v>769</v>
      </c>
    </row>
    <row r="245" spans="1:4" ht="160" x14ac:dyDescent="0.2">
      <c r="A245">
        <v>244</v>
      </c>
      <c r="B245" t="s">
        <v>317</v>
      </c>
      <c r="C245" s="3" t="s">
        <v>99</v>
      </c>
      <c r="D245" s="2" t="s">
        <v>770</v>
      </c>
    </row>
    <row r="246" spans="1:4" ht="80" x14ac:dyDescent="0.2">
      <c r="A246">
        <v>245</v>
      </c>
      <c r="B246" t="s">
        <v>317</v>
      </c>
      <c r="C246" s="3" t="s">
        <v>320</v>
      </c>
      <c r="D246" s="2" t="s">
        <v>771</v>
      </c>
    </row>
    <row r="247" spans="1:4" ht="112" x14ac:dyDescent="0.2">
      <c r="A247">
        <v>246</v>
      </c>
      <c r="B247" t="s">
        <v>317</v>
      </c>
      <c r="C247" s="3" t="s">
        <v>285</v>
      </c>
      <c r="D247" s="2" t="s">
        <v>772</v>
      </c>
    </row>
    <row r="248" spans="1:4" ht="96" x14ac:dyDescent="0.2">
      <c r="A248">
        <v>247</v>
      </c>
      <c r="B248" t="s">
        <v>321</v>
      </c>
      <c r="C248" s="3" t="s">
        <v>322</v>
      </c>
      <c r="D248" s="2" t="s">
        <v>773</v>
      </c>
    </row>
    <row r="249" spans="1:4" ht="96" x14ac:dyDescent="0.2">
      <c r="A249">
        <v>248</v>
      </c>
      <c r="B249" t="s">
        <v>323</v>
      </c>
      <c r="C249" s="3" t="s">
        <v>324</v>
      </c>
      <c r="D249" s="2" t="s">
        <v>774</v>
      </c>
    </row>
    <row r="250" spans="1:4" ht="96" x14ac:dyDescent="0.2">
      <c r="A250">
        <v>249</v>
      </c>
      <c r="B250" t="s">
        <v>323</v>
      </c>
      <c r="C250" s="3" t="s">
        <v>325</v>
      </c>
      <c r="D250" s="2" t="s">
        <v>775</v>
      </c>
    </row>
    <row r="251" spans="1:4" ht="80" x14ac:dyDescent="0.2">
      <c r="A251">
        <v>250</v>
      </c>
      <c r="B251" t="s">
        <v>323</v>
      </c>
      <c r="C251" s="3" t="s">
        <v>326</v>
      </c>
      <c r="D251" s="2" t="s">
        <v>776</v>
      </c>
    </row>
    <row r="252" spans="1:4" ht="80" x14ac:dyDescent="0.2">
      <c r="A252">
        <v>251</v>
      </c>
      <c r="B252" t="s">
        <v>328</v>
      </c>
      <c r="C252" s="3" t="s">
        <v>206</v>
      </c>
      <c r="D252" s="2" t="s">
        <v>777</v>
      </c>
    </row>
    <row r="253" spans="1:4" ht="80" x14ac:dyDescent="0.2">
      <c r="A253">
        <v>252</v>
      </c>
      <c r="B253" t="s">
        <v>329</v>
      </c>
      <c r="C253" s="3" t="s">
        <v>330</v>
      </c>
      <c r="D253" s="2" t="s">
        <v>778</v>
      </c>
    </row>
    <row r="254" spans="1:4" ht="96" x14ac:dyDescent="0.2">
      <c r="A254">
        <v>253</v>
      </c>
      <c r="B254" t="s">
        <v>329</v>
      </c>
      <c r="C254" s="3" t="s">
        <v>331</v>
      </c>
      <c r="D254" s="2" t="s">
        <v>779</v>
      </c>
    </row>
    <row r="255" spans="1:4" ht="112" x14ac:dyDescent="0.2">
      <c r="A255">
        <v>254</v>
      </c>
      <c r="B255" t="s">
        <v>329</v>
      </c>
      <c r="C255" s="3" t="s">
        <v>215</v>
      </c>
      <c r="D255" s="2" t="s">
        <v>780</v>
      </c>
    </row>
    <row r="256" spans="1:4" ht="80" x14ac:dyDescent="0.2">
      <c r="A256">
        <v>255</v>
      </c>
      <c r="B256" t="s">
        <v>329</v>
      </c>
      <c r="C256" s="3" t="s">
        <v>85</v>
      </c>
      <c r="D256" s="2" t="s">
        <v>781</v>
      </c>
    </row>
    <row r="257" spans="1:4" ht="80" x14ac:dyDescent="0.2">
      <c r="A257">
        <v>256</v>
      </c>
      <c r="B257" t="s">
        <v>329</v>
      </c>
      <c r="C257" s="3" t="s">
        <v>332</v>
      </c>
      <c r="D257" s="2" t="s">
        <v>782</v>
      </c>
    </row>
    <row r="258" spans="1:4" ht="96" x14ac:dyDescent="0.2">
      <c r="A258">
        <v>257</v>
      </c>
      <c r="B258" t="s">
        <v>333</v>
      </c>
      <c r="C258" s="3" t="s">
        <v>334</v>
      </c>
      <c r="D258" s="2" t="s">
        <v>783</v>
      </c>
    </row>
    <row r="259" spans="1:4" ht="96" x14ac:dyDescent="0.2">
      <c r="A259">
        <v>258</v>
      </c>
      <c r="B259" t="s">
        <v>333</v>
      </c>
      <c r="C259" s="3" t="s">
        <v>335</v>
      </c>
      <c r="D259" s="2" t="s">
        <v>784</v>
      </c>
    </row>
    <row r="260" spans="1:4" ht="96" x14ac:dyDescent="0.2">
      <c r="A260">
        <v>259</v>
      </c>
      <c r="B260" t="s">
        <v>333</v>
      </c>
      <c r="C260" s="3" t="s">
        <v>336</v>
      </c>
      <c r="D260" s="2" t="s">
        <v>785</v>
      </c>
    </row>
    <row r="261" spans="1:4" ht="112" x14ac:dyDescent="0.2">
      <c r="A261">
        <v>260</v>
      </c>
      <c r="B261" t="s">
        <v>333</v>
      </c>
      <c r="C261" s="3" t="s">
        <v>285</v>
      </c>
      <c r="D261" s="2" t="s">
        <v>786</v>
      </c>
    </row>
    <row r="262" spans="1:4" ht="112" x14ac:dyDescent="0.2">
      <c r="A262">
        <v>261</v>
      </c>
      <c r="B262" t="s">
        <v>333</v>
      </c>
      <c r="C262" s="3" t="s">
        <v>337</v>
      </c>
      <c r="D262" s="2" t="s">
        <v>787</v>
      </c>
    </row>
    <row r="263" spans="1:4" ht="80" x14ac:dyDescent="0.2">
      <c r="A263">
        <v>262</v>
      </c>
      <c r="B263" t="s">
        <v>338</v>
      </c>
      <c r="C263" s="3" t="s">
        <v>339</v>
      </c>
      <c r="D263" s="2" t="s">
        <v>788</v>
      </c>
    </row>
    <row r="264" spans="1:4" ht="112" x14ac:dyDescent="0.2">
      <c r="A264">
        <v>263</v>
      </c>
      <c r="B264" t="s">
        <v>338</v>
      </c>
      <c r="C264" s="3" t="s">
        <v>341</v>
      </c>
      <c r="D264" s="2" t="s">
        <v>789</v>
      </c>
    </row>
    <row r="265" spans="1:4" ht="96" x14ac:dyDescent="0.2">
      <c r="A265">
        <v>264</v>
      </c>
      <c r="B265" t="s">
        <v>342</v>
      </c>
      <c r="C265" s="3" t="s">
        <v>790</v>
      </c>
      <c r="D265" s="2" t="s">
        <v>791</v>
      </c>
    </row>
    <row r="266" spans="1:4" ht="80" x14ac:dyDescent="0.2">
      <c r="A266">
        <v>265</v>
      </c>
      <c r="B266" t="s">
        <v>342</v>
      </c>
      <c r="C266" s="3" t="s">
        <v>343</v>
      </c>
      <c r="D266" s="2" t="s">
        <v>792</v>
      </c>
    </row>
    <row r="267" spans="1:4" ht="96" x14ac:dyDescent="0.2">
      <c r="A267">
        <v>266</v>
      </c>
      <c r="B267" t="s">
        <v>344</v>
      </c>
      <c r="C267" s="3" t="s">
        <v>793</v>
      </c>
      <c r="D267" s="2" t="s">
        <v>794</v>
      </c>
    </row>
    <row r="268" spans="1:4" ht="96" x14ac:dyDescent="0.2">
      <c r="A268">
        <v>267</v>
      </c>
      <c r="B268" t="s">
        <v>344</v>
      </c>
      <c r="C268" s="3" t="s">
        <v>345</v>
      </c>
      <c r="D268" s="2" t="s">
        <v>795</v>
      </c>
    </row>
    <row r="269" spans="1:4" ht="96" x14ac:dyDescent="0.2">
      <c r="A269">
        <v>268</v>
      </c>
      <c r="B269" t="s">
        <v>344</v>
      </c>
      <c r="C269" s="3" t="s">
        <v>346</v>
      </c>
      <c r="D269" s="2" t="s">
        <v>796</v>
      </c>
    </row>
    <row r="270" spans="1:4" ht="96" x14ac:dyDescent="0.2">
      <c r="A270">
        <v>269</v>
      </c>
      <c r="B270" t="s">
        <v>344</v>
      </c>
      <c r="C270" s="3" t="s">
        <v>347</v>
      </c>
      <c r="D270" s="2" t="s">
        <v>797</v>
      </c>
    </row>
    <row r="271" spans="1:4" ht="96" x14ac:dyDescent="0.2">
      <c r="A271">
        <v>270</v>
      </c>
      <c r="B271" t="s">
        <v>344</v>
      </c>
      <c r="C271" s="3" t="s">
        <v>348</v>
      </c>
      <c r="D271" s="2" t="s">
        <v>798</v>
      </c>
    </row>
    <row r="272" spans="1:4" ht="96" x14ac:dyDescent="0.2">
      <c r="A272">
        <v>271</v>
      </c>
      <c r="B272" t="s">
        <v>344</v>
      </c>
      <c r="C272" s="3" t="s">
        <v>349</v>
      </c>
      <c r="D272" s="2" t="s">
        <v>799</v>
      </c>
    </row>
    <row r="273" spans="1:4" ht="96" x14ac:dyDescent="0.2">
      <c r="A273">
        <v>272</v>
      </c>
      <c r="B273" t="s">
        <v>344</v>
      </c>
      <c r="C273" s="3" t="s">
        <v>350</v>
      </c>
      <c r="D273" s="2" t="s">
        <v>800</v>
      </c>
    </row>
    <row r="274" spans="1:4" ht="112" x14ac:dyDescent="0.2">
      <c r="A274">
        <v>273</v>
      </c>
      <c r="B274" t="s">
        <v>344</v>
      </c>
      <c r="C274" s="3" t="s">
        <v>351</v>
      </c>
      <c r="D274" s="2" t="s">
        <v>801</v>
      </c>
    </row>
    <row r="275" spans="1:4" ht="80" x14ac:dyDescent="0.2">
      <c r="A275">
        <v>274</v>
      </c>
      <c r="B275" t="s">
        <v>344</v>
      </c>
      <c r="C275" s="3" t="s">
        <v>85</v>
      </c>
      <c r="D275" s="2" t="s">
        <v>802</v>
      </c>
    </row>
    <row r="276" spans="1:4" ht="96" x14ac:dyDescent="0.2">
      <c r="A276">
        <v>275</v>
      </c>
      <c r="B276" t="s">
        <v>803</v>
      </c>
      <c r="C276" s="3" t="s">
        <v>804</v>
      </c>
      <c r="D276" s="2" t="s">
        <v>805</v>
      </c>
    </row>
    <row r="277" spans="1:4" ht="96" x14ac:dyDescent="0.2">
      <c r="A277">
        <v>276</v>
      </c>
      <c r="B277" t="s">
        <v>803</v>
      </c>
      <c r="C277" s="3" t="s">
        <v>806</v>
      </c>
      <c r="D277" s="2" t="s">
        <v>807</v>
      </c>
    </row>
    <row r="278" spans="1:4" ht="96" x14ac:dyDescent="0.2">
      <c r="A278">
        <v>277</v>
      </c>
      <c r="B278" t="s">
        <v>352</v>
      </c>
      <c r="C278" s="3" t="s">
        <v>808</v>
      </c>
      <c r="D278" s="2" t="s">
        <v>809</v>
      </c>
    </row>
    <row r="279" spans="1:4" ht="96" x14ac:dyDescent="0.2">
      <c r="A279">
        <v>278</v>
      </c>
      <c r="B279" t="s">
        <v>352</v>
      </c>
      <c r="C279" s="3" t="s">
        <v>353</v>
      </c>
      <c r="D279" s="2" t="s">
        <v>810</v>
      </c>
    </row>
    <row r="280" spans="1:4" ht="80" x14ac:dyDescent="0.2">
      <c r="A280">
        <v>279</v>
      </c>
      <c r="B280" t="s">
        <v>354</v>
      </c>
      <c r="C280" s="3" t="s">
        <v>355</v>
      </c>
      <c r="D280" s="2" t="s">
        <v>811</v>
      </c>
    </row>
    <row r="281" spans="1:4" ht="80" x14ac:dyDescent="0.2">
      <c r="A281">
        <v>280</v>
      </c>
      <c r="B281" t="s">
        <v>354</v>
      </c>
      <c r="C281" s="3" t="s">
        <v>166</v>
      </c>
      <c r="D281" s="2" t="s">
        <v>812</v>
      </c>
    </row>
    <row r="282" spans="1:4" ht="96" x14ac:dyDescent="0.2">
      <c r="A282">
        <v>281</v>
      </c>
      <c r="B282" t="s">
        <v>354</v>
      </c>
      <c r="C282" s="3" t="s">
        <v>813</v>
      </c>
      <c r="D282" s="2" t="s">
        <v>814</v>
      </c>
    </row>
    <row r="283" spans="1:4" ht="96" x14ac:dyDescent="0.2">
      <c r="A283">
        <v>282</v>
      </c>
      <c r="B283" t="s">
        <v>354</v>
      </c>
      <c r="C283" s="3" t="s">
        <v>815</v>
      </c>
      <c r="D283" s="2" t="s">
        <v>816</v>
      </c>
    </row>
    <row r="284" spans="1:4" ht="96" x14ac:dyDescent="0.2">
      <c r="A284">
        <v>283</v>
      </c>
      <c r="B284" t="s">
        <v>354</v>
      </c>
      <c r="C284" s="3" t="s">
        <v>356</v>
      </c>
      <c r="D284" s="2" t="s">
        <v>817</v>
      </c>
    </row>
    <row r="285" spans="1:4" ht="96" x14ac:dyDescent="0.2">
      <c r="A285">
        <v>284</v>
      </c>
      <c r="B285" t="s">
        <v>357</v>
      </c>
      <c r="C285" s="3" t="s">
        <v>818</v>
      </c>
      <c r="D285" s="2" t="s">
        <v>819</v>
      </c>
    </row>
    <row r="286" spans="1:4" ht="112" x14ac:dyDescent="0.2">
      <c r="A286">
        <v>285</v>
      </c>
      <c r="B286" t="s">
        <v>357</v>
      </c>
      <c r="C286" s="3" t="s">
        <v>358</v>
      </c>
      <c r="D286" s="2" t="s">
        <v>820</v>
      </c>
    </row>
    <row r="287" spans="1:4" ht="80" x14ac:dyDescent="0.2">
      <c r="A287">
        <v>286</v>
      </c>
      <c r="B287" t="s">
        <v>357</v>
      </c>
      <c r="C287" s="3" t="s">
        <v>85</v>
      </c>
      <c r="D287" s="2" t="s">
        <v>821</v>
      </c>
    </row>
    <row r="288" spans="1:4" ht="96" x14ac:dyDescent="0.2">
      <c r="A288">
        <v>287</v>
      </c>
      <c r="B288" t="s">
        <v>822</v>
      </c>
      <c r="C288" s="3" t="s">
        <v>823</v>
      </c>
      <c r="D288" s="2" t="s">
        <v>824</v>
      </c>
    </row>
    <row r="289" spans="1:4" ht="96" x14ac:dyDescent="0.2">
      <c r="A289">
        <v>288</v>
      </c>
      <c r="B289" t="s">
        <v>822</v>
      </c>
      <c r="C289" s="3" t="s">
        <v>825</v>
      </c>
      <c r="D289" s="2" t="s">
        <v>826</v>
      </c>
    </row>
    <row r="290" spans="1:4" ht="96" x14ac:dyDescent="0.2">
      <c r="A290">
        <v>289</v>
      </c>
      <c r="B290" t="s">
        <v>359</v>
      </c>
      <c r="C290" s="3" t="s">
        <v>360</v>
      </c>
      <c r="D290" s="2" t="s">
        <v>827</v>
      </c>
    </row>
    <row r="291" spans="1:4" ht="96" x14ac:dyDescent="0.2">
      <c r="A291">
        <v>290</v>
      </c>
      <c r="B291" t="s">
        <v>361</v>
      </c>
      <c r="C291" s="3" t="s">
        <v>362</v>
      </c>
      <c r="D291" s="2" t="s">
        <v>828</v>
      </c>
    </row>
    <row r="292" spans="1:4" ht="96" x14ac:dyDescent="0.2">
      <c r="A292">
        <v>291</v>
      </c>
      <c r="B292" t="s">
        <v>216</v>
      </c>
      <c r="C292" s="3" t="s">
        <v>13</v>
      </c>
      <c r="D292" s="2" t="s">
        <v>829</v>
      </c>
    </row>
    <row r="293" spans="1:4" ht="112" x14ac:dyDescent="0.2">
      <c r="A293">
        <v>292</v>
      </c>
      <c r="B293" t="s">
        <v>216</v>
      </c>
      <c r="C293" s="3" t="s">
        <v>215</v>
      </c>
      <c r="D293" s="2" t="s">
        <v>830</v>
      </c>
    </row>
    <row r="294" spans="1:4" ht="96" x14ac:dyDescent="0.2">
      <c r="A294">
        <v>293</v>
      </c>
      <c r="B294" t="s">
        <v>216</v>
      </c>
      <c r="C294" s="3" t="s">
        <v>363</v>
      </c>
      <c r="D294" s="2" t="s">
        <v>831</v>
      </c>
    </row>
    <row r="295" spans="1:4" ht="96" x14ac:dyDescent="0.2">
      <c r="A295">
        <v>294</v>
      </c>
      <c r="B295" t="s">
        <v>216</v>
      </c>
      <c r="C295" s="3" t="s">
        <v>364</v>
      </c>
      <c r="D295" s="2" t="s">
        <v>832</v>
      </c>
    </row>
    <row r="296" spans="1:4" ht="96" x14ac:dyDescent="0.2">
      <c r="A296">
        <v>295</v>
      </c>
      <c r="B296" t="s">
        <v>216</v>
      </c>
      <c r="C296" s="3" t="s">
        <v>365</v>
      </c>
      <c r="D296" s="2" t="s">
        <v>833</v>
      </c>
    </row>
    <row r="297" spans="1:4" ht="112" x14ac:dyDescent="0.2">
      <c r="A297">
        <v>296</v>
      </c>
      <c r="B297" t="s">
        <v>216</v>
      </c>
      <c r="C297" s="3" t="s">
        <v>268</v>
      </c>
      <c r="D297" s="2" t="s">
        <v>834</v>
      </c>
    </row>
    <row r="298" spans="1:4" ht="80" x14ac:dyDescent="0.2">
      <c r="A298">
        <v>297</v>
      </c>
      <c r="B298" t="s">
        <v>216</v>
      </c>
      <c r="C298" s="3" t="s">
        <v>366</v>
      </c>
      <c r="D298" s="2" t="s">
        <v>835</v>
      </c>
    </row>
    <row r="299" spans="1:4" ht="80" x14ac:dyDescent="0.2">
      <c r="A299">
        <v>298</v>
      </c>
      <c r="B299" t="s">
        <v>367</v>
      </c>
      <c r="C299" s="3" t="s">
        <v>368</v>
      </c>
      <c r="D299" s="2" t="s">
        <v>836</v>
      </c>
    </row>
    <row r="300" spans="1:4" ht="112" x14ac:dyDescent="0.2">
      <c r="A300">
        <v>299</v>
      </c>
      <c r="B300" t="s">
        <v>367</v>
      </c>
      <c r="C300" s="3" t="s">
        <v>369</v>
      </c>
      <c r="D300" s="2" t="s">
        <v>837</v>
      </c>
    </row>
    <row r="301" spans="1:4" ht="96" x14ac:dyDescent="0.2">
      <c r="A301">
        <v>300</v>
      </c>
      <c r="B301" t="s">
        <v>367</v>
      </c>
      <c r="C301" s="3" t="s">
        <v>370</v>
      </c>
      <c r="D301" s="2" t="s">
        <v>838</v>
      </c>
    </row>
    <row r="302" spans="1:4" ht="96" x14ac:dyDescent="0.2">
      <c r="A302">
        <v>301</v>
      </c>
      <c r="B302" t="s">
        <v>367</v>
      </c>
      <c r="C302" s="3" t="s">
        <v>371</v>
      </c>
      <c r="D302" s="2" t="s">
        <v>839</v>
      </c>
    </row>
    <row r="303" spans="1:4" ht="80" x14ac:dyDescent="0.2">
      <c r="A303">
        <v>302</v>
      </c>
      <c r="B303" t="s">
        <v>367</v>
      </c>
      <c r="C303" s="3" t="s">
        <v>372</v>
      </c>
      <c r="D303" s="2" t="s">
        <v>840</v>
      </c>
    </row>
    <row r="304" spans="1:4" ht="80" x14ac:dyDescent="0.2">
      <c r="A304">
        <v>303</v>
      </c>
      <c r="B304" t="s">
        <v>373</v>
      </c>
      <c r="C304" s="3" t="s">
        <v>284</v>
      </c>
      <c r="D304" s="2" t="s">
        <v>841</v>
      </c>
    </row>
    <row r="305" spans="1:4" ht="96" x14ac:dyDescent="0.2">
      <c r="A305">
        <v>304</v>
      </c>
      <c r="B305" t="s">
        <v>373</v>
      </c>
      <c r="C305" s="3" t="s">
        <v>374</v>
      </c>
      <c r="D305" s="2" t="s">
        <v>842</v>
      </c>
    </row>
    <row r="306" spans="1:4" ht="80" x14ac:dyDescent="0.2">
      <c r="A306">
        <v>305</v>
      </c>
      <c r="B306" t="s">
        <v>373</v>
      </c>
      <c r="C306" s="3" t="s">
        <v>375</v>
      </c>
      <c r="D306" s="2" t="s">
        <v>843</v>
      </c>
    </row>
    <row r="307" spans="1:4" ht="80" x14ac:dyDescent="0.2">
      <c r="A307">
        <v>306</v>
      </c>
      <c r="B307" t="s">
        <v>376</v>
      </c>
      <c r="C307" s="3" t="s">
        <v>377</v>
      </c>
      <c r="D307" s="2" t="s">
        <v>844</v>
      </c>
    </row>
    <row r="308" spans="1:4" ht="160" x14ac:dyDescent="0.2">
      <c r="A308">
        <v>307</v>
      </c>
      <c r="B308" t="s">
        <v>378</v>
      </c>
      <c r="C308" s="3" t="s">
        <v>99</v>
      </c>
      <c r="D308" s="2" t="s">
        <v>845</v>
      </c>
    </row>
    <row r="309" spans="1:4" ht="96" x14ac:dyDescent="0.2">
      <c r="A309">
        <v>308</v>
      </c>
      <c r="B309" t="s">
        <v>846</v>
      </c>
      <c r="C309" s="3" t="s">
        <v>847</v>
      </c>
      <c r="D309" s="2" t="s">
        <v>848</v>
      </c>
    </row>
    <row r="310" spans="1:4" ht="80" x14ac:dyDescent="0.2">
      <c r="A310">
        <v>309</v>
      </c>
      <c r="B310" t="s">
        <v>379</v>
      </c>
      <c r="C310" s="3" t="s">
        <v>380</v>
      </c>
      <c r="D310" s="2" t="s">
        <v>849</v>
      </c>
    </row>
    <row r="311" spans="1:4" ht="80" x14ac:dyDescent="0.2">
      <c r="A311">
        <v>310</v>
      </c>
      <c r="B311" t="s">
        <v>379</v>
      </c>
      <c r="C311" s="3" t="s">
        <v>269</v>
      </c>
      <c r="D311" s="2" t="s">
        <v>850</v>
      </c>
    </row>
    <row r="312" spans="1:4" ht="80" x14ac:dyDescent="0.2">
      <c r="A312">
        <v>311</v>
      </c>
      <c r="B312" t="s">
        <v>379</v>
      </c>
      <c r="C312" s="3" t="s">
        <v>381</v>
      </c>
      <c r="D312" s="2" t="s">
        <v>851</v>
      </c>
    </row>
    <row r="313" spans="1:4" ht="80" x14ac:dyDescent="0.2">
      <c r="A313">
        <v>312</v>
      </c>
      <c r="B313" t="s">
        <v>382</v>
      </c>
      <c r="C313" s="3" t="s">
        <v>383</v>
      </c>
      <c r="D313" s="2" t="s">
        <v>852</v>
      </c>
    </row>
    <row r="314" spans="1:4" ht="80" x14ac:dyDescent="0.2">
      <c r="A314">
        <v>313</v>
      </c>
      <c r="B314" t="s">
        <v>382</v>
      </c>
      <c r="C314" s="3" t="s">
        <v>384</v>
      </c>
      <c r="D314" s="2" t="s">
        <v>853</v>
      </c>
    </row>
    <row r="315" spans="1:4" ht="96" x14ac:dyDescent="0.2">
      <c r="A315">
        <v>314</v>
      </c>
      <c r="B315" t="s">
        <v>385</v>
      </c>
      <c r="C315" s="3" t="s">
        <v>386</v>
      </c>
      <c r="D315" s="2" t="s">
        <v>854</v>
      </c>
    </row>
    <row r="316" spans="1:4" ht="96" x14ac:dyDescent="0.2">
      <c r="A316">
        <v>315</v>
      </c>
      <c r="B316" t="s">
        <v>387</v>
      </c>
      <c r="C316" s="3" t="s">
        <v>388</v>
      </c>
      <c r="D316" s="2" t="s">
        <v>855</v>
      </c>
    </row>
    <row r="317" spans="1:4" ht="96" x14ac:dyDescent="0.2">
      <c r="A317">
        <v>316</v>
      </c>
      <c r="B317" t="s">
        <v>387</v>
      </c>
      <c r="C317" s="3" t="s">
        <v>389</v>
      </c>
      <c r="D317" s="2" t="s">
        <v>856</v>
      </c>
    </row>
    <row r="318" spans="1:4" ht="96" x14ac:dyDescent="0.2">
      <c r="A318">
        <v>317</v>
      </c>
      <c r="B318" t="s">
        <v>390</v>
      </c>
      <c r="C318" s="3" t="s">
        <v>391</v>
      </c>
      <c r="D318" s="2" t="s">
        <v>857</v>
      </c>
    </row>
    <row r="319" spans="1:4" ht="96" x14ac:dyDescent="0.2">
      <c r="A319">
        <v>318</v>
      </c>
      <c r="B319" t="s">
        <v>390</v>
      </c>
      <c r="C319" s="3" t="s">
        <v>392</v>
      </c>
      <c r="D319" s="2" t="s">
        <v>858</v>
      </c>
    </row>
    <row r="320" spans="1:4" ht="224" x14ac:dyDescent="0.2">
      <c r="A320">
        <v>319</v>
      </c>
      <c r="B320" t="s">
        <v>390</v>
      </c>
      <c r="C320" s="3" t="s">
        <v>268</v>
      </c>
      <c r="D320" s="2" t="s">
        <v>859</v>
      </c>
    </row>
    <row r="321" spans="1:4" ht="80" x14ac:dyDescent="0.2">
      <c r="A321">
        <v>320</v>
      </c>
      <c r="B321" t="s">
        <v>390</v>
      </c>
      <c r="C321" s="3" t="s">
        <v>393</v>
      </c>
      <c r="D321" s="2" t="s">
        <v>860</v>
      </c>
    </row>
    <row r="322" spans="1:4" ht="80" x14ac:dyDescent="0.2">
      <c r="A322">
        <v>321</v>
      </c>
      <c r="B322" t="s">
        <v>390</v>
      </c>
      <c r="C322" s="3" t="s">
        <v>394</v>
      </c>
      <c r="D322" s="2" t="s">
        <v>861</v>
      </c>
    </row>
    <row r="323" spans="1:4" ht="80" x14ac:dyDescent="0.2">
      <c r="A323">
        <v>322</v>
      </c>
      <c r="B323" t="s">
        <v>395</v>
      </c>
      <c r="C323" s="3" t="s">
        <v>396</v>
      </c>
      <c r="D323" s="2" t="s">
        <v>862</v>
      </c>
    </row>
    <row r="324" spans="1:4" ht="96" x14ac:dyDescent="0.2">
      <c r="A324">
        <v>323</v>
      </c>
      <c r="B324" t="s">
        <v>397</v>
      </c>
      <c r="C324" s="3" t="s">
        <v>398</v>
      </c>
      <c r="D324" s="2" t="s">
        <v>863</v>
      </c>
    </row>
    <row r="325" spans="1:4" ht="80" x14ac:dyDescent="0.2">
      <c r="A325">
        <v>324</v>
      </c>
      <c r="B325" t="s">
        <v>397</v>
      </c>
      <c r="C325" s="3" t="s">
        <v>4</v>
      </c>
      <c r="D325" s="2" t="s">
        <v>864</v>
      </c>
    </row>
    <row r="326" spans="1:4" ht="96" x14ac:dyDescent="0.2">
      <c r="A326">
        <v>325</v>
      </c>
      <c r="B326" t="s">
        <v>397</v>
      </c>
      <c r="C326" s="3" t="s">
        <v>399</v>
      </c>
      <c r="D326" s="2" t="s">
        <v>865</v>
      </c>
    </row>
    <row r="327" spans="1:4" ht="160" x14ac:dyDescent="0.2">
      <c r="A327">
        <v>326</v>
      </c>
      <c r="B327" t="s">
        <v>397</v>
      </c>
      <c r="C327" s="3" t="s">
        <v>400</v>
      </c>
      <c r="D327" s="2" t="s">
        <v>866</v>
      </c>
    </row>
    <row r="328" spans="1:4" ht="80" x14ac:dyDescent="0.2">
      <c r="A328">
        <v>327</v>
      </c>
      <c r="B328" t="s">
        <v>397</v>
      </c>
      <c r="C328" s="3" t="s">
        <v>401</v>
      </c>
      <c r="D328" s="2" t="s">
        <v>867</v>
      </c>
    </row>
    <row r="329" spans="1:4" ht="96" x14ac:dyDescent="0.2">
      <c r="A329">
        <v>328</v>
      </c>
      <c r="B329" t="s">
        <v>402</v>
      </c>
      <c r="C329" s="3" t="s">
        <v>403</v>
      </c>
      <c r="D329" s="2" t="s">
        <v>868</v>
      </c>
    </row>
    <row r="330" spans="1:4" ht="96" x14ac:dyDescent="0.2">
      <c r="A330">
        <v>329</v>
      </c>
      <c r="B330" t="s">
        <v>402</v>
      </c>
      <c r="C330" s="3" t="s">
        <v>404</v>
      </c>
      <c r="D330" s="2" t="s">
        <v>869</v>
      </c>
    </row>
    <row r="331" spans="1:4" ht="96" x14ac:dyDescent="0.2">
      <c r="A331">
        <v>330</v>
      </c>
      <c r="B331" t="s">
        <v>405</v>
      </c>
      <c r="C331" s="3" t="s">
        <v>406</v>
      </c>
      <c r="D331" s="2" t="s">
        <v>870</v>
      </c>
    </row>
    <row r="332" spans="1:4" ht="96" x14ac:dyDescent="0.2">
      <c r="A332">
        <v>331</v>
      </c>
      <c r="B332" t="s">
        <v>405</v>
      </c>
      <c r="C332" s="3" t="s">
        <v>407</v>
      </c>
      <c r="D332" s="2" t="s">
        <v>871</v>
      </c>
    </row>
    <row r="333" spans="1:4" ht="96" x14ac:dyDescent="0.2">
      <c r="A333">
        <v>332</v>
      </c>
      <c r="B333" t="s">
        <v>405</v>
      </c>
      <c r="C333" s="3" t="s">
        <v>408</v>
      </c>
      <c r="D333" s="2" t="s">
        <v>872</v>
      </c>
    </row>
    <row r="334" spans="1:4" ht="96" x14ac:dyDescent="0.2">
      <c r="A334">
        <v>333</v>
      </c>
      <c r="B334" t="s">
        <v>405</v>
      </c>
      <c r="C334" s="3" t="s">
        <v>409</v>
      </c>
      <c r="D334" s="2" t="s">
        <v>873</v>
      </c>
    </row>
    <row r="335" spans="1:4" ht="96" x14ac:dyDescent="0.2">
      <c r="A335">
        <v>334</v>
      </c>
      <c r="B335" t="s">
        <v>405</v>
      </c>
      <c r="C335" s="3" t="s">
        <v>410</v>
      </c>
      <c r="D335" s="2" t="s">
        <v>874</v>
      </c>
    </row>
    <row r="336" spans="1:4" ht="96" x14ac:dyDescent="0.2">
      <c r="A336">
        <v>335</v>
      </c>
      <c r="B336" t="s">
        <v>405</v>
      </c>
      <c r="C336" s="3" t="s">
        <v>411</v>
      </c>
      <c r="D336" s="2" t="s">
        <v>875</v>
      </c>
    </row>
    <row r="337" spans="1:4" ht="96" x14ac:dyDescent="0.2">
      <c r="A337">
        <v>336</v>
      </c>
      <c r="B337" t="s">
        <v>405</v>
      </c>
      <c r="C337" s="3" t="s">
        <v>412</v>
      </c>
      <c r="D337" s="2" t="s">
        <v>876</v>
      </c>
    </row>
    <row r="338" spans="1:4" ht="96" x14ac:dyDescent="0.2">
      <c r="A338">
        <v>337</v>
      </c>
      <c r="B338" t="s">
        <v>405</v>
      </c>
      <c r="C338" s="3" t="s">
        <v>413</v>
      </c>
      <c r="D338" s="2" t="s">
        <v>877</v>
      </c>
    </row>
    <row r="339" spans="1:4" ht="80" x14ac:dyDescent="0.2">
      <c r="A339">
        <v>338</v>
      </c>
      <c r="B339" t="s">
        <v>405</v>
      </c>
      <c r="C339" s="3" t="s">
        <v>269</v>
      </c>
      <c r="D339" s="2" t="s">
        <v>878</v>
      </c>
    </row>
    <row r="340" spans="1:4" ht="80" x14ac:dyDescent="0.2">
      <c r="A340">
        <v>339</v>
      </c>
      <c r="B340" t="s">
        <v>405</v>
      </c>
      <c r="C340" s="3" t="s">
        <v>414</v>
      </c>
      <c r="D340" s="2" t="s">
        <v>879</v>
      </c>
    </row>
    <row r="341" spans="1:4" ht="144" x14ac:dyDescent="0.2">
      <c r="A341">
        <v>340</v>
      </c>
      <c r="B341" t="s">
        <v>405</v>
      </c>
      <c r="C341" s="3" t="s">
        <v>415</v>
      </c>
      <c r="D341" s="2" t="s">
        <v>880</v>
      </c>
    </row>
    <row r="342" spans="1:4" ht="96" x14ac:dyDescent="0.2">
      <c r="A342">
        <v>341</v>
      </c>
      <c r="B342" t="s">
        <v>416</v>
      </c>
      <c r="C342" s="3" t="s">
        <v>417</v>
      </c>
      <c r="D342" s="2" t="s">
        <v>881</v>
      </c>
    </row>
    <row r="343" spans="1:4" ht="112" x14ac:dyDescent="0.2">
      <c r="A343">
        <v>342</v>
      </c>
      <c r="B343" t="s">
        <v>418</v>
      </c>
      <c r="C343" s="3" t="s">
        <v>419</v>
      </c>
      <c r="D343" s="2" t="s">
        <v>882</v>
      </c>
    </row>
    <row r="344" spans="1:4" ht="96" x14ac:dyDescent="0.2">
      <c r="A344">
        <v>343</v>
      </c>
      <c r="B344" t="s">
        <v>418</v>
      </c>
      <c r="C344" s="3" t="s">
        <v>420</v>
      </c>
      <c r="D344" s="2" t="s">
        <v>883</v>
      </c>
    </row>
    <row r="345" spans="1:4" ht="96" x14ac:dyDescent="0.2">
      <c r="A345">
        <v>344</v>
      </c>
      <c r="B345" t="s">
        <v>418</v>
      </c>
      <c r="C345" s="3" t="s">
        <v>421</v>
      </c>
      <c r="D345" s="2" t="s">
        <v>884</v>
      </c>
    </row>
    <row r="346" spans="1:4" ht="96" x14ac:dyDescent="0.2">
      <c r="A346">
        <v>345</v>
      </c>
      <c r="B346" t="s">
        <v>422</v>
      </c>
      <c r="C346" s="3" t="s">
        <v>423</v>
      </c>
      <c r="D346" s="2" t="s">
        <v>885</v>
      </c>
    </row>
    <row r="347" spans="1:4" ht="96" x14ac:dyDescent="0.2">
      <c r="A347">
        <v>346</v>
      </c>
      <c r="B347" t="s">
        <v>422</v>
      </c>
      <c r="C347" s="3" t="s">
        <v>424</v>
      </c>
      <c r="D347" s="2" t="s">
        <v>886</v>
      </c>
    </row>
    <row r="348" spans="1:4" ht="80" x14ac:dyDescent="0.2">
      <c r="A348">
        <v>347</v>
      </c>
      <c r="B348" t="s">
        <v>422</v>
      </c>
      <c r="C348" s="3" t="s">
        <v>82</v>
      </c>
      <c r="D348" s="2" t="s">
        <v>887</v>
      </c>
    </row>
    <row r="349" spans="1:4" ht="96" x14ac:dyDescent="0.2">
      <c r="A349">
        <v>348</v>
      </c>
      <c r="B349" t="s">
        <v>425</v>
      </c>
      <c r="C349" s="3" t="s">
        <v>426</v>
      </c>
      <c r="D349" s="2" t="s">
        <v>888</v>
      </c>
    </row>
    <row r="350" spans="1:4" ht="112" x14ac:dyDescent="0.2">
      <c r="A350">
        <v>349</v>
      </c>
      <c r="B350" t="s">
        <v>425</v>
      </c>
      <c r="C350" s="3" t="s">
        <v>212</v>
      </c>
      <c r="D350" s="2" t="s">
        <v>889</v>
      </c>
    </row>
    <row r="351" spans="1:4" ht="112" x14ac:dyDescent="0.2">
      <c r="A351">
        <v>350</v>
      </c>
      <c r="B351" t="s">
        <v>425</v>
      </c>
      <c r="C351" s="3" t="s">
        <v>304</v>
      </c>
      <c r="D351" s="2" t="s">
        <v>890</v>
      </c>
    </row>
    <row r="352" spans="1:4" ht="96" x14ac:dyDescent="0.2">
      <c r="A352">
        <v>351</v>
      </c>
      <c r="B352" t="s">
        <v>427</v>
      </c>
      <c r="C352" s="3" t="s">
        <v>428</v>
      </c>
      <c r="D352" s="2" t="s">
        <v>891</v>
      </c>
    </row>
    <row r="353" spans="1:4" ht="80" x14ac:dyDescent="0.2">
      <c r="A353">
        <v>352</v>
      </c>
      <c r="B353" t="s">
        <v>429</v>
      </c>
      <c r="C353" s="3" t="s">
        <v>85</v>
      </c>
      <c r="D353" s="2" t="s">
        <v>892</v>
      </c>
    </row>
    <row r="354" spans="1:4" ht="96" x14ac:dyDescent="0.2">
      <c r="A354">
        <v>353</v>
      </c>
      <c r="B354" t="s">
        <v>429</v>
      </c>
      <c r="C354" s="3" t="s">
        <v>430</v>
      </c>
      <c r="D354" s="2" t="s">
        <v>893</v>
      </c>
    </row>
    <row r="355" spans="1:4" ht="96" x14ac:dyDescent="0.2">
      <c r="A355">
        <v>354</v>
      </c>
      <c r="B355" t="s">
        <v>431</v>
      </c>
      <c r="C355" s="3" t="s">
        <v>432</v>
      </c>
      <c r="D355" s="2" t="s">
        <v>894</v>
      </c>
    </row>
    <row r="356" spans="1:4" ht="96" x14ac:dyDescent="0.2">
      <c r="A356">
        <v>355</v>
      </c>
      <c r="B356" t="s">
        <v>433</v>
      </c>
      <c r="C356" s="3" t="s">
        <v>434</v>
      </c>
      <c r="D356" s="2" t="s">
        <v>895</v>
      </c>
    </row>
    <row r="357" spans="1:4" ht="112" x14ac:dyDescent="0.2">
      <c r="A357">
        <v>356</v>
      </c>
      <c r="B357" t="s">
        <v>433</v>
      </c>
      <c r="C357" s="3" t="s">
        <v>304</v>
      </c>
      <c r="D357" s="2" t="s">
        <v>896</v>
      </c>
    </row>
    <row r="358" spans="1:4" ht="64" x14ac:dyDescent="0.2">
      <c r="A358">
        <v>357</v>
      </c>
      <c r="B358" t="s">
        <v>433</v>
      </c>
      <c r="C358" s="3" t="s">
        <v>435</v>
      </c>
      <c r="D358" s="2" t="s">
        <v>897</v>
      </c>
    </row>
    <row r="359" spans="1:4" ht="80" x14ac:dyDescent="0.2">
      <c r="A359">
        <v>358</v>
      </c>
      <c r="B359" t="s">
        <v>433</v>
      </c>
      <c r="C359" s="3" t="s">
        <v>436</v>
      </c>
      <c r="D359" s="2" t="s">
        <v>898</v>
      </c>
    </row>
    <row r="360" spans="1:4" ht="144" x14ac:dyDescent="0.2">
      <c r="A360">
        <v>359</v>
      </c>
      <c r="B360" t="s">
        <v>433</v>
      </c>
      <c r="C360" s="3" t="s">
        <v>437</v>
      </c>
      <c r="D360" s="2" t="s">
        <v>899</v>
      </c>
    </row>
    <row r="361" spans="1:4" ht="80" x14ac:dyDescent="0.2">
      <c r="A361">
        <v>360</v>
      </c>
      <c r="B361" t="s">
        <v>438</v>
      </c>
      <c r="C361" s="3" t="s">
        <v>14</v>
      </c>
      <c r="D361" s="2" t="s">
        <v>900</v>
      </c>
    </row>
    <row r="362" spans="1:4" ht="96" x14ac:dyDescent="0.2">
      <c r="A362">
        <v>361</v>
      </c>
      <c r="B362" t="s">
        <v>438</v>
      </c>
      <c r="C362" s="3" t="s">
        <v>439</v>
      </c>
      <c r="D362" s="2" t="s">
        <v>901</v>
      </c>
    </row>
    <row r="363" spans="1:4" ht="96" x14ac:dyDescent="0.2">
      <c r="A363">
        <v>362</v>
      </c>
      <c r="B363" t="s">
        <v>438</v>
      </c>
      <c r="C363" s="3" t="s">
        <v>440</v>
      </c>
      <c r="D363" s="2" t="s">
        <v>902</v>
      </c>
    </row>
    <row r="364" spans="1:4" ht="96" x14ac:dyDescent="0.2">
      <c r="A364">
        <v>363</v>
      </c>
      <c r="B364" t="s">
        <v>441</v>
      </c>
      <c r="C364" s="3" t="s">
        <v>275</v>
      </c>
      <c r="D364" s="2" t="s">
        <v>903</v>
      </c>
    </row>
    <row r="365" spans="1:4" ht="96" x14ac:dyDescent="0.2">
      <c r="A365">
        <v>364</v>
      </c>
      <c r="B365" t="s">
        <v>441</v>
      </c>
      <c r="C365" s="3" t="s">
        <v>442</v>
      </c>
      <c r="D365" s="2" t="s">
        <v>904</v>
      </c>
    </row>
    <row r="366" spans="1:4" ht="96" x14ac:dyDescent="0.2">
      <c r="A366">
        <v>365</v>
      </c>
      <c r="B366" t="s">
        <v>443</v>
      </c>
      <c r="C366" s="3" t="s">
        <v>444</v>
      </c>
      <c r="D366" s="2" t="s">
        <v>905</v>
      </c>
    </row>
    <row r="367" spans="1:4" ht="80" x14ac:dyDescent="0.2">
      <c r="A367">
        <v>366</v>
      </c>
      <c r="B367" t="s">
        <v>443</v>
      </c>
      <c r="C367" s="3" t="s">
        <v>13</v>
      </c>
      <c r="D367" s="2" t="s">
        <v>906</v>
      </c>
    </row>
    <row r="368" spans="1:4" ht="96" x14ac:dyDescent="0.2">
      <c r="A368">
        <v>367</v>
      </c>
      <c r="B368" t="s">
        <v>443</v>
      </c>
      <c r="C368" s="3" t="s">
        <v>445</v>
      </c>
      <c r="D368" s="2" t="s">
        <v>907</v>
      </c>
    </row>
    <row r="369" spans="1:4" ht="96" x14ac:dyDescent="0.2">
      <c r="A369">
        <v>368</v>
      </c>
      <c r="B369" t="s">
        <v>443</v>
      </c>
      <c r="C369" s="3" t="s">
        <v>446</v>
      </c>
      <c r="D369" s="2" t="s">
        <v>908</v>
      </c>
    </row>
    <row r="370" spans="1:4" ht="96" x14ac:dyDescent="0.2">
      <c r="A370">
        <v>369</v>
      </c>
      <c r="B370" t="s">
        <v>443</v>
      </c>
      <c r="C370" s="3" t="s">
        <v>447</v>
      </c>
      <c r="D370" s="2" t="s">
        <v>909</v>
      </c>
    </row>
    <row r="371" spans="1:4" ht="80" x14ac:dyDescent="0.2">
      <c r="A371">
        <v>370</v>
      </c>
      <c r="B371" t="s">
        <v>443</v>
      </c>
      <c r="C371" s="3" t="s">
        <v>292</v>
      </c>
      <c r="D371" s="2" t="s">
        <v>910</v>
      </c>
    </row>
    <row r="372" spans="1:4" ht="80" x14ac:dyDescent="0.2">
      <c r="A372">
        <v>371</v>
      </c>
      <c r="B372" t="s">
        <v>443</v>
      </c>
      <c r="C372" s="3" t="s">
        <v>448</v>
      </c>
      <c r="D372" s="2" t="s">
        <v>911</v>
      </c>
    </row>
    <row r="373" spans="1:4" ht="96" x14ac:dyDescent="0.2">
      <c r="A373">
        <v>372</v>
      </c>
      <c r="B373" t="s">
        <v>449</v>
      </c>
      <c r="C373" s="3" t="s">
        <v>450</v>
      </c>
      <c r="D373" s="2" t="s">
        <v>912</v>
      </c>
    </row>
    <row r="374" spans="1:4" ht="96" x14ac:dyDescent="0.2">
      <c r="A374">
        <v>373</v>
      </c>
      <c r="B374" t="s">
        <v>451</v>
      </c>
      <c r="C374" s="3" t="s">
        <v>452</v>
      </c>
      <c r="D374" s="2" t="s">
        <v>913</v>
      </c>
    </row>
    <row r="375" spans="1:4" ht="80" x14ac:dyDescent="0.2">
      <c r="A375">
        <v>374</v>
      </c>
      <c r="B375" t="s">
        <v>453</v>
      </c>
      <c r="C375" s="3" t="s">
        <v>330</v>
      </c>
      <c r="D375" s="2" t="s">
        <v>914</v>
      </c>
    </row>
    <row r="376" spans="1:4" ht="96" x14ac:dyDescent="0.2">
      <c r="A376">
        <v>375</v>
      </c>
      <c r="B376" t="s">
        <v>453</v>
      </c>
      <c r="C376" s="3" t="s">
        <v>455</v>
      </c>
      <c r="D376" s="2" t="s">
        <v>915</v>
      </c>
    </row>
    <row r="377" spans="1:4" ht="96" x14ac:dyDescent="0.2">
      <c r="A377">
        <v>376</v>
      </c>
      <c r="B377" t="s">
        <v>456</v>
      </c>
      <c r="C377" s="3" t="s">
        <v>457</v>
      </c>
      <c r="D377" s="2" t="s">
        <v>916</v>
      </c>
    </row>
    <row r="378" spans="1:4" ht="96" x14ac:dyDescent="0.2">
      <c r="A378">
        <v>377</v>
      </c>
      <c r="B378" t="s">
        <v>456</v>
      </c>
      <c r="C378" s="3" t="s">
        <v>458</v>
      </c>
      <c r="D378" s="2" t="s">
        <v>917</v>
      </c>
    </row>
    <row r="379" spans="1:4" ht="96" x14ac:dyDescent="0.2">
      <c r="A379">
        <v>378</v>
      </c>
      <c r="B379" t="s">
        <v>456</v>
      </c>
      <c r="C379" s="3" t="s">
        <v>459</v>
      </c>
      <c r="D379" s="2" t="s">
        <v>918</v>
      </c>
    </row>
    <row r="380" spans="1:4" ht="96" x14ac:dyDescent="0.2">
      <c r="A380">
        <v>379</v>
      </c>
      <c r="B380" t="s">
        <v>456</v>
      </c>
      <c r="C380" s="3" t="s">
        <v>460</v>
      </c>
      <c r="D380" s="2" t="s">
        <v>919</v>
      </c>
    </row>
    <row r="381" spans="1:4" ht="80" x14ac:dyDescent="0.2">
      <c r="A381">
        <v>380</v>
      </c>
      <c r="B381" t="s">
        <v>456</v>
      </c>
      <c r="C381" s="3" t="s">
        <v>99</v>
      </c>
      <c r="D381" s="2" t="s">
        <v>920</v>
      </c>
    </row>
    <row r="382" spans="1:4" ht="144" x14ac:dyDescent="0.2">
      <c r="A382">
        <v>381</v>
      </c>
      <c r="B382" t="s">
        <v>456</v>
      </c>
      <c r="C382" s="3" t="s">
        <v>461</v>
      </c>
      <c r="D382" s="2" t="s">
        <v>921</v>
      </c>
    </row>
    <row r="383" spans="1:4" ht="112" x14ac:dyDescent="0.2">
      <c r="A383">
        <v>382</v>
      </c>
      <c r="B383" t="s">
        <v>463</v>
      </c>
      <c r="C383" s="3" t="s">
        <v>464</v>
      </c>
      <c r="D383" s="2" t="s">
        <v>922</v>
      </c>
    </row>
    <row r="384" spans="1:4" ht="96" x14ac:dyDescent="0.2">
      <c r="A384">
        <v>383</v>
      </c>
      <c r="B384" t="s">
        <v>463</v>
      </c>
      <c r="C384" s="3" t="s">
        <v>465</v>
      </c>
      <c r="D384" s="2" t="s">
        <v>923</v>
      </c>
    </row>
    <row r="385" spans="1:4" ht="96" x14ac:dyDescent="0.2">
      <c r="A385">
        <v>384</v>
      </c>
      <c r="B385" t="s">
        <v>463</v>
      </c>
      <c r="C385" s="3" t="s">
        <v>466</v>
      </c>
      <c r="D385" s="2" t="s">
        <v>924</v>
      </c>
    </row>
    <row r="386" spans="1:4" ht="96" x14ac:dyDescent="0.2">
      <c r="A386">
        <v>385</v>
      </c>
      <c r="B386" t="s">
        <v>463</v>
      </c>
      <c r="C386" s="3" t="s">
        <v>467</v>
      </c>
      <c r="D386" s="2" t="s">
        <v>925</v>
      </c>
    </row>
    <row r="387" spans="1:4" ht="80" x14ac:dyDescent="0.2">
      <c r="A387">
        <v>386</v>
      </c>
      <c r="B387" t="s">
        <v>468</v>
      </c>
      <c r="C387" s="3" t="s">
        <v>926</v>
      </c>
      <c r="D387" s="2" t="s">
        <v>927</v>
      </c>
    </row>
    <row r="388" spans="1:4" ht="96" x14ac:dyDescent="0.2">
      <c r="A388">
        <v>387</v>
      </c>
      <c r="B388" t="s">
        <v>468</v>
      </c>
      <c r="C388" s="3" t="s">
        <v>469</v>
      </c>
      <c r="D388" s="2" t="s">
        <v>928</v>
      </c>
    </row>
    <row r="389" spans="1:4" ht="160" x14ac:dyDescent="0.2">
      <c r="A389">
        <v>388</v>
      </c>
      <c r="B389" t="s">
        <v>468</v>
      </c>
      <c r="C389" s="3" t="s">
        <v>470</v>
      </c>
      <c r="D389" s="2" t="s">
        <v>929</v>
      </c>
    </row>
    <row r="390" spans="1:4" ht="80" x14ac:dyDescent="0.2">
      <c r="A390">
        <v>389</v>
      </c>
      <c r="B390" t="s">
        <v>468</v>
      </c>
      <c r="C390" s="3" t="s">
        <v>471</v>
      </c>
      <c r="D390" s="2" t="s">
        <v>930</v>
      </c>
    </row>
    <row r="391" spans="1:4" ht="80" x14ac:dyDescent="0.2">
      <c r="A391">
        <v>390</v>
      </c>
      <c r="B391" t="s">
        <v>468</v>
      </c>
      <c r="C391" s="3" t="s">
        <v>472</v>
      </c>
      <c r="D391" s="2" t="s">
        <v>931</v>
      </c>
    </row>
    <row r="392" spans="1:4" ht="80" x14ac:dyDescent="0.2">
      <c r="A392">
        <v>391</v>
      </c>
      <c r="B392" t="s">
        <v>468</v>
      </c>
      <c r="C392" s="3" t="s">
        <v>473</v>
      </c>
      <c r="D392" s="2" t="s">
        <v>932</v>
      </c>
    </row>
    <row r="393" spans="1:4" ht="144" x14ac:dyDescent="0.2">
      <c r="A393">
        <v>392</v>
      </c>
      <c r="B393" t="s">
        <v>474</v>
      </c>
      <c r="C393" s="3" t="s">
        <v>301</v>
      </c>
      <c r="D393" s="2" t="s">
        <v>933</v>
      </c>
    </row>
    <row r="394" spans="1:4" ht="96" x14ac:dyDescent="0.2">
      <c r="A394">
        <v>393</v>
      </c>
      <c r="B394" t="s">
        <v>475</v>
      </c>
      <c r="C394" s="3" t="s">
        <v>476</v>
      </c>
      <c r="D394" s="2" t="s">
        <v>934</v>
      </c>
    </row>
    <row r="395" spans="1:4" ht="96" x14ac:dyDescent="0.2">
      <c r="A395">
        <v>394</v>
      </c>
      <c r="B395" t="s">
        <v>475</v>
      </c>
      <c r="C395" s="3" t="s">
        <v>477</v>
      </c>
      <c r="D395" s="2" t="s">
        <v>935</v>
      </c>
    </row>
    <row r="396" spans="1:4" ht="96" x14ac:dyDescent="0.2">
      <c r="A396">
        <v>395</v>
      </c>
      <c r="B396" t="s">
        <v>475</v>
      </c>
      <c r="C396" s="3" t="s">
        <v>478</v>
      </c>
      <c r="D396" s="2" t="s">
        <v>936</v>
      </c>
    </row>
    <row r="397" spans="1:4" ht="80" x14ac:dyDescent="0.2">
      <c r="A397">
        <v>396</v>
      </c>
      <c r="B397" t="s">
        <v>475</v>
      </c>
      <c r="C397" s="3" t="s">
        <v>126</v>
      </c>
      <c r="D397" s="2" t="s">
        <v>937</v>
      </c>
    </row>
    <row r="398" spans="1:4" ht="96" x14ac:dyDescent="0.2">
      <c r="A398">
        <v>397</v>
      </c>
      <c r="B398" t="s">
        <v>479</v>
      </c>
      <c r="C398" s="3" t="s">
        <v>480</v>
      </c>
      <c r="D398" s="2" t="s">
        <v>938</v>
      </c>
    </row>
    <row r="399" spans="1:4" ht="96" x14ac:dyDescent="0.2">
      <c r="A399">
        <v>398</v>
      </c>
      <c r="B399" t="s">
        <v>479</v>
      </c>
      <c r="C399" s="3" t="s">
        <v>481</v>
      </c>
      <c r="D399" s="2" t="s">
        <v>939</v>
      </c>
    </row>
    <row r="400" spans="1:4" ht="96" x14ac:dyDescent="0.2">
      <c r="A400">
        <v>399</v>
      </c>
      <c r="B400" t="s">
        <v>479</v>
      </c>
      <c r="C400" s="3" t="s">
        <v>482</v>
      </c>
      <c r="D400" s="2" t="s">
        <v>940</v>
      </c>
    </row>
    <row r="401" spans="1:4" ht="96" x14ac:dyDescent="0.2">
      <c r="A401">
        <v>400</v>
      </c>
      <c r="B401" t="s">
        <v>483</v>
      </c>
      <c r="C401" s="3" t="s">
        <v>484</v>
      </c>
      <c r="D401" s="2" t="s">
        <v>941</v>
      </c>
    </row>
    <row r="402" spans="1:4" ht="80" x14ac:dyDescent="0.2">
      <c r="A402">
        <v>401</v>
      </c>
      <c r="B402" t="s">
        <v>483</v>
      </c>
      <c r="C402" s="3" t="s">
        <v>485</v>
      </c>
      <c r="D402" s="2" t="s">
        <v>942</v>
      </c>
    </row>
    <row r="403" spans="1:4" ht="80" x14ac:dyDescent="0.2">
      <c r="A403">
        <v>402</v>
      </c>
      <c r="B403" t="s">
        <v>483</v>
      </c>
      <c r="C403" s="3" t="s">
        <v>486</v>
      </c>
      <c r="D403" s="2" t="s">
        <v>943</v>
      </c>
    </row>
    <row r="404" spans="1:4" ht="64" x14ac:dyDescent="0.2">
      <c r="A404">
        <v>403</v>
      </c>
      <c r="B404" t="s">
        <v>488</v>
      </c>
      <c r="C404" s="3" t="s">
        <v>489</v>
      </c>
      <c r="D404" s="2" t="s">
        <v>944</v>
      </c>
    </row>
    <row r="405" spans="1:4" ht="96" x14ac:dyDescent="0.2">
      <c r="A405">
        <v>404</v>
      </c>
      <c r="B405" t="s">
        <v>490</v>
      </c>
      <c r="C405" s="3" t="s">
        <v>491</v>
      </c>
      <c r="D405" s="2" t="s">
        <v>945</v>
      </c>
    </row>
    <row r="406" spans="1:4" ht="80" x14ac:dyDescent="0.2">
      <c r="A406">
        <v>405</v>
      </c>
      <c r="B406" t="s">
        <v>492</v>
      </c>
      <c r="C406" s="3" t="s">
        <v>85</v>
      </c>
      <c r="D406" s="2" t="s">
        <v>946</v>
      </c>
    </row>
    <row r="407" spans="1:4" ht="96" x14ac:dyDescent="0.2">
      <c r="A407">
        <v>406</v>
      </c>
      <c r="B407" t="s">
        <v>492</v>
      </c>
      <c r="C407" s="3" t="s">
        <v>493</v>
      </c>
      <c r="D407" s="2" t="s">
        <v>947</v>
      </c>
    </row>
    <row r="408" spans="1:4" ht="112" x14ac:dyDescent="0.2">
      <c r="A408">
        <v>407</v>
      </c>
      <c r="B408" t="s">
        <v>202</v>
      </c>
      <c r="C408" s="3" t="s">
        <v>464</v>
      </c>
      <c r="D408" s="2" t="s">
        <v>948</v>
      </c>
    </row>
    <row r="409" spans="1:4" ht="80" x14ac:dyDescent="0.2">
      <c r="A409">
        <v>408</v>
      </c>
      <c r="B409" t="s">
        <v>202</v>
      </c>
      <c r="C409" s="3" t="s">
        <v>494</v>
      </c>
      <c r="D409" s="2" t="s">
        <v>949</v>
      </c>
    </row>
    <row r="410" spans="1:4" ht="96" x14ac:dyDescent="0.2">
      <c r="A410">
        <v>409</v>
      </c>
      <c r="B410" t="s">
        <v>202</v>
      </c>
      <c r="C410" s="3" t="s">
        <v>495</v>
      </c>
      <c r="D410" s="2" t="s">
        <v>950</v>
      </c>
    </row>
    <row r="411" spans="1:4" ht="80" x14ac:dyDescent="0.2">
      <c r="A411">
        <v>410</v>
      </c>
      <c r="B411" t="s">
        <v>202</v>
      </c>
      <c r="C411" s="3" t="s">
        <v>414</v>
      </c>
      <c r="D411" s="2" t="s">
        <v>951</v>
      </c>
    </row>
    <row r="412" spans="1:4" ht="80" x14ac:dyDescent="0.2">
      <c r="A412">
        <v>411</v>
      </c>
      <c r="B412" t="s">
        <v>496</v>
      </c>
      <c r="C412" s="3" t="s">
        <v>84</v>
      </c>
      <c r="D412" s="2" t="s">
        <v>952</v>
      </c>
    </row>
    <row r="413" spans="1:4" ht="80" x14ac:dyDescent="0.2">
      <c r="A413">
        <v>412</v>
      </c>
      <c r="B413" t="s">
        <v>496</v>
      </c>
      <c r="C413" s="3" t="s">
        <v>435</v>
      </c>
      <c r="D413" s="2" t="s">
        <v>953</v>
      </c>
    </row>
    <row r="414" spans="1:4" ht="112" x14ac:dyDescent="0.2">
      <c r="A414">
        <v>413</v>
      </c>
      <c r="B414" t="s">
        <v>497</v>
      </c>
      <c r="C414" s="3" t="s">
        <v>369</v>
      </c>
      <c r="D414" s="2" t="s">
        <v>954</v>
      </c>
    </row>
    <row r="415" spans="1:4" ht="96" x14ac:dyDescent="0.2">
      <c r="A415">
        <v>414</v>
      </c>
      <c r="B415" t="s">
        <v>497</v>
      </c>
      <c r="C415" s="3" t="s">
        <v>498</v>
      </c>
      <c r="D415" s="2" t="s">
        <v>955</v>
      </c>
    </row>
    <row r="416" spans="1:4" ht="96" x14ac:dyDescent="0.2">
      <c r="A416">
        <v>415</v>
      </c>
      <c r="B416" t="s">
        <v>499</v>
      </c>
      <c r="C416" s="3" t="s">
        <v>307</v>
      </c>
      <c r="D416" s="2" t="s">
        <v>956</v>
      </c>
    </row>
    <row r="417" spans="1:4" ht="160" x14ac:dyDescent="0.2">
      <c r="A417">
        <v>416</v>
      </c>
      <c r="B417" t="s">
        <v>499</v>
      </c>
      <c r="C417" s="3" t="s">
        <v>85</v>
      </c>
      <c r="D417" s="2" t="s">
        <v>957</v>
      </c>
    </row>
    <row r="418" spans="1:4" ht="80" x14ac:dyDescent="0.2">
      <c r="A418">
        <v>417</v>
      </c>
      <c r="B418" t="s">
        <v>499</v>
      </c>
      <c r="C418" s="3" t="s">
        <v>500</v>
      </c>
      <c r="D418" s="2" t="s">
        <v>958</v>
      </c>
    </row>
    <row r="419" spans="1:4" ht="96" x14ac:dyDescent="0.2">
      <c r="A419">
        <v>418</v>
      </c>
      <c r="B419" t="s">
        <v>501</v>
      </c>
      <c r="C419" s="3" t="s">
        <v>502</v>
      </c>
      <c r="D419" s="2" t="s">
        <v>959</v>
      </c>
    </row>
    <row r="420" spans="1:4" ht="96" x14ac:dyDescent="0.2">
      <c r="A420">
        <v>419</v>
      </c>
      <c r="B420" t="s">
        <v>503</v>
      </c>
      <c r="C420" s="3" t="s">
        <v>504</v>
      </c>
      <c r="D420" s="2" t="s">
        <v>960</v>
      </c>
    </row>
    <row r="421" spans="1:4" ht="80" x14ac:dyDescent="0.2">
      <c r="A421">
        <v>420</v>
      </c>
      <c r="B421" t="s">
        <v>505</v>
      </c>
      <c r="C421" s="3" t="s">
        <v>506</v>
      </c>
      <c r="D421" s="2" t="s">
        <v>961</v>
      </c>
    </row>
    <row r="422" spans="1:4" ht="80" x14ac:dyDescent="0.2">
      <c r="A422">
        <v>421</v>
      </c>
      <c r="B422" t="s">
        <v>505</v>
      </c>
      <c r="C422" s="3" t="s">
        <v>298</v>
      </c>
      <c r="D422" s="2" t="s">
        <v>962</v>
      </c>
    </row>
    <row r="423" spans="1:4" ht="96" x14ac:dyDescent="0.2">
      <c r="A423">
        <v>422</v>
      </c>
      <c r="B423" t="s">
        <v>507</v>
      </c>
      <c r="C423" s="3" t="s">
        <v>508</v>
      </c>
      <c r="D423" s="2" t="s">
        <v>963</v>
      </c>
    </row>
    <row r="424" spans="1:4" ht="80" x14ac:dyDescent="0.2">
      <c r="A424">
        <v>423</v>
      </c>
      <c r="B424" t="s">
        <v>507</v>
      </c>
      <c r="C424" s="3" t="s">
        <v>509</v>
      </c>
      <c r="D424" s="2" t="s">
        <v>964</v>
      </c>
    </row>
    <row r="425" spans="1:4" ht="96" x14ac:dyDescent="0.2">
      <c r="A425">
        <v>424</v>
      </c>
      <c r="B425" t="s">
        <v>510</v>
      </c>
      <c r="C425" s="3" t="s">
        <v>511</v>
      </c>
      <c r="D425" s="2" t="s">
        <v>965</v>
      </c>
    </row>
    <row r="426" spans="1:4" ht="96" x14ac:dyDescent="0.2">
      <c r="A426">
        <v>425</v>
      </c>
      <c r="B426" t="s">
        <v>512</v>
      </c>
      <c r="C426" s="3" t="s">
        <v>513</v>
      </c>
      <c r="D426" s="2" t="s">
        <v>966</v>
      </c>
    </row>
    <row r="427" spans="1:4" ht="80" x14ac:dyDescent="0.2">
      <c r="A427">
        <v>426</v>
      </c>
      <c r="B427" t="s">
        <v>512</v>
      </c>
      <c r="C427" s="3" t="s">
        <v>514</v>
      </c>
      <c r="D427" s="2" t="s">
        <v>967</v>
      </c>
    </row>
    <row r="428" spans="1:4" ht="96" x14ac:dyDescent="0.2">
      <c r="A428">
        <v>427</v>
      </c>
      <c r="B428" t="s">
        <v>515</v>
      </c>
      <c r="C428" s="3" t="s">
        <v>516</v>
      </c>
      <c r="D428" s="2" t="s">
        <v>968</v>
      </c>
    </row>
    <row r="429" spans="1:4" ht="160" x14ac:dyDescent="0.2">
      <c r="A429">
        <v>428</v>
      </c>
      <c r="B429" t="s">
        <v>517</v>
      </c>
      <c r="C429" s="3" t="s">
        <v>82</v>
      </c>
      <c r="D429" s="2" t="s">
        <v>969</v>
      </c>
    </row>
    <row r="430" spans="1:4" ht="64" x14ac:dyDescent="0.2">
      <c r="A430">
        <v>429</v>
      </c>
      <c r="B430" t="s">
        <v>517</v>
      </c>
      <c r="C430" s="3" t="s">
        <v>99</v>
      </c>
      <c r="D430" s="2" t="s">
        <v>970</v>
      </c>
    </row>
    <row r="431" spans="1:4" ht="160" x14ac:dyDescent="0.2">
      <c r="A431">
        <v>430</v>
      </c>
      <c r="B431" t="s">
        <v>517</v>
      </c>
      <c r="C431" s="3" t="s">
        <v>85</v>
      </c>
      <c r="D431" s="2" t="s">
        <v>971</v>
      </c>
    </row>
    <row r="432" spans="1:4" ht="80" x14ac:dyDescent="0.2">
      <c r="A432">
        <v>431</v>
      </c>
      <c r="B432" t="s">
        <v>517</v>
      </c>
      <c r="C432" s="3" t="s">
        <v>284</v>
      </c>
      <c r="D432" s="2" t="s">
        <v>972</v>
      </c>
    </row>
    <row r="433" spans="1:4" ht="80" x14ac:dyDescent="0.2">
      <c r="A433">
        <v>432</v>
      </c>
      <c r="B433" t="s">
        <v>517</v>
      </c>
      <c r="C433" s="3" t="s">
        <v>518</v>
      </c>
      <c r="D433" s="2" t="s">
        <v>973</v>
      </c>
    </row>
    <row r="434" spans="1:4" ht="176" x14ac:dyDescent="0.2">
      <c r="A434">
        <v>433</v>
      </c>
      <c r="B434" t="s">
        <v>519</v>
      </c>
      <c r="C434" s="3" t="s">
        <v>285</v>
      </c>
      <c r="D434" s="2" t="s">
        <v>974</v>
      </c>
    </row>
    <row r="435" spans="1:4" ht="96" x14ac:dyDescent="0.2">
      <c r="A435">
        <v>434</v>
      </c>
      <c r="B435" t="s">
        <v>519</v>
      </c>
      <c r="C435" s="3" t="s">
        <v>520</v>
      </c>
      <c r="D435" s="2" t="s">
        <v>975</v>
      </c>
    </row>
    <row r="436" spans="1:4" ht="96" x14ac:dyDescent="0.2">
      <c r="A436">
        <v>435</v>
      </c>
      <c r="B436" t="s">
        <v>519</v>
      </c>
      <c r="C436" s="3" t="s">
        <v>457</v>
      </c>
      <c r="D436" s="2" t="s">
        <v>976</v>
      </c>
    </row>
    <row r="437" spans="1:4" ht="96" x14ac:dyDescent="0.2">
      <c r="A437">
        <v>436</v>
      </c>
      <c r="B437" t="s">
        <v>519</v>
      </c>
      <c r="C437" s="3" t="s">
        <v>458</v>
      </c>
      <c r="D437" s="2" t="s">
        <v>977</v>
      </c>
    </row>
    <row r="438" spans="1:4" ht="80" x14ac:dyDescent="0.2">
      <c r="A438">
        <v>437</v>
      </c>
      <c r="B438" t="s">
        <v>519</v>
      </c>
      <c r="C438" s="3" t="s">
        <v>99</v>
      </c>
      <c r="D438" s="2" t="s">
        <v>978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C655F-1982-ED47-B8E6-A0FE03750AAE}">
  <dimension ref="A1:K450"/>
  <sheetViews>
    <sheetView topLeftCell="A421" workbookViewId="0">
      <selection activeCell="J450" sqref="J1:J450"/>
    </sheetView>
  </sheetViews>
  <sheetFormatPr baseColWidth="10" defaultRowHeight="15" x14ac:dyDescent="0.2"/>
  <cols>
    <col min="1" max="1" width="12.33203125" bestFit="1" customWidth="1"/>
    <col min="2" max="2" width="18" customWidth="1"/>
    <col min="3" max="3" width="56.83203125" customWidth="1"/>
    <col min="4" max="4" width="16.5" bestFit="1" customWidth="1"/>
    <col min="5" max="5" width="18.33203125" bestFit="1" customWidth="1"/>
    <col min="6" max="6" width="14.83203125" bestFit="1" customWidth="1"/>
    <col min="9" max="9" width="18.5" style="12" customWidth="1"/>
    <col min="10" max="10" width="73.1640625" customWidth="1"/>
  </cols>
  <sheetData>
    <row r="1" spans="1:11" ht="48" x14ac:dyDescent="0.2">
      <c r="A1" s="15" t="s">
        <v>979</v>
      </c>
      <c r="B1" s="15" t="s">
        <v>0</v>
      </c>
      <c r="C1" s="19" t="s">
        <v>1</v>
      </c>
      <c r="D1" s="20" t="s">
        <v>995</v>
      </c>
      <c r="E1" s="20" t="s">
        <v>2</v>
      </c>
      <c r="F1" s="20" t="s">
        <v>1005</v>
      </c>
      <c r="G1" s="20" t="s">
        <v>1003</v>
      </c>
      <c r="H1" s="20" t="s">
        <v>1004</v>
      </c>
      <c r="I1" s="21" t="s">
        <v>1006</v>
      </c>
      <c r="J1" s="22" t="s">
        <v>1031</v>
      </c>
    </row>
    <row r="2" spans="1:11" ht="144" x14ac:dyDescent="0.2">
      <c r="A2" s="16">
        <v>1</v>
      </c>
      <c r="B2" s="16" t="s">
        <v>3</v>
      </c>
      <c r="C2" s="17" t="s">
        <v>4</v>
      </c>
      <c r="D2" s="16" t="s">
        <v>996</v>
      </c>
      <c r="E2" s="16" t="s">
        <v>5</v>
      </c>
      <c r="F2" s="16">
        <v>700000</v>
      </c>
      <c r="G2" s="16">
        <v>700000</v>
      </c>
      <c r="H2" s="16">
        <v>1000000</v>
      </c>
      <c r="I2" s="18" cm="1">
        <f t="array" ref="I2">_xlfn.IFS(F2=H2,1,F2=G2,0,F2&lt;&gt;G2,(F2-G2)/(G2))</f>
        <v>0</v>
      </c>
      <c r="J2" s="17" t="str">
        <f>VLOOKUP($E2,статьи!$G$2:$I$24,2,)</f>
        <v>Воспрепятствование профессиональным участником рынка ценных бумаг,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проведению Банком России проверок либо неисполнение или ненадлежащее исполнение предписаний Банка России</v>
      </c>
      <c r="K2" s="2"/>
    </row>
    <row r="3" spans="1:11" ht="64" x14ac:dyDescent="0.2">
      <c r="A3" s="16">
        <v>2</v>
      </c>
      <c r="B3" s="16" t="s">
        <v>3</v>
      </c>
      <c r="C3" s="17" t="s">
        <v>6</v>
      </c>
      <c r="D3" s="16" t="s">
        <v>996</v>
      </c>
      <c r="E3" s="16" t="s">
        <v>7</v>
      </c>
      <c r="F3" s="16">
        <v>700000</v>
      </c>
      <c r="G3" s="16">
        <v>700000</v>
      </c>
      <c r="H3" s="16">
        <v>1000000</v>
      </c>
      <c r="I3" s="18" cm="1">
        <f t="array" ref="I3">_xlfn.IFS(F3=H3,1,F3=G3,0,F3&lt;&gt;G3,(F3-G3)/(G3))</f>
        <v>0</v>
      </c>
      <c r="J3" s="17" t="str">
        <f>VLOOKUP($E3,статьи!$G$2:$I$24,2,)</f>
        <v xml:space="preserve">Нарушение управляющей компанией акционерного инвестиционного фонда или паевого инвестиционного фонда предусмотренных федеральными законами и иными нормативными правовыми актами Российской Федерации ограничений ее деятельности -
</v>
      </c>
    </row>
    <row r="4" spans="1:11" ht="176" x14ac:dyDescent="0.2">
      <c r="A4" s="16">
        <v>2</v>
      </c>
      <c r="B4" s="16" t="s">
        <v>3</v>
      </c>
      <c r="C4" s="17" t="s">
        <v>6</v>
      </c>
      <c r="D4" s="16" t="s">
        <v>996</v>
      </c>
      <c r="E4" s="16" t="s">
        <v>8</v>
      </c>
      <c r="F4" s="16">
        <v>320000</v>
      </c>
      <c r="G4" s="16">
        <v>300000</v>
      </c>
      <c r="H4" s="16">
        <v>500000</v>
      </c>
      <c r="I4" s="18" cm="1">
        <f t="array" ref="I4">_xlfn.IFS(F4=H4,1,F4=G4,0,F4&lt;&gt;G4,(F4-G4)/(G4))</f>
        <v>6.6666666666666666E-2</v>
      </c>
      <c r="J4" s="17" t="str">
        <f>VLOOKUP($E4,статьи!$G$2:$I$24,2,)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5" spans="1:11" ht="176" x14ac:dyDescent="0.2">
      <c r="A5" s="16">
        <v>3</v>
      </c>
      <c r="B5" s="16" t="s">
        <v>9</v>
      </c>
      <c r="C5" s="17" t="s">
        <v>10</v>
      </c>
      <c r="D5" s="16" t="s">
        <v>996</v>
      </c>
      <c r="E5" s="16" t="s">
        <v>8</v>
      </c>
      <c r="F5" s="16" t="s">
        <v>11</v>
      </c>
      <c r="G5" s="16">
        <v>300000</v>
      </c>
      <c r="H5" s="16">
        <v>500000</v>
      </c>
      <c r="I5" s="18" t="e" cm="1">
        <f t="array" ref="I5">_xlfn.IFS(F5=H5,1,F5=G5,0,F5&lt;&gt;G5,(F5-G5)/(G5))</f>
        <v>#VALUE!</v>
      </c>
      <c r="J5" s="17" t="str">
        <f>VLOOKUP($E5,статьи!$G$2:$I$24,2,)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6" spans="1:11" ht="144" x14ac:dyDescent="0.2">
      <c r="A6" s="16">
        <v>4</v>
      </c>
      <c r="B6" s="16" t="s">
        <v>12</v>
      </c>
      <c r="C6" s="17" t="s">
        <v>13</v>
      </c>
      <c r="D6" s="16" t="s">
        <v>996</v>
      </c>
      <c r="E6" s="16" t="s">
        <v>5</v>
      </c>
      <c r="F6" s="16">
        <v>1000000</v>
      </c>
      <c r="G6" s="16">
        <v>700000</v>
      </c>
      <c r="H6" s="16">
        <v>1000000</v>
      </c>
      <c r="I6" s="18" cm="1">
        <f t="array" ref="I6">_xlfn.IFS(F6=H6,1,F6=G6,0,F6&lt;&gt;G6,(F6-G6)/(G6))</f>
        <v>1</v>
      </c>
      <c r="J6" s="17" t="str">
        <f>VLOOKUP($E6,статьи!$G$2:$I$24,2,)</f>
        <v>Воспрепятствование профессиональным участником рынка ценных бумаг,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проведению Банком России проверок либо неисполнение или ненадлежащее исполнение предписаний Банка России</v>
      </c>
    </row>
    <row r="7" spans="1:11" ht="176" x14ac:dyDescent="0.2">
      <c r="A7" s="16">
        <v>5</v>
      </c>
      <c r="B7" s="16" t="s">
        <v>12</v>
      </c>
      <c r="C7" s="17" t="s">
        <v>14</v>
      </c>
      <c r="D7" s="16" t="s">
        <v>996</v>
      </c>
      <c r="E7" s="16" t="s">
        <v>8</v>
      </c>
      <c r="F7" s="16">
        <v>350000</v>
      </c>
      <c r="G7" s="16">
        <v>300000</v>
      </c>
      <c r="H7" s="16">
        <v>500000</v>
      </c>
      <c r="I7" s="18" cm="1">
        <f t="array" ref="I7">_xlfn.IFS(F7=H7,1,F7=G7,0,F7&lt;&gt;G7,(F7-G7)/(G7))</f>
        <v>0.16666666666666666</v>
      </c>
      <c r="J7" s="17" t="str">
        <f>VLOOKUP($E7,статьи!$G$2:$I$24,2,)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8" spans="1:11" ht="64" x14ac:dyDescent="0.2">
      <c r="A8" s="16">
        <v>6</v>
      </c>
      <c r="B8" s="16" t="s">
        <v>12</v>
      </c>
      <c r="C8" s="17" t="s">
        <v>15</v>
      </c>
      <c r="D8" s="16" t="s">
        <v>996</v>
      </c>
      <c r="E8" s="16" t="s">
        <v>7</v>
      </c>
      <c r="F8" s="16" t="s">
        <v>11</v>
      </c>
      <c r="G8" s="16">
        <v>700000</v>
      </c>
      <c r="H8" s="16">
        <v>1000000</v>
      </c>
      <c r="I8" s="18" t="e" cm="1">
        <f t="array" ref="I8">_xlfn.IFS(F8=H8,1,F8=G8,0,F8&lt;&gt;G8,(F8-G8)/(G8))</f>
        <v>#VALUE!</v>
      </c>
      <c r="J8" s="17" t="str">
        <f>VLOOKUP($E8,статьи!$G$2:$I$24,2,)</f>
        <v xml:space="preserve">Нарушение управляющей компанией акционерного инвестиционного фонда или паевого инвестиционного фонда предусмотренных федеральными законами и иными нормативными правовыми актами Российской Федерации ограничений ее деятельности -
</v>
      </c>
    </row>
    <row r="9" spans="1:11" ht="176" x14ac:dyDescent="0.2">
      <c r="A9" s="16">
        <v>7</v>
      </c>
      <c r="B9" s="16" t="s">
        <v>12</v>
      </c>
      <c r="C9" s="17" t="s">
        <v>16</v>
      </c>
      <c r="D9" s="16" t="s">
        <v>996</v>
      </c>
      <c r="E9" s="16" t="s">
        <v>8</v>
      </c>
      <c r="F9" s="16" t="s">
        <v>11</v>
      </c>
      <c r="G9" s="16">
        <v>300000</v>
      </c>
      <c r="H9" s="16">
        <v>500000</v>
      </c>
      <c r="I9" s="18" t="e" cm="1">
        <f t="array" ref="I9">_xlfn.IFS(F9=H9,1,F9=G9,0,F9&lt;&gt;G9,(F9-G9)/(G9))</f>
        <v>#VALUE!</v>
      </c>
      <c r="J9" s="17" t="str">
        <f>VLOOKUP($E9,статьи!$G$2:$I$24,2,)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10" spans="1:11" ht="96" x14ac:dyDescent="0.2">
      <c r="A10" s="16">
        <v>8</v>
      </c>
      <c r="B10" s="16" t="s">
        <v>12</v>
      </c>
      <c r="C10" s="17" t="s">
        <v>17</v>
      </c>
      <c r="D10" s="16" t="s">
        <v>996</v>
      </c>
      <c r="E10" s="16" t="s">
        <v>18</v>
      </c>
      <c r="F10" s="16">
        <v>250000</v>
      </c>
      <c r="G10" s="16">
        <v>500000</v>
      </c>
      <c r="H10" s="16">
        <v>700000</v>
      </c>
      <c r="I10" s="18" cm="1">
        <f t="array" ref="I10">_xlfn.IFS(F10=H10,1,F10=G10,0,F10&lt;&gt;G10,(F10-G10)/(G10))</f>
        <v>-0.5</v>
      </c>
      <c r="J10" s="17" t="str">
        <f>VLOOKUP($E10,статьи!$G$2:$I$24,2,)</f>
        <v xml:space="preserve">Нарушение установленных нормативными правовыми актами Российской Федерации и инвестиционной декларацией акционерного инвестиционного фонда или паевого инвестиционного фонда требований к составу активов акционерных инвестиционных фондов или паевых инвестиционных фондов либо неустранение нарушений в структуре активов акционерных инвестиционных фондов или паевых инвестиционных фондов -
</v>
      </c>
    </row>
    <row r="11" spans="1:11" ht="176" x14ac:dyDescent="0.2">
      <c r="A11" s="16">
        <v>9</v>
      </c>
      <c r="B11" s="16" t="s">
        <v>19</v>
      </c>
      <c r="C11" s="17" t="s">
        <v>20</v>
      </c>
      <c r="D11" s="16" t="s">
        <v>996</v>
      </c>
      <c r="E11" s="16" t="s">
        <v>8</v>
      </c>
      <c r="F11" s="16">
        <v>300000</v>
      </c>
      <c r="G11" s="16">
        <v>300000</v>
      </c>
      <c r="H11" s="16">
        <v>500000</v>
      </c>
      <c r="I11" s="18" cm="1">
        <f t="array" ref="I11">_xlfn.IFS(F11=H11,1,F11=G11,0,F11&lt;&gt;G11,(F11-G11)/(G11))</f>
        <v>0</v>
      </c>
      <c r="J11" s="17" t="str">
        <f>VLOOKUP($E11,статьи!$G$2:$I$24,2,)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12" spans="1:11" ht="16" x14ac:dyDescent="0.2">
      <c r="A12" s="16">
        <v>10</v>
      </c>
      <c r="B12" s="16" t="s">
        <v>21</v>
      </c>
      <c r="C12" s="17" t="s">
        <v>22</v>
      </c>
      <c r="D12" s="16" t="s">
        <v>997</v>
      </c>
      <c r="E12" s="16" t="s">
        <v>23</v>
      </c>
      <c r="F12" s="16">
        <v>3000</v>
      </c>
      <c r="G12" s="16">
        <v>3000</v>
      </c>
      <c r="H12" s="16">
        <v>5000</v>
      </c>
      <c r="I12" s="18" cm="1">
        <f t="array" ref="I12">_xlfn.IFS(F12=H12,1,F12=G12,0,F12&lt;&gt;G12,(F12-G12)/(G12))</f>
        <v>0</v>
      </c>
      <c r="J12" s="17" t="str">
        <f>VLOOKUP($E12,статьи!$G$2:$I$24,2,)</f>
        <v>Манипулирование рынком, если это действие не содержит уголовно наказуемого деяния</v>
      </c>
    </row>
    <row r="13" spans="1:11" ht="32" x14ac:dyDescent="0.2">
      <c r="A13" s="16">
        <v>11</v>
      </c>
      <c r="B13" s="16" t="s">
        <v>21</v>
      </c>
      <c r="C13" s="17" t="s">
        <v>26</v>
      </c>
      <c r="D13" s="16" t="s">
        <v>998</v>
      </c>
      <c r="E13" s="16" t="s">
        <v>23</v>
      </c>
      <c r="F13" s="16">
        <v>30000</v>
      </c>
      <c r="G13" s="16">
        <v>30000</v>
      </c>
      <c r="H13" s="16">
        <v>50000</v>
      </c>
      <c r="I13" s="18" cm="1">
        <f t="array" ref="I13">_xlfn.IFS(F13=H13,1,F13=G13,0,F13&lt;&gt;G13,(F13-G13)/(G13))</f>
        <v>0</v>
      </c>
      <c r="J13" s="17" t="str">
        <f>VLOOKUP($E13,статьи!$G$2:$I$24,2,)</f>
        <v>Манипулирование рынком, если это действие не содержит уголовно наказуемого деяния</v>
      </c>
    </row>
    <row r="14" spans="1:11" ht="16" x14ac:dyDescent="0.2">
      <c r="A14" s="16">
        <v>12</v>
      </c>
      <c r="B14" s="16" t="s">
        <v>21</v>
      </c>
      <c r="C14" s="17" t="s">
        <v>27</v>
      </c>
      <c r="D14" s="16" t="s">
        <v>997</v>
      </c>
      <c r="E14" s="16" t="s">
        <v>23</v>
      </c>
      <c r="F14" s="16">
        <v>3000</v>
      </c>
      <c r="G14" s="16">
        <v>3000</v>
      </c>
      <c r="H14" s="16">
        <v>5000</v>
      </c>
      <c r="I14" s="18" cm="1">
        <f t="array" ref="I14">_xlfn.IFS(F14=H14,1,F14=G14,0,F14&lt;&gt;G14,(F14-G14)/(G14))</f>
        <v>0</v>
      </c>
      <c r="J14" s="17" t="str">
        <f>VLOOKUP($E14,статьи!$G$2:$I$24,2,)</f>
        <v>Манипулирование рынком, если это действие не содержит уголовно наказуемого деяния</v>
      </c>
    </row>
    <row r="15" spans="1:11" ht="16" x14ac:dyDescent="0.2">
      <c r="A15" s="16">
        <v>13</v>
      </c>
      <c r="B15" s="16" t="s">
        <v>25</v>
      </c>
      <c r="C15" s="17" t="s">
        <v>28</v>
      </c>
      <c r="D15" s="16" t="s">
        <v>997</v>
      </c>
      <c r="E15" s="16" t="s">
        <v>23</v>
      </c>
      <c r="F15" s="16">
        <v>3000</v>
      </c>
      <c r="G15" s="16">
        <v>3000</v>
      </c>
      <c r="H15" s="16">
        <v>5000</v>
      </c>
      <c r="I15" s="18" cm="1">
        <f t="array" ref="I15">_xlfn.IFS(F15=H15,1,F15=G15,0,F15&lt;&gt;G15,(F15-G15)/(G15))</f>
        <v>0</v>
      </c>
      <c r="J15" s="17" t="str">
        <f>VLOOKUP($E15,статьи!$G$2:$I$24,2,)</f>
        <v>Манипулирование рынком, если это действие не содержит уголовно наказуемого деяния</v>
      </c>
    </row>
    <row r="16" spans="1:11" ht="16" x14ac:dyDescent="0.2">
      <c r="A16" s="16">
        <v>14</v>
      </c>
      <c r="B16" s="16" t="s">
        <v>29</v>
      </c>
      <c r="C16" s="17" t="s">
        <v>30</v>
      </c>
      <c r="D16" s="16" t="s">
        <v>997</v>
      </c>
      <c r="E16" s="16" t="s">
        <v>23</v>
      </c>
      <c r="F16" s="16">
        <v>3000</v>
      </c>
      <c r="G16" s="16">
        <v>3000</v>
      </c>
      <c r="H16" s="16">
        <v>5000</v>
      </c>
      <c r="I16" s="18" cm="1">
        <f t="array" ref="I16">_xlfn.IFS(F16=H16,1,F16=G16,0,F16&lt;&gt;G16,(F16-G16)/(G16))</f>
        <v>0</v>
      </c>
      <c r="J16" s="17" t="str">
        <f>VLOOKUP($E16,статьи!$G$2:$I$24,2,)</f>
        <v>Манипулирование рынком, если это действие не содержит уголовно наказуемого деяния</v>
      </c>
    </row>
    <row r="17" spans="1:10" ht="16" x14ac:dyDescent="0.2">
      <c r="A17" s="16">
        <v>15</v>
      </c>
      <c r="B17" s="16" t="s">
        <v>29</v>
      </c>
      <c r="C17" s="17" t="s">
        <v>31</v>
      </c>
      <c r="D17" s="16" t="s">
        <v>997</v>
      </c>
      <c r="E17" s="16" t="s">
        <v>23</v>
      </c>
      <c r="F17" s="16">
        <v>3000</v>
      </c>
      <c r="G17" s="16">
        <v>3000</v>
      </c>
      <c r="H17" s="16">
        <v>5000</v>
      </c>
      <c r="I17" s="18" cm="1">
        <f t="array" ref="I17">_xlfn.IFS(F17=H17,1,F17=G17,0,F17&lt;&gt;G17,(F17-G17)/(G17))</f>
        <v>0</v>
      </c>
      <c r="J17" s="17" t="str">
        <f>VLOOKUP($E17,статьи!$G$2:$I$24,2,)</f>
        <v>Манипулирование рынком, если это действие не содержит уголовно наказуемого деяния</v>
      </c>
    </row>
    <row r="18" spans="1:10" ht="16" x14ac:dyDescent="0.2">
      <c r="A18" s="16">
        <v>16</v>
      </c>
      <c r="B18" s="16" t="s">
        <v>29</v>
      </c>
      <c r="C18" s="17" t="s">
        <v>32</v>
      </c>
      <c r="D18" s="16" t="s">
        <v>997</v>
      </c>
      <c r="E18" s="16" t="s">
        <v>23</v>
      </c>
      <c r="F18" s="16">
        <v>3000</v>
      </c>
      <c r="G18" s="16">
        <v>3000</v>
      </c>
      <c r="H18" s="16">
        <v>5000</v>
      </c>
      <c r="I18" s="18" cm="1">
        <f t="array" ref="I18">_xlfn.IFS(F18=H18,1,F18=G18,0,F18&lt;&gt;G18,(F18-G18)/(G18))</f>
        <v>0</v>
      </c>
      <c r="J18" s="17" t="str">
        <f>VLOOKUP($E18,статьи!$G$2:$I$24,2,)</f>
        <v>Манипулирование рынком, если это действие не содержит уголовно наказуемого деяния</v>
      </c>
    </row>
    <row r="19" spans="1:10" ht="16" x14ac:dyDescent="0.2">
      <c r="A19" s="16">
        <v>17</v>
      </c>
      <c r="B19" s="16" t="s">
        <v>29</v>
      </c>
      <c r="C19" s="17" t="s">
        <v>33</v>
      </c>
      <c r="D19" s="16" t="s">
        <v>997</v>
      </c>
      <c r="E19" s="16" t="s">
        <v>23</v>
      </c>
      <c r="F19" s="16">
        <v>3000</v>
      </c>
      <c r="G19" s="16">
        <v>3000</v>
      </c>
      <c r="H19" s="16">
        <v>5000</v>
      </c>
      <c r="I19" s="18" cm="1">
        <f t="array" ref="I19">_xlfn.IFS(F19=H19,1,F19=G19,0,F19&lt;&gt;G19,(F19-G19)/(G19))</f>
        <v>0</v>
      </c>
      <c r="J19" s="17" t="str">
        <f>VLOOKUP($E19,статьи!$G$2:$I$24,2,)</f>
        <v>Манипулирование рынком, если это действие не содержит уголовно наказуемого деяния</v>
      </c>
    </row>
    <row r="20" spans="1:10" ht="16" x14ac:dyDescent="0.2">
      <c r="A20" s="16">
        <v>18</v>
      </c>
      <c r="B20" s="16" t="s">
        <v>29</v>
      </c>
      <c r="C20" s="17" t="s">
        <v>34</v>
      </c>
      <c r="D20" s="16" t="s">
        <v>997</v>
      </c>
      <c r="E20" s="16" t="s">
        <v>23</v>
      </c>
      <c r="F20" s="16">
        <v>3000</v>
      </c>
      <c r="G20" s="16">
        <v>3000</v>
      </c>
      <c r="H20" s="16">
        <v>5000</v>
      </c>
      <c r="I20" s="18" cm="1">
        <f t="array" ref="I20">_xlfn.IFS(F20=H20,1,F20=G20,0,F20&lt;&gt;G20,(F20-G20)/(G20))</f>
        <v>0</v>
      </c>
      <c r="J20" s="17" t="str">
        <f>VLOOKUP($E20,статьи!$G$2:$I$24,2,)</f>
        <v>Манипулирование рынком, если это действие не содержит уголовно наказуемого деяния</v>
      </c>
    </row>
    <row r="21" spans="1:10" ht="16" x14ac:dyDescent="0.2">
      <c r="A21" s="16">
        <v>19</v>
      </c>
      <c r="B21" s="16" t="s">
        <v>29</v>
      </c>
      <c r="C21" s="17" t="s">
        <v>35</v>
      </c>
      <c r="D21" s="16" t="s">
        <v>997</v>
      </c>
      <c r="E21" s="16" t="s">
        <v>23</v>
      </c>
      <c r="F21" s="16">
        <v>3000</v>
      </c>
      <c r="G21" s="16">
        <v>3000</v>
      </c>
      <c r="H21" s="16">
        <v>5000</v>
      </c>
      <c r="I21" s="18" cm="1">
        <f t="array" ref="I21">_xlfn.IFS(F21=H21,1,F21=G21,0,F21&lt;&gt;G21,(F21-G21)/(G21))</f>
        <v>0</v>
      </c>
      <c r="J21" s="17" t="str">
        <f>VLOOKUP($E21,статьи!$G$2:$I$24,2,)</f>
        <v>Манипулирование рынком, если это действие не содержит уголовно наказуемого деяния</v>
      </c>
    </row>
    <row r="22" spans="1:10" ht="16" x14ac:dyDescent="0.2">
      <c r="A22" s="16">
        <v>20</v>
      </c>
      <c r="B22" s="16" t="s">
        <v>29</v>
      </c>
      <c r="C22" s="17" t="s">
        <v>36</v>
      </c>
      <c r="D22" s="16" t="s">
        <v>997</v>
      </c>
      <c r="E22" s="16" t="s">
        <v>23</v>
      </c>
      <c r="F22" s="16" t="s">
        <v>24</v>
      </c>
      <c r="G22" s="16">
        <v>3000</v>
      </c>
      <c r="H22" s="16">
        <v>5000</v>
      </c>
      <c r="I22" s="18" cm="1">
        <f t="array" ref="I22">_xlfn.IFS(F22=H22,1,F22=G22,0,F22&lt;&gt;G22,(F22-G22)/(G22))</f>
        <v>0</v>
      </c>
      <c r="J22" s="17" t="str">
        <f>VLOOKUP($E22,статьи!$G$2:$I$24,2,)</f>
        <v>Манипулирование рынком, если это действие не содержит уголовно наказуемого деяния</v>
      </c>
    </row>
    <row r="23" spans="1:10" ht="16" x14ac:dyDescent="0.2">
      <c r="A23" s="16">
        <v>21</v>
      </c>
      <c r="B23" s="16" t="s">
        <v>37</v>
      </c>
      <c r="C23" s="17" t="s">
        <v>38</v>
      </c>
      <c r="D23" s="16" t="s">
        <v>997</v>
      </c>
      <c r="E23" s="16" t="s">
        <v>23</v>
      </c>
      <c r="F23" s="16" t="s">
        <v>24</v>
      </c>
      <c r="G23" s="16">
        <v>3000</v>
      </c>
      <c r="H23" s="16">
        <v>5000</v>
      </c>
      <c r="I23" s="18" cm="1">
        <f t="array" ref="I23">_xlfn.IFS(F23=H23,1,F23=G23,0,F23&lt;&gt;G23,(F23-G23)/(G23))</f>
        <v>0</v>
      </c>
      <c r="J23" s="17" t="str">
        <f>VLOOKUP($E23,статьи!$G$2:$I$24,2,)</f>
        <v>Манипулирование рынком, если это действие не содержит уголовно наказуемого деяния</v>
      </c>
    </row>
    <row r="24" spans="1:10" ht="16" x14ac:dyDescent="0.2">
      <c r="A24" s="16">
        <v>22</v>
      </c>
      <c r="B24" s="16" t="s">
        <v>37</v>
      </c>
      <c r="C24" s="17" t="s">
        <v>39</v>
      </c>
      <c r="D24" s="16" t="s">
        <v>997</v>
      </c>
      <c r="E24" s="16" t="s">
        <v>23</v>
      </c>
      <c r="F24" s="16">
        <v>3000</v>
      </c>
      <c r="G24" s="16">
        <v>3000</v>
      </c>
      <c r="H24" s="16">
        <v>5000</v>
      </c>
      <c r="I24" s="18" cm="1">
        <f t="array" ref="I24">_xlfn.IFS(F24=H24,1,F24=G24,0,F24&lt;&gt;G24,(F24-G24)/(G24))</f>
        <v>0</v>
      </c>
      <c r="J24" s="17" t="str">
        <f>VLOOKUP($E24,статьи!$G$2:$I$24,2,)</f>
        <v>Манипулирование рынком, если это действие не содержит уголовно наказуемого деяния</v>
      </c>
    </row>
    <row r="25" spans="1:10" ht="16" x14ac:dyDescent="0.2">
      <c r="A25" s="16">
        <v>23</v>
      </c>
      <c r="B25" s="16" t="s">
        <v>40</v>
      </c>
      <c r="C25" s="17" t="s">
        <v>41</v>
      </c>
      <c r="D25" s="16" t="s">
        <v>997</v>
      </c>
      <c r="E25" s="16" t="s">
        <v>23</v>
      </c>
      <c r="F25" s="16">
        <v>3000</v>
      </c>
      <c r="G25" s="16">
        <v>3000</v>
      </c>
      <c r="H25" s="16">
        <v>5000</v>
      </c>
      <c r="I25" s="18" cm="1">
        <f t="array" ref="I25">_xlfn.IFS(F25=H25,1,F25=G25,0,F25&lt;&gt;G25,(F25-G25)/(G25))</f>
        <v>0</v>
      </c>
      <c r="J25" s="17" t="str">
        <f>VLOOKUP($E25,статьи!$G$2:$I$24,2,)</f>
        <v>Манипулирование рынком, если это действие не содержит уголовно наказуемого деяния</v>
      </c>
    </row>
    <row r="26" spans="1:10" ht="16" x14ac:dyDescent="0.2">
      <c r="A26" s="16">
        <v>24</v>
      </c>
      <c r="B26" s="16" t="s">
        <v>42</v>
      </c>
      <c r="C26" s="17" t="s">
        <v>43</v>
      </c>
      <c r="D26" s="16" t="s">
        <v>997</v>
      </c>
      <c r="E26" s="16" t="s">
        <v>23</v>
      </c>
      <c r="F26" s="16">
        <v>3000</v>
      </c>
      <c r="G26" s="16">
        <v>3000</v>
      </c>
      <c r="H26" s="16">
        <v>5000</v>
      </c>
      <c r="I26" s="18" cm="1">
        <f t="array" ref="I26">_xlfn.IFS(F26=H26,1,F26=G26,0,F26&lt;&gt;G26,(F26-G26)/(G26))</f>
        <v>0</v>
      </c>
      <c r="J26" s="17" t="str">
        <f>VLOOKUP($E26,статьи!$G$2:$I$24,2,)</f>
        <v>Манипулирование рынком, если это действие не содержит уголовно наказуемого деяния</v>
      </c>
    </row>
    <row r="27" spans="1:10" ht="16" x14ac:dyDescent="0.2">
      <c r="A27" s="16">
        <v>25</v>
      </c>
      <c r="B27" s="16" t="s">
        <v>42</v>
      </c>
      <c r="C27" s="17" t="s">
        <v>44</v>
      </c>
      <c r="D27" s="16" t="s">
        <v>997</v>
      </c>
      <c r="E27" s="16" t="s">
        <v>23</v>
      </c>
      <c r="F27" s="16">
        <v>3000</v>
      </c>
      <c r="G27" s="16">
        <v>3000</v>
      </c>
      <c r="H27" s="16">
        <v>5000</v>
      </c>
      <c r="I27" s="18" cm="1">
        <f t="array" ref="I27">_xlfn.IFS(F27=H27,1,F27=G27,0,F27&lt;&gt;G27,(F27-G27)/(G27))</f>
        <v>0</v>
      </c>
      <c r="J27" s="17" t="str">
        <f>VLOOKUP($E27,статьи!$G$2:$I$24,2,)</f>
        <v>Манипулирование рынком, если это действие не содержит уголовно наказуемого деяния</v>
      </c>
    </row>
    <row r="28" spans="1:10" ht="16" x14ac:dyDescent="0.2">
      <c r="A28" s="16">
        <v>26</v>
      </c>
      <c r="B28" s="16" t="s">
        <v>42</v>
      </c>
      <c r="C28" s="17" t="s">
        <v>45</v>
      </c>
      <c r="D28" s="16" t="s">
        <v>997</v>
      </c>
      <c r="E28" s="16" t="s">
        <v>23</v>
      </c>
      <c r="F28" s="16">
        <v>3000</v>
      </c>
      <c r="G28" s="16">
        <v>3000</v>
      </c>
      <c r="H28" s="16">
        <v>5000</v>
      </c>
      <c r="I28" s="18" cm="1">
        <f t="array" ref="I28">_xlfn.IFS(F28=H28,1,F28=G28,0,F28&lt;&gt;G28,(F28-G28)/(G28))</f>
        <v>0</v>
      </c>
      <c r="J28" s="17" t="str">
        <f>VLOOKUP($E28,статьи!$G$2:$I$24,2,)</f>
        <v>Манипулирование рынком, если это действие не содержит уголовно наказуемого деяния</v>
      </c>
    </row>
    <row r="29" spans="1:10" ht="16" x14ac:dyDescent="0.2">
      <c r="A29" s="16">
        <v>27</v>
      </c>
      <c r="B29" s="16" t="s">
        <v>42</v>
      </c>
      <c r="C29" s="17" t="s">
        <v>46</v>
      </c>
      <c r="D29" s="16" t="s">
        <v>997</v>
      </c>
      <c r="E29" s="16" t="s">
        <v>23</v>
      </c>
      <c r="F29" s="16">
        <v>3000</v>
      </c>
      <c r="G29" s="16">
        <v>3000</v>
      </c>
      <c r="H29" s="16">
        <v>5000</v>
      </c>
      <c r="I29" s="18" cm="1">
        <f t="array" ref="I29">_xlfn.IFS(F29=H29,1,F29=G29,0,F29&lt;&gt;G29,(F29-G29)/(G29))</f>
        <v>0</v>
      </c>
      <c r="J29" s="17" t="str">
        <f>VLOOKUP($E29,статьи!$G$2:$I$24,2,)</f>
        <v>Манипулирование рынком, если это действие не содержит уголовно наказуемого деяния</v>
      </c>
    </row>
    <row r="30" spans="1:10" ht="16" x14ac:dyDescent="0.2">
      <c r="A30" s="16">
        <v>28</v>
      </c>
      <c r="B30" s="16" t="s">
        <v>42</v>
      </c>
      <c r="C30" s="17" t="s">
        <v>47</v>
      </c>
      <c r="D30" s="16" t="s">
        <v>997</v>
      </c>
      <c r="E30" s="16" t="s">
        <v>23</v>
      </c>
      <c r="F30" s="16">
        <v>3000</v>
      </c>
      <c r="G30" s="16">
        <v>3000</v>
      </c>
      <c r="H30" s="16">
        <v>5000</v>
      </c>
      <c r="I30" s="18" cm="1">
        <f t="array" ref="I30">_xlfn.IFS(F30=H30,1,F30=G30,0,F30&lt;&gt;G30,(F30-G30)/(G30))</f>
        <v>0</v>
      </c>
      <c r="J30" s="17" t="str">
        <f>VLOOKUP($E30,статьи!$G$2:$I$24,2,)</f>
        <v>Манипулирование рынком, если это действие не содержит уголовно наказуемого деяния</v>
      </c>
    </row>
    <row r="31" spans="1:10" ht="16" x14ac:dyDescent="0.2">
      <c r="A31" s="16">
        <v>29</v>
      </c>
      <c r="B31" s="16" t="s">
        <v>42</v>
      </c>
      <c r="C31" s="17" t="s">
        <v>48</v>
      </c>
      <c r="D31" s="16" t="s">
        <v>997</v>
      </c>
      <c r="E31" s="16" t="s">
        <v>23</v>
      </c>
      <c r="F31" s="16">
        <v>3000</v>
      </c>
      <c r="G31" s="16">
        <v>3000</v>
      </c>
      <c r="H31" s="16">
        <v>5000</v>
      </c>
      <c r="I31" s="18" cm="1">
        <f t="array" ref="I31">_xlfn.IFS(F31=H31,1,F31=G31,0,F31&lt;&gt;G31,(F31-G31)/(G31))</f>
        <v>0</v>
      </c>
      <c r="J31" s="17" t="str">
        <f>VLOOKUP($E31,статьи!$G$2:$I$24,2,)</f>
        <v>Манипулирование рынком, если это действие не содержит уголовно наказуемого деяния</v>
      </c>
    </row>
    <row r="32" spans="1:10" ht="16" x14ac:dyDescent="0.2">
      <c r="A32" s="16">
        <v>30</v>
      </c>
      <c r="B32" s="16" t="s">
        <v>49</v>
      </c>
      <c r="C32" s="17" t="s">
        <v>50</v>
      </c>
      <c r="D32" s="16" t="s">
        <v>997</v>
      </c>
      <c r="E32" s="16" t="s">
        <v>23</v>
      </c>
      <c r="F32" s="16">
        <v>30000</v>
      </c>
      <c r="G32" s="16">
        <v>3000</v>
      </c>
      <c r="H32" s="16">
        <v>5000</v>
      </c>
      <c r="I32" s="18" cm="1">
        <f t="array" ref="I32">_xlfn.IFS(F32=H32,1,F32=G32,0,F32&lt;&gt;G32,(F32-G32)/(G32))</f>
        <v>9</v>
      </c>
      <c r="J32" s="17" t="str">
        <f>VLOOKUP($E32,статьи!$G$2:$I$24,2,)</f>
        <v>Манипулирование рынком, если это действие не содержит уголовно наказуемого деяния</v>
      </c>
    </row>
    <row r="33" spans="1:10" ht="16" x14ac:dyDescent="0.2">
      <c r="A33" s="16">
        <v>31</v>
      </c>
      <c r="B33" s="16" t="s">
        <v>49</v>
      </c>
      <c r="C33" s="17" t="s">
        <v>52</v>
      </c>
      <c r="D33" s="16" t="s">
        <v>997</v>
      </c>
      <c r="E33" s="16" t="s">
        <v>23</v>
      </c>
      <c r="F33" s="16">
        <v>30000</v>
      </c>
      <c r="G33" s="16">
        <v>3000</v>
      </c>
      <c r="H33" s="16">
        <v>5000</v>
      </c>
      <c r="I33" s="18" cm="1">
        <f t="array" ref="I33">_xlfn.IFS(F33=H33,1,F33=G33,0,F33&lt;&gt;G33,(F33-G33)/(G33))</f>
        <v>9</v>
      </c>
      <c r="J33" s="17" t="str">
        <f>VLOOKUP($E33,статьи!$G$2:$I$24,2,)</f>
        <v>Манипулирование рынком, если это действие не содержит уголовно наказуемого деяния</v>
      </c>
    </row>
    <row r="34" spans="1:10" ht="16" x14ac:dyDescent="0.2">
      <c r="A34" s="16">
        <v>32</v>
      </c>
      <c r="B34" s="16" t="s">
        <v>49</v>
      </c>
      <c r="C34" s="17" t="s">
        <v>53</v>
      </c>
      <c r="D34" s="16" t="s">
        <v>997</v>
      </c>
      <c r="E34" s="16" t="s">
        <v>23</v>
      </c>
      <c r="F34" s="16">
        <v>3000</v>
      </c>
      <c r="G34" s="16">
        <v>3000</v>
      </c>
      <c r="H34" s="16">
        <v>5000</v>
      </c>
      <c r="I34" s="18" cm="1">
        <f t="array" ref="I34">_xlfn.IFS(F34=H34,1,F34=G34,0,F34&lt;&gt;G34,(F34-G34)/(G34))</f>
        <v>0</v>
      </c>
      <c r="J34" s="17" t="str">
        <f>VLOOKUP($E34,статьи!$G$2:$I$24,2,)</f>
        <v>Манипулирование рынком, если это действие не содержит уголовно наказуемого деяния</v>
      </c>
    </row>
    <row r="35" spans="1:10" ht="16" x14ac:dyDescent="0.2">
      <c r="A35" s="16">
        <v>33</v>
      </c>
      <c r="B35" s="16" t="s">
        <v>49</v>
      </c>
      <c r="C35" s="17" t="s">
        <v>54</v>
      </c>
      <c r="D35" s="16" t="s">
        <v>997</v>
      </c>
      <c r="E35" s="16" t="s">
        <v>23</v>
      </c>
      <c r="F35" s="16">
        <v>3000</v>
      </c>
      <c r="G35" s="16">
        <v>3000</v>
      </c>
      <c r="H35" s="16">
        <v>5000</v>
      </c>
      <c r="I35" s="18" cm="1">
        <f t="array" ref="I35">_xlfn.IFS(F35=H35,1,F35=G35,0,F35&lt;&gt;G35,(F35-G35)/(G35))</f>
        <v>0</v>
      </c>
      <c r="J35" s="17" t="str">
        <f>VLOOKUP($E35,статьи!$G$2:$I$24,2,)</f>
        <v>Манипулирование рынком, если это действие не содержит уголовно наказуемого деяния</v>
      </c>
    </row>
    <row r="36" spans="1:10" ht="16" x14ac:dyDescent="0.2">
      <c r="A36" s="16">
        <v>34</v>
      </c>
      <c r="B36" s="16" t="s">
        <v>49</v>
      </c>
      <c r="C36" s="17" t="s">
        <v>55</v>
      </c>
      <c r="D36" s="16" t="s">
        <v>997</v>
      </c>
      <c r="E36" s="16" t="s">
        <v>23</v>
      </c>
      <c r="F36" s="16">
        <v>3000</v>
      </c>
      <c r="G36" s="16">
        <v>3000</v>
      </c>
      <c r="H36" s="16">
        <v>5000</v>
      </c>
      <c r="I36" s="18" cm="1">
        <f t="array" ref="I36">_xlfn.IFS(F36=H36,1,F36=G36,0,F36&lt;&gt;G36,(F36-G36)/(G36))</f>
        <v>0</v>
      </c>
      <c r="J36" s="17" t="str">
        <f>VLOOKUP($E36,статьи!$G$2:$I$24,2,)</f>
        <v>Манипулирование рынком, если это действие не содержит уголовно наказуемого деяния</v>
      </c>
    </row>
    <row r="37" spans="1:10" ht="16" x14ac:dyDescent="0.2">
      <c r="A37" s="16">
        <v>35</v>
      </c>
      <c r="B37" s="16" t="s">
        <v>56</v>
      </c>
      <c r="C37" s="17" t="s">
        <v>57</v>
      </c>
      <c r="D37" s="16" t="s">
        <v>996</v>
      </c>
      <c r="E37" s="16" t="s">
        <v>23</v>
      </c>
      <c r="F37" s="16">
        <v>700000</v>
      </c>
      <c r="G37" s="16">
        <v>700000</v>
      </c>
      <c r="H37" s="16" t="s">
        <v>1002</v>
      </c>
      <c r="I37" s="18" cm="1">
        <f t="array" ref="I37">_xlfn.IFS(F37=H37,1,F37=G37,0,F37&lt;&gt;G37,(F37-G37)/(G37))</f>
        <v>0</v>
      </c>
      <c r="J37" s="17" t="str">
        <f>VLOOKUP($E37,статьи!$G$2:$I$24,2,)</f>
        <v>Манипулирование рынком, если это действие не содержит уголовно наказуемого деяния</v>
      </c>
    </row>
    <row r="38" spans="1:10" ht="16" x14ac:dyDescent="0.2">
      <c r="A38" s="16">
        <v>36</v>
      </c>
      <c r="B38" s="16" t="s">
        <v>56</v>
      </c>
      <c r="C38" s="17" t="s">
        <v>59</v>
      </c>
      <c r="D38" s="16" t="s">
        <v>997</v>
      </c>
      <c r="E38" s="16" t="s">
        <v>23</v>
      </c>
      <c r="F38" s="16">
        <v>3000</v>
      </c>
      <c r="G38" s="16">
        <v>3000</v>
      </c>
      <c r="H38" s="16">
        <v>5000</v>
      </c>
      <c r="I38" s="18" cm="1">
        <f t="array" ref="I38">_xlfn.IFS(F38=H38,1,F38=G38,0,F38&lt;&gt;G38,(F38-G38)/(G38))</f>
        <v>0</v>
      </c>
      <c r="J38" s="17" t="str">
        <f>VLOOKUP($E38,статьи!$G$2:$I$24,2,)</f>
        <v>Манипулирование рынком, если это действие не содержит уголовно наказуемого деяния</v>
      </c>
    </row>
    <row r="39" spans="1:10" ht="16" x14ac:dyDescent="0.2">
      <c r="A39" s="16">
        <v>37</v>
      </c>
      <c r="B39" s="16" t="s">
        <v>51</v>
      </c>
      <c r="C39" s="17" t="s">
        <v>60</v>
      </c>
      <c r="D39" s="16" t="s">
        <v>997</v>
      </c>
      <c r="E39" s="16" t="s">
        <v>23</v>
      </c>
      <c r="F39" s="16">
        <v>3000</v>
      </c>
      <c r="G39" s="16">
        <v>3000</v>
      </c>
      <c r="H39" s="16">
        <v>5000</v>
      </c>
      <c r="I39" s="18" cm="1">
        <f t="array" ref="I39">_xlfn.IFS(F39=H39,1,F39=G39,0,F39&lt;&gt;G39,(F39-G39)/(G39))</f>
        <v>0</v>
      </c>
      <c r="J39" s="17" t="str">
        <f>VLOOKUP($E39,статьи!$G$2:$I$24,2,)</f>
        <v>Манипулирование рынком, если это действие не содержит уголовно наказуемого деяния</v>
      </c>
    </row>
    <row r="40" spans="1:10" ht="16" x14ac:dyDescent="0.2">
      <c r="A40" s="16">
        <v>38</v>
      </c>
      <c r="B40" s="16" t="s">
        <v>51</v>
      </c>
      <c r="C40" s="17" t="s">
        <v>61</v>
      </c>
      <c r="D40" s="16" t="s">
        <v>997</v>
      </c>
      <c r="E40" s="16" t="s">
        <v>23</v>
      </c>
      <c r="F40" s="16">
        <v>3000</v>
      </c>
      <c r="G40" s="16">
        <v>3000</v>
      </c>
      <c r="H40" s="16">
        <v>5000</v>
      </c>
      <c r="I40" s="18" cm="1">
        <f t="array" ref="I40">_xlfn.IFS(F40=H40,1,F40=G40,0,F40&lt;&gt;G40,(F40-G40)/(G40))</f>
        <v>0</v>
      </c>
      <c r="J40" s="17" t="str">
        <f>VLOOKUP($E40,статьи!$G$2:$I$24,2,)</f>
        <v>Манипулирование рынком, если это действие не содержит уголовно наказуемого деяния</v>
      </c>
    </row>
    <row r="41" spans="1:10" ht="16" x14ac:dyDescent="0.2">
      <c r="A41" s="16">
        <v>39</v>
      </c>
      <c r="B41" s="16" t="s">
        <v>51</v>
      </c>
      <c r="C41" s="17" t="s">
        <v>62</v>
      </c>
      <c r="D41" s="16" t="s">
        <v>997</v>
      </c>
      <c r="E41" s="16" t="s">
        <v>23</v>
      </c>
      <c r="F41" s="16">
        <v>3000</v>
      </c>
      <c r="G41" s="16">
        <v>3000</v>
      </c>
      <c r="H41" s="16">
        <v>5000</v>
      </c>
      <c r="I41" s="18" cm="1">
        <f t="array" ref="I41">_xlfn.IFS(F41=H41,1,F41=G41,0,F41&lt;&gt;G41,(F41-G41)/(G41))</f>
        <v>0</v>
      </c>
      <c r="J41" s="17" t="str">
        <f>VLOOKUP($E41,статьи!$G$2:$I$24,2,)</f>
        <v>Манипулирование рынком, если это действие не содержит уголовно наказуемого деяния</v>
      </c>
    </row>
    <row r="42" spans="1:10" ht="16" x14ac:dyDescent="0.2">
      <c r="A42" s="16">
        <v>40</v>
      </c>
      <c r="B42" s="16" t="s">
        <v>51</v>
      </c>
      <c r="C42" s="17" t="s">
        <v>63</v>
      </c>
      <c r="D42" s="16" t="s">
        <v>997</v>
      </c>
      <c r="E42" s="16" t="s">
        <v>23</v>
      </c>
      <c r="F42" s="16">
        <v>3000</v>
      </c>
      <c r="G42" s="16">
        <v>3000</v>
      </c>
      <c r="H42" s="16">
        <v>5000</v>
      </c>
      <c r="I42" s="18" cm="1">
        <f t="array" ref="I42">_xlfn.IFS(F42=H42,1,F42=G42,0,F42&lt;&gt;G42,(F42-G42)/(G42))</f>
        <v>0</v>
      </c>
      <c r="J42" s="17" t="str">
        <f>VLOOKUP($E42,статьи!$G$2:$I$24,2,)</f>
        <v>Манипулирование рынком, если это действие не содержит уголовно наказуемого деяния</v>
      </c>
    </row>
    <row r="43" spans="1:10" ht="16" x14ac:dyDescent="0.2">
      <c r="A43" s="16">
        <v>41</v>
      </c>
      <c r="B43" s="16" t="s">
        <v>51</v>
      </c>
      <c r="C43" s="17" t="s">
        <v>64</v>
      </c>
      <c r="D43" s="16" t="s">
        <v>997</v>
      </c>
      <c r="E43" s="16" t="s">
        <v>23</v>
      </c>
      <c r="F43" s="16">
        <v>3000</v>
      </c>
      <c r="G43" s="16">
        <v>3000</v>
      </c>
      <c r="H43" s="16">
        <v>5000</v>
      </c>
      <c r="I43" s="18" cm="1">
        <f t="array" ref="I43">_xlfn.IFS(F43=H43,1,F43=G43,0,F43&lt;&gt;G43,(F43-G43)/(G43))</f>
        <v>0</v>
      </c>
      <c r="J43" s="17" t="str">
        <f>VLOOKUP($E43,статьи!$G$2:$I$24,2,)</f>
        <v>Манипулирование рынком, если это действие не содержит уголовно наказуемого деяния</v>
      </c>
    </row>
    <row r="44" spans="1:10" ht="16" x14ac:dyDescent="0.2">
      <c r="A44" s="16">
        <v>42</v>
      </c>
      <c r="B44" s="16" t="s">
        <v>51</v>
      </c>
      <c r="C44" s="17" t="s">
        <v>65</v>
      </c>
      <c r="D44" s="16" t="s">
        <v>997</v>
      </c>
      <c r="E44" s="16" t="s">
        <v>23</v>
      </c>
      <c r="F44" s="16">
        <v>3000</v>
      </c>
      <c r="G44" s="16">
        <v>3000</v>
      </c>
      <c r="H44" s="16">
        <v>5000</v>
      </c>
      <c r="I44" s="18" cm="1">
        <f t="array" ref="I44">_xlfn.IFS(F44=H44,1,F44=G44,0,F44&lt;&gt;G44,(F44-G44)/(G44))</f>
        <v>0</v>
      </c>
      <c r="J44" s="17" t="str">
        <f>VLOOKUP($E44,статьи!$G$2:$I$24,2,)</f>
        <v>Манипулирование рынком, если это действие не содержит уголовно наказуемого деяния</v>
      </c>
    </row>
    <row r="45" spans="1:10" ht="16" x14ac:dyDescent="0.2">
      <c r="A45" s="16">
        <v>43</v>
      </c>
      <c r="B45" s="16" t="s">
        <v>51</v>
      </c>
      <c r="C45" s="17" t="s">
        <v>66</v>
      </c>
      <c r="D45" s="16" t="s">
        <v>997</v>
      </c>
      <c r="E45" s="16" t="s">
        <v>23</v>
      </c>
      <c r="F45" s="16">
        <v>3000</v>
      </c>
      <c r="G45" s="16">
        <v>3000</v>
      </c>
      <c r="H45" s="16">
        <v>5000</v>
      </c>
      <c r="I45" s="18" cm="1">
        <f t="array" ref="I45">_xlfn.IFS(F45=H45,1,F45=G45,0,F45&lt;&gt;G45,(F45-G45)/(G45))</f>
        <v>0</v>
      </c>
      <c r="J45" s="17" t="str">
        <f>VLOOKUP($E45,статьи!$G$2:$I$24,2,)</f>
        <v>Манипулирование рынком, если это действие не содержит уголовно наказуемого деяния</v>
      </c>
    </row>
    <row r="46" spans="1:10" ht="16" x14ac:dyDescent="0.2">
      <c r="A46" s="16">
        <v>44</v>
      </c>
      <c r="B46" s="16" t="s">
        <v>51</v>
      </c>
      <c r="C46" s="17" t="s">
        <v>67</v>
      </c>
      <c r="D46" s="16" t="s">
        <v>997</v>
      </c>
      <c r="E46" s="16" t="s">
        <v>23</v>
      </c>
      <c r="F46" s="16">
        <v>3000</v>
      </c>
      <c r="G46" s="16">
        <v>3000</v>
      </c>
      <c r="H46" s="16">
        <v>5000</v>
      </c>
      <c r="I46" s="18" cm="1">
        <f t="array" ref="I46">_xlfn.IFS(F46=H46,1,F46=G46,0,F46&lt;&gt;G46,(F46-G46)/(G46))</f>
        <v>0</v>
      </c>
      <c r="J46" s="17" t="str">
        <f>VLOOKUP($E46,статьи!$G$2:$I$24,2,)</f>
        <v>Манипулирование рынком, если это действие не содержит уголовно наказуемого деяния</v>
      </c>
    </row>
    <row r="47" spans="1:10" ht="16" x14ac:dyDescent="0.2">
      <c r="A47" s="16">
        <v>45</v>
      </c>
      <c r="B47" s="16" t="s">
        <v>51</v>
      </c>
      <c r="C47" s="17" t="s">
        <v>68</v>
      </c>
      <c r="D47" s="16" t="s">
        <v>997</v>
      </c>
      <c r="E47" s="16" t="s">
        <v>23</v>
      </c>
      <c r="F47" s="16">
        <v>3000</v>
      </c>
      <c r="G47" s="16">
        <v>3000</v>
      </c>
      <c r="H47" s="16">
        <v>5000</v>
      </c>
      <c r="I47" s="18" cm="1">
        <f t="array" ref="I47">_xlfn.IFS(F47=H47,1,F47=G47,0,F47&lt;&gt;G47,(F47-G47)/(G47))</f>
        <v>0</v>
      </c>
      <c r="J47" s="17" t="str">
        <f>VLOOKUP($E47,статьи!$G$2:$I$24,2,)</f>
        <v>Манипулирование рынком, если это действие не содержит уголовно наказуемого деяния</v>
      </c>
    </row>
    <row r="48" spans="1:10" ht="16" x14ac:dyDescent="0.2">
      <c r="A48" s="16">
        <v>46</v>
      </c>
      <c r="B48" s="16" t="s">
        <v>51</v>
      </c>
      <c r="C48" s="17" t="s">
        <v>69</v>
      </c>
      <c r="D48" s="16" t="s">
        <v>997</v>
      </c>
      <c r="E48" s="16" t="s">
        <v>23</v>
      </c>
      <c r="F48" s="16">
        <v>3000</v>
      </c>
      <c r="G48" s="16">
        <v>3000</v>
      </c>
      <c r="H48" s="16">
        <v>5000</v>
      </c>
      <c r="I48" s="18" cm="1">
        <f t="array" ref="I48">_xlfn.IFS(F48=H48,1,F48=G48,0,F48&lt;&gt;G48,(F48-G48)/(G48))</f>
        <v>0</v>
      </c>
      <c r="J48" s="17" t="str">
        <f>VLOOKUP($E48,статьи!$G$2:$I$24,2,)</f>
        <v>Манипулирование рынком, если это действие не содержит уголовно наказуемого деяния</v>
      </c>
    </row>
    <row r="49" spans="1:10" ht="16" x14ac:dyDescent="0.2">
      <c r="A49" s="16">
        <v>47</v>
      </c>
      <c r="B49" s="16" t="s">
        <v>51</v>
      </c>
      <c r="C49" s="17" t="s">
        <v>70</v>
      </c>
      <c r="D49" s="16" t="s">
        <v>997</v>
      </c>
      <c r="E49" s="16" t="s">
        <v>23</v>
      </c>
      <c r="F49" s="16">
        <v>3000</v>
      </c>
      <c r="G49" s="16">
        <v>3000</v>
      </c>
      <c r="H49" s="16">
        <v>5000</v>
      </c>
      <c r="I49" s="18" cm="1">
        <f t="array" ref="I49">_xlfn.IFS(F49=H49,1,F49=G49,0,F49&lt;&gt;G49,(F49-G49)/(G49))</f>
        <v>0</v>
      </c>
      <c r="J49" s="17" t="str">
        <f>VLOOKUP($E49,статьи!$G$2:$I$24,2,)</f>
        <v>Манипулирование рынком, если это действие не содержит уголовно наказуемого деяния</v>
      </c>
    </row>
    <row r="50" spans="1:10" ht="144" x14ac:dyDescent="0.2">
      <c r="A50" s="16">
        <v>48</v>
      </c>
      <c r="B50" s="16" t="s">
        <v>51</v>
      </c>
      <c r="C50" s="17" t="s">
        <v>13</v>
      </c>
      <c r="D50" s="16" t="s">
        <v>996</v>
      </c>
      <c r="E50" s="16" t="s">
        <v>5</v>
      </c>
      <c r="F50" s="16">
        <v>1000000</v>
      </c>
      <c r="G50" s="16">
        <v>700000</v>
      </c>
      <c r="H50" s="16">
        <v>1000000</v>
      </c>
      <c r="I50" s="18" cm="1">
        <f t="array" ref="I50">_xlfn.IFS(F50=H50,1,F50=G50,0,F50&lt;&gt;G50,(F50-G50)/(G50))</f>
        <v>1</v>
      </c>
      <c r="J50" s="17" t="str">
        <f>VLOOKUP($E50,статьи!$G$2:$I$24,2,)</f>
        <v>Воспрепятствование профессиональным участником рынка ценных бумаг,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проведению Банком России проверок либо неисполнение или ненадлежащее исполнение предписаний Банка России</v>
      </c>
    </row>
    <row r="51" spans="1:10" ht="80" x14ac:dyDescent="0.2">
      <c r="A51" s="16">
        <v>49</v>
      </c>
      <c r="B51" s="16" t="s">
        <v>51</v>
      </c>
      <c r="C51" s="17" t="s">
        <v>71</v>
      </c>
      <c r="D51" s="16" t="s">
        <v>996</v>
      </c>
      <c r="E51" s="16" t="s">
        <v>72</v>
      </c>
      <c r="F51" s="16">
        <v>250000</v>
      </c>
      <c r="G51" s="16">
        <v>500000</v>
      </c>
      <c r="H51" s="16">
        <v>700000</v>
      </c>
      <c r="I51" s="18" cm="1">
        <f t="array" ref="I51">_xlfn.IFS(F51=H51,1,F51=G51,0,F51&lt;&gt;G51,(F51-G51)/(G51))</f>
        <v>-0.5</v>
      </c>
      <c r="J51" s="17" t="str">
        <f>VLOOKUP($E51,статьи!$G$2:$I$24,2,)</f>
        <v xml:space="preserve">9. Невыполнение в установленный срок законного предписания Банка России, за исключением случаев, предусмотренных частью 9.1 настоящей статьи, -
</v>
      </c>
    </row>
    <row r="52" spans="1:10" ht="80" x14ac:dyDescent="0.2">
      <c r="A52" s="16">
        <v>50</v>
      </c>
      <c r="B52" s="16" t="s">
        <v>51</v>
      </c>
      <c r="C52" s="17" t="s">
        <v>73</v>
      </c>
      <c r="D52" s="16" t="s">
        <v>996</v>
      </c>
      <c r="E52" s="16" t="s">
        <v>72</v>
      </c>
      <c r="F52" s="16">
        <v>250000</v>
      </c>
      <c r="G52" s="16">
        <v>500000</v>
      </c>
      <c r="H52" s="16">
        <v>700000</v>
      </c>
      <c r="I52" s="18" cm="1">
        <f t="array" ref="I52">_xlfn.IFS(F52=H52,1,F52=G52,0,F52&lt;&gt;G52,(F52-G52)/(G52))</f>
        <v>-0.5</v>
      </c>
      <c r="J52" s="17" t="str">
        <f>VLOOKUP($E52,статьи!$G$2:$I$24,2,)</f>
        <v xml:space="preserve">9. Невыполнение в установленный срок законного предписания Банка России, за исключением случаев, предусмотренных частью 9.1 настоящей статьи, -
</v>
      </c>
    </row>
    <row r="53" spans="1:10" ht="224" x14ac:dyDescent="0.2">
      <c r="A53" s="16">
        <v>51</v>
      </c>
      <c r="B53" s="16" t="s">
        <v>51</v>
      </c>
      <c r="C53" s="17" t="s">
        <v>74</v>
      </c>
      <c r="D53" s="16" t="s">
        <v>996</v>
      </c>
      <c r="E53" s="16" t="s">
        <v>75</v>
      </c>
      <c r="F53" s="16">
        <v>350000</v>
      </c>
      <c r="G53" s="16">
        <v>500000</v>
      </c>
      <c r="H53" s="16">
        <v>700000</v>
      </c>
      <c r="I53" s="18" cm="1">
        <f t="array" ref="I53">_xlfn.IFS(F53=H53,1,F53=G53,0,F53&lt;&gt;G53,(F53-G53)/(G53))</f>
        <v>-0.3</v>
      </c>
      <c r="J53" s="17" t="str">
        <f>VLOOKUP($E53,статьи!$G$2:$I$24,2,)</f>
        <v xml:space="preserve">
1. Непредставление или нарушение порядка либо сроков представления в Банк России отчетов, уведомлений и иной информации, предусмотренной законодательством и (или) необходимой для осуществления этим органом (должностным лицом) его законной деятельности, либо представление информации не в полном объеме и (или) недостоверной информации, за исключением случаев, если в соответствии со страховым законодательством, законодательством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Банком России дается законное предписание об устранении нарушения страхового законодательства, законодательства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и случаев, указанных в части 2 настоящей статьи, если эти действия (бездействие) не содержат признаков уголовно наказуемого деяния</v>
      </c>
    </row>
    <row r="54" spans="1:10" ht="224" x14ac:dyDescent="0.2">
      <c r="A54" s="16">
        <v>52</v>
      </c>
      <c r="B54" s="16" t="s">
        <v>51</v>
      </c>
      <c r="C54" s="17" t="s">
        <v>76</v>
      </c>
      <c r="D54" s="16" t="s">
        <v>996</v>
      </c>
      <c r="E54" s="16" t="s">
        <v>75</v>
      </c>
      <c r="F54" s="16" t="s">
        <v>11</v>
      </c>
      <c r="G54" s="16">
        <v>500000</v>
      </c>
      <c r="H54" s="16">
        <v>700000</v>
      </c>
      <c r="I54" s="18" t="e" cm="1">
        <f t="array" ref="I54">_xlfn.IFS(F54=H54,1,F54=G54,0,F54&lt;&gt;G54,(F54-G54)/(G54))</f>
        <v>#VALUE!</v>
      </c>
      <c r="J54" s="17" t="str">
        <f>VLOOKUP($E54,статьи!$G$2:$I$24,2,)</f>
        <v xml:space="preserve">
1. Непредставление или нарушение порядка либо сроков представления в Банк России отчетов, уведомлений и иной информации, предусмотренной законодательством и (или) необходимой для осуществления этим органом (должностным лицом) его законной деятельности, либо представление информации не в полном объеме и (или) недостоверной информации, за исключением случаев, если в соответствии со страховым законодательством, законодательством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Банком России дается законное предписание об устранении нарушения страхового законодательства, законодательства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и случаев, указанных в части 2 настоящей статьи, если эти действия (бездействие) не содержат признаков уголовно наказуемого деяния</v>
      </c>
    </row>
    <row r="55" spans="1:10" ht="176" x14ac:dyDescent="0.2">
      <c r="A55" s="16">
        <v>53</v>
      </c>
      <c r="B55" s="16" t="s">
        <v>51</v>
      </c>
      <c r="C55" s="17" t="s">
        <v>77</v>
      </c>
      <c r="D55" s="16" t="s">
        <v>996</v>
      </c>
      <c r="E55" s="16" t="s">
        <v>8</v>
      </c>
      <c r="F55" s="16" t="s">
        <v>11</v>
      </c>
      <c r="G55" s="16">
        <v>300000</v>
      </c>
      <c r="H55" s="16">
        <v>500000</v>
      </c>
      <c r="I55" s="18" t="e" cm="1">
        <f t="array" ref="I55">_xlfn.IFS(F55=H55,1,F55=G55,0,F55&lt;&gt;G55,(F55-G55)/(G55))</f>
        <v>#VALUE!</v>
      </c>
      <c r="J55" s="17" t="str">
        <f>VLOOKUP($E55,статьи!$G$2:$I$24,2,)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56" spans="1:10" ht="144" x14ac:dyDescent="0.2">
      <c r="A56" s="16">
        <v>54</v>
      </c>
      <c r="B56" s="16" t="s">
        <v>51</v>
      </c>
      <c r="C56" s="17" t="s">
        <v>78</v>
      </c>
      <c r="D56" s="16" t="s">
        <v>996</v>
      </c>
      <c r="E56" s="16" t="s">
        <v>5</v>
      </c>
      <c r="F56" s="16">
        <v>350000</v>
      </c>
      <c r="G56" s="16">
        <v>700000</v>
      </c>
      <c r="H56" s="16">
        <v>1000000</v>
      </c>
      <c r="I56" s="18" cm="1">
        <f t="array" ref="I56">_xlfn.IFS(F56=H56,1,F56=G56,0,F56&lt;&gt;G56,(F56-G56)/(G56))</f>
        <v>-0.5</v>
      </c>
      <c r="J56" s="17" t="str">
        <f>VLOOKUP($E56,статьи!$G$2:$I$24,2,)</f>
        <v>Воспрепятствование профессиональным участником рынка ценных бумаг,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проведению Банком России проверок либо неисполнение или ненадлежащее исполнение предписаний Банка России</v>
      </c>
    </row>
    <row r="57" spans="1:10" ht="176" x14ac:dyDescent="0.2">
      <c r="A57" s="16">
        <v>54</v>
      </c>
      <c r="B57" s="16" t="s">
        <v>51</v>
      </c>
      <c r="C57" s="17" t="s">
        <v>78</v>
      </c>
      <c r="D57" s="16" t="s">
        <v>996</v>
      </c>
      <c r="E57" s="16" t="s">
        <v>8</v>
      </c>
      <c r="F57" s="16">
        <v>150000</v>
      </c>
      <c r="G57" s="16">
        <v>300000</v>
      </c>
      <c r="H57" s="16">
        <v>500000</v>
      </c>
      <c r="I57" s="18" cm="1">
        <f t="array" ref="I57">_xlfn.IFS(F57=H57,1,F57=G57,0,F57&lt;&gt;G57,(F57-G57)/(G57))</f>
        <v>-0.5</v>
      </c>
      <c r="J57" s="17" t="str">
        <f>VLOOKUP($E57,статьи!$G$2:$I$24,2,)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58" spans="1:10" ht="144" x14ac:dyDescent="0.2">
      <c r="A58" s="16">
        <v>55</v>
      </c>
      <c r="B58" s="16" t="s">
        <v>51</v>
      </c>
      <c r="C58" s="17" t="s">
        <v>79</v>
      </c>
      <c r="D58" s="16" t="s">
        <v>996</v>
      </c>
      <c r="E58" s="16" t="s">
        <v>5</v>
      </c>
      <c r="F58" s="16">
        <v>700000</v>
      </c>
      <c r="G58" s="16">
        <v>700000</v>
      </c>
      <c r="H58" s="16">
        <v>1000000</v>
      </c>
      <c r="I58" s="18" cm="1">
        <f t="array" ref="I58">_xlfn.IFS(F58=H58,1,F58=G58,0,F58&lt;&gt;G58,(F58-G58)/(G58))</f>
        <v>0</v>
      </c>
      <c r="J58" s="17" t="str">
        <f>VLOOKUP($E58,статьи!$G$2:$I$24,2,)</f>
        <v>Воспрепятствование профессиональным участником рынка ценных бумаг,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проведению Банком России проверок либо неисполнение или ненадлежащее исполнение предписаний Банка России</v>
      </c>
    </row>
    <row r="59" spans="1:10" ht="176" x14ac:dyDescent="0.2">
      <c r="A59" s="16">
        <v>56</v>
      </c>
      <c r="B59" s="16" t="s">
        <v>51</v>
      </c>
      <c r="C59" s="17" t="s">
        <v>17</v>
      </c>
      <c r="D59" s="16" t="s">
        <v>996</v>
      </c>
      <c r="E59" s="16" t="s">
        <v>80</v>
      </c>
      <c r="F59" s="16" t="s">
        <v>11</v>
      </c>
      <c r="G59" s="16">
        <v>700000</v>
      </c>
      <c r="H59" s="16">
        <v>1000000</v>
      </c>
      <c r="I59" s="18" t="e" cm="1">
        <f t="array" ref="I59">_xlfn.IFS(F59=H59,1,F59=G59,0,F59&lt;&gt;G59,(F59-G59)/(G59))</f>
        <v>#VALUE!</v>
      </c>
      <c r="J59" s="17" t="str">
        <f>VLOOKUP($E59,статьи!$G$2:$I$24,2,)</f>
        <v>2. Нераскрытие или нарушение эмитентом, профессиональным участником рынка ценных бумаг, клиринговой организацией, акционерным инвестиционным фондом, управляющей компанией акционерного инвестиционного фонда, паевого инвестиционного фонда или негосударственного пенсионного фонда, специализированным депозитарием акционерного инвестиционного фонда, паевого инвестиционного фонда или негосударственного пенсионного фонда либо лицом, оказывающим услуги по публичному представлению раскрываемой информации, порядка и сроков раскрытия информации, предусмотренной федеральными законами и принятыми в соответствии с ними иными нормативными правовыми актами, а равно раскрытие информации не в полном объеме, и (или) недостоверной информации, и (или) вводящей в заблуждение информации</v>
      </c>
    </row>
    <row r="60" spans="1:10" ht="176" x14ac:dyDescent="0.2">
      <c r="A60" s="16">
        <v>57</v>
      </c>
      <c r="B60" s="16" t="s">
        <v>51</v>
      </c>
      <c r="C60" s="17" t="s">
        <v>81</v>
      </c>
      <c r="D60" s="16" t="s">
        <v>996</v>
      </c>
      <c r="E60" s="16" t="s">
        <v>80</v>
      </c>
      <c r="F60" s="16" t="s">
        <v>11</v>
      </c>
      <c r="G60" s="16">
        <v>700000</v>
      </c>
      <c r="H60" s="16">
        <v>1000000</v>
      </c>
      <c r="I60" s="18" t="e" cm="1">
        <f t="array" ref="I60">_xlfn.IFS(F60=H60,1,F60=G60,0,F60&lt;&gt;G60,(F60-G60)/(G60))</f>
        <v>#VALUE!</v>
      </c>
      <c r="J60" s="17" t="str">
        <f>VLOOKUP($E60,статьи!$G$2:$I$24,2,)</f>
        <v>2. Нераскрытие или нарушение эмитентом, профессиональным участником рынка ценных бумаг, клиринговой организацией, акционерным инвестиционным фондом, управляющей компанией акционерного инвестиционного фонда, паевого инвестиционного фонда или негосударственного пенсионного фонда, специализированным депозитарием акционерного инвестиционного фонда, паевого инвестиционного фонда или негосударственного пенсионного фонда либо лицом, оказывающим услуги по публичному представлению раскрываемой информации, порядка и сроков раскрытия информации, предусмотренной федеральными законами и принятыми в соответствии с ними иными нормативными правовыми актами, а равно раскрытие информации не в полном объеме, и (или) недостоверной информации, и (или) вводящей в заблуждение информации</v>
      </c>
    </row>
    <row r="61" spans="1:10" ht="64" x14ac:dyDescent="0.2">
      <c r="A61" s="16">
        <v>58</v>
      </c>
      <c r="B61" s="16" t="s">
        <v>51</v>
      </c>
      <c r="C61" s="17" t="s">
        <v>82</v>
      </c>
      <c r="D61" s="16" t="s">
        <v>996</v>
      </c>
      <c r="E61" s="16" t="s">
        <v>83</v>
      </c>
      <c r="F61" s="16">
        <v>500000</v>
      </c>
      <c r="G61" s="16">
        <v>500000</v>
      </c>
      <c r="H61" s="16">
        <v>700000</v>
      </c>
      <c r="I61" s="18" cm="1">
        <f t="array" ref="I61">_xlfn.IFS(F61=H61,1,F61=G61,0,F61&lt;&gt;G61,(F61-G61)/(G61))</f>
        <v>0</v>
      </c>
      <c r="J61" s="17" t="str">
        <f>VLOOKUP($E61,статьи!$G$2:$I$24,2,)</f>
        <v>Нарушение профессиональным участником рынка ценных бумаг, осуществляющим брокерскую или дилерскую деятельность либо деятельность по управлению ценными бумагами, установленных нормативными правовыми актами Российской Федерации правил ведения учета и составления отчетности</v>
      </c>
    </row>
    <row r="62" spans="1:10" ht="176" x14ac:dyDescent="0.2">
      <c r="A62" s="16">
        <v>59</v>
      </c>
      <c r="B62" s="16" t="s">
        <v>51</v>
      </c>
      <c r="C62" s="17" t="s">
        <v>84</v>
      </c>
      <c r="D62" s="16" t="s">
        <v>996</v>
      </c>
      <c r="E62" s="16" t="s">
        <v>80</v>
      </c>
      <c r="F62" s="16">
        <v>700000</v>
      </c>
      <c r="G62" s="16">
        <v>700000</v>
      </c>
      <c r="H62" s="16">
        <v>1000000</v>
      </c>
      <c r="I62" s="18" cm="1">
        <f t="array" ref="I62">_xlfn.IFS(F62=H62,1,F62=G62,0,F62&lt;&gt;G62,(F62-G62)/(G62))</f>
        <v>0</v>
      </c>
      <c r="J62" s="17" t="str">
        <f>VLOOKUP($E62,статьи!$G$2:$I$24,2,)</f>
        <v>2. Нераскрытие или нарушение эмитентом, профессиональным участником рынка ценных бумаг, клиринговой организацией, акционерным инвестиционным фондом, управляющей компанией акционерного инвестиционного фонда, паевого инвестиционного фонда или негосударственного пенсионного фонда, специализированным депозитарием акционерного инвестиционного фонда, паевого инвестиционного фонда или негосударственного пенсионного фонда либо лицом, оказывающим услуги по публичному представлению раскрываемой информации, порядка и сроков раскрытия информации, предусмотренной федеральными законами и принятыми в соответствии с ними иными нормативными правовыми актами, а равно раскрытие информации не в полном объеме, и (или) недостоверной информации, и (или) вводящей в заблуждение информации</v>
      </c>
    </row>
    <row r="63" spans="1:10" ht="176" x14ac:dyDescent="0.2">
      <c r="A63" s="16">
        <v>60</v>
      </c>
      <c r="B63" s="16" t="s">
        <v>51</v>
      </c>
      <c r="C63" s="17" t="s">
        <v>85</v>
      </c>
      <c r="D63" s="16" t="s">
        <v>996</v>
      </c>
      <c r="E63" s="16" t="s">
        <v>8</v>
      </c>
      <c r="F63" s="16">
        <v>400000</v>
      </c>
      <c r="G63" s="16">
        <v>300000</v>
      </c>
      <c r="H63" s="16">
        <v>500000</v>
      </c>
      <c r="I63" s="18" cm="1">
        <f t="array" ref="I63">_xlfn.IFS(F63=H63,1,F63=G63,0,F63&lt;&gt;G63,(F63-G63)/(G63))</f>
        <v>0.33333333333333331</v>
      </c>
      <c r="J63" s="17" t="str">
        <f>VLOOKUP($E63,статьи!$G$2:$I$24,2,)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64" spans="1:10" ht="224" x14ac:dyDescent="0.2">
      <c r="A64" s="16">
        <v>61</v>
      </c>
      <c r="B64" s="16" t="s">
        <v>58</v>
      </c>
      <c r="C64" s="17" t="s">
        <v>86</v>
      </c>
      <c r="D64" s="16" t="s">
        <v>996</v>
      </c>
      <c r="E64" s="16" t="s">
        <v>75</v>
      </c>
      <c r="F64" s="16">
        <v>700000</v>
      </c>
      <c r="G64" s="16">
        <v>500000</v>
      </c>
      <c r="H64" s="16">
        <v>700000</v>
      </c>
      <c r="I64" s="18" cm="1">
        <f t="array" ref="I64">_xlfn.IFS(F64=H64,1,F64=G64,0,F64&lt;&gt;G64,(F64-G64)/(G64))</f>
        <v>1</v>
      </c>
      <c r="J64" s="17" t="str">
        <f>VLOOKUP($E64,статьи!$G$2:$I$24,2,)</f>
        <v xml:space="preserve">
1. Непредставление или нарушение порядка либо сроков представления в Банк России отчетов, уведомлений и иной информации, предусмотренной законодательством и (или) необходимой для осуществления этим органом (должностным лицом) его законной деятельности, либо представление информации не в полном объеме и (или) недостоверной информации, за исключением случаев, если в соответствии со страховым законодательством, законодательством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Банком России дается законное предписание об устранении нарушения страхового законодательства, законодательства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и случаев, указанных в части 2 настоящей статьи, если эти действия (бездействие) не содержат признаков уголовно наказуемого деяния</v>
      </c>
    </row>
    <row r="65" spans="1:10" ht="16" x14ac:dyDescent="0.2">
      <c r="A65" s="16">
        <v>62</v>
      </c>
      <c r="B65" s="16" t="s">
        <v>58</v>
      </c>
      <c r="C65" s="17" t="s">
        <v>87</v>
      </c>
      <c r="D65" s="16" t="s">
        <v>997</v>
      </c>
      <c r="E65" s="16" t="s">
        <v>23</v>
      </c>
      <c r="F65" s="16">
        <v>3000</v>
      </c>
      <c r="G65" s="16">
        <v>3000</v>
      </c>
      <c r="H65" s="16">
        <v>5000</v>
      </c>
      <c r="I65" s="18" cm="1">
        <f t="array" ref="I65">_xlfn.IFS(F65=H65,1,F65=G65,0,F65&lt;&gt;G65,(F65-G65)/(G65))</f>
        <v>0</v>
      </c>
      <c r="J65" s="17" t="str">
        <f>VLOOKUP($E65,статьи!$G$2:$I$24,2,)</f>
        <v>Манипулирование рынком, если это действие не содержит уголовно наказуемого деяния</v>
      </c>
    </row>
    <row r="66" spans="1:10" ht="224" x14ac:dyDescent="0.2">
      <c r="A66" s="16">
        <v>63</v>
      </c>
      <c r="B66" s="16" t="s">
        <v>58</v>
      </c>
      <c r="C66" s="17" t="s">
        <v>88</v>
      </c>
      <c r="D66" s="16" t="s">
        <v>996</v>
      </c>
      <c r="E66" s="16" t="s">
        <v>75</v>
      </c>
      <c r="F66" s="16">
        <v>700000</v>
      </c>
      <c r="G66" s="16">
        <v>500000</v>
      </c>
      <c r="H66" s="16">
        <v>700000</v>
      </c>
      <c r="I66" s="18" cm="1">
        <f t="array" ref="I66">_xlfn.IFS(F66=H66,1,F66=G66,0,F66&lt;&gt;G66,(F66-G66)/(G66))</f>
        <v>1</v>
      </c>
      <c r="J66" s="17" t="str">
        <f>VLOOKUP($E66,статьи!$G$2:$I$24,2,)</f>
        <v xml:space="preserve">
1. Непредставление или нарушение порядка либо сроков представления в Банк России отчетов, уведомлений и иной информации, предусмотренной законодательством и (или) необходимой для осуществления этим органом (должностным лицом) его законной деятельности, либо представление информации не в полном объеме и (или) недостоверной информации, за исключением случаев, если в соответствии со страховым законодательством, законодательством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Банком России дается законное предписание об устранении нарушения страхового законодательства, законодательства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и случаев, указанных в части 2 настоящей статьи, если эти действия (бездействие) не содержат признаков уголовно наказуемого деяния</v>
      </c>
    </row>
    <row r="67" spans="1:10" ht="16" x14ac:dyDescent="0.2">
      <c r="A67" s="16">
        <v>64</v>
      </c>
      <c r="B67" s="16" t="s">
        <v>58</v>
      </c>
      <c r="C67" s="17" t="s">
        <v>89</v>
      </c>
      <c r="D67" s="16" t="s">
        <v>997</v>
      </c>
      <c r="E67" s="16" t="s">
        <v>23</v>
      </c>
      <c r="F67" s="16">
        <v>3000</v>
      </c>
      <c r="G67" s="16">
        <v>3000</v>
      </c>
      <c r="H67" s="16">
        <v>5000</v>
      </c>
      <c r="I67" s="18" cm="1">
        <f t="array" ref="I67">_xlfn.IFS(F67=H67,1,F67=G67,0,F67&lt;&gt;G67,(F67-G67)/(G67))</f>
        <v>0</v>
      </c>
      <c r="J67" s="17" t="str">
        <f>VLOOKUP($E67,статьи!$G$2:$I$24,2,)</f>
        <v>Манипулирование рынком, если это действие не содержит уголовно наказуемого деяния</v>
      </c>
    </row>
    <row r="68" spans="1:10" ht="64" x14ac:dyDescent="0.2">
      <c r="A68" s="16">
        <v>65</v>
      </c>
      <c r="B68" s="16" t="s">
        <v>90</v>
      </c>
      <c r="C68" s="17" t="s">
        <v>91</v>
      </c>
      <c r="D68" s="16" t="s">
        <v>996</v>
      </c>
      <c r="E68" s="16" t="s">
        <v>83</v>
      </c>
      <c r="F68" s="16" t="s">
        <v>11</v>
      </c>
      <c r="G68" s="16">
        <v>500000</v>
      </c>
      <c r="H68" s="16">
        <v>700000</v>
      </c>
      <c r="I68" s="18" t="e" cm="1">
        <f t="array" ref="I68">_xlfn.IFS(F68=H68,1,F68=G68,0,F68&lt;&gt;G68,(F68-G68)/(G68))</f>
        <v>#VALUE!</v>
      </c>
      <c r="J68" s="17" t="str">
        <f>VLOOKUP($E68,статьи!$G$2:$I$24,2,)</f>
        <v>Нарушение профессиональным участником рынка ценных бумаг, осуществляющим брокерскую или дилерскую деятельность либо деятельность по управлению ценными бумагами, установленных нормативными правовыми актами Российской Федерации правил ведения учета и составления отчетности</v>
      </c>
    </row>
    <row r="69" spans="1:10" ht="16" x14ac:dyDescent="0.2">
      <c r="A69" s="16">
        <v>66</v>
      </c>
      <c r="B69" s="16" t="s">
        <v>92</v>
      </c>
      <c r="C69" s="17" t="s">
        <v>93</v>
      </c>
      <c r="D69" s="16" t="s">
        <v>997</v>
      </c>
      <c r="E69" s="16" t="s">
        <v>23</v>
      </c>
      <c r="F69" s="16">
        <v>3000</v>
      </c>
      <c r="G69" s="16">
        <v>3000</v>
      </c>
      <c r="H69" s="16">
        <v>5000</v>
      </c>
      <c r="I69" s="18" cm="1">
        <f t="array" ref="I69">_xlfn.IFS(F69=H69,1,F69=G69,0,F69&lt;&gt;G69,(F69-G69)/(G69))</f>
        <v>0</v>
      </c>
      <c r="J69" s="17" t="str">
        <f>VLOOKUP($E69,статьи!$G$2:$I$24,2,)</f>
        <v>Манипулирование рынком, если это действие не содержит уголовно наказуемого деяния</v>
      </c>
    </row>
    <row r="70" spans="1:10" ht="16" x14ac:dyDescent="0.2">
      <c r="A70" s="16">
        <v>67</v>
      </c>
      <c r="B70" s="16" t="s">
        <v>92</v>
      </c>
      <c r="C70" s="17" t="s">
        <v>95</v>
      </c>
      <c r="D70" s="16" t="s">
        <v>997</v>
      </c>
      <c r="E70" s="16" t="s">
        <v>23</v>
      </c>
      <c r="F70" s="16">
        <v>3000</v>
      </c>
      <c r="G70" s="16">
        <v>3000</v>
      </c>
      <c r="H70" s="16">
        <v>5000</v>
      </c>
      <c r="I70" s="18" cm="1">
        <f t="array" ref="I70">_xlfn.IFS(F70=H70,1,F70=G70,0,F70&lt;&gt;G70,(F70-G70)/(G70))</f>
        <v>0</v>
      </c>
      <c r="J70" s="17" t="str">
        <f>VLOOKUP($E70,статьи!$G$2:$I$24,2,)</f>
        <v>Манипулирование рынком, если это действие не содержит уголовно наказуемого деяния</v>
      </c>
    </row>
    <row r="71" spans="1:10" ht="16" x14ac:dyDescent="0.2">
      <c r="A71" s="16">
        <v>68</v>
      </c>
      <c r="B71" s="16" t="s">
        <v>92</v>
      </c>
      <c r="C71" s="17" t="s">
        <v>96</v>
      </c>
      <c r="D71" s="16" t="s">
        <v>997</v>
      </c>
      <c r="E71" s="16" t="s">
        <v>23</v>
      </c>
      <c r="F71" s="16">
        <v>30000</v>
      </c>
      <c r="G71" s="16">
        <v>3000</v>
      </c>
      <c r="H71" s="16">
        <v>5000</v>
      </c>
      <c r="I71" s="18" cm="1">
        <f t="array" ref="I71">_xlfn.IFS(F71=H71,1,F71=G71,0,F71&lt;&gt;G71,(F71-G71)/(G71))</f>
        <v>9</v>
      </c>
      <c r="J71" s="17" t="str">
        <f>VLOOKUP($E71,статьи!$G$2:$I$24,2,)</f>
        <v>Манипулирование рынком, если это действие не содержит уголовно наказуемого деяния</v>
      </c>
    </row>
    <row r="72" spans="1:10" ht="80" x14ac:dyDescent="0.2">
      <c r="A72" s="16">
        <v>69</v>
      </c>
      <c r="B72" s="16" t="s">
        <v>92</v>
      </c>
      <c r="C72" s="17" t="s">
        <v>98</v>
      </c>
      <c r="D72" s="16" t="s">
        <v>996</v>
      </c>
      <c r="E72" s="16" t="s">
        <v>72</v>
      </c>
      <c r="F72" s="16">
        <v>250000</v>
      </c>
      <c r="G72" s="16">
        <v>500000</v>
      </c>
      <c r="H72" s="16">
        <v>700000</v>
      </c>
      <c r="I72" s="18" cm="1">
        <f t="array" ref="I72">_xlfn.IFS(F72=H72,1,F72=G72,0,F72&lt;&gt;G72,(F72-G72)/(G72))</f>
        <v>-0.5</v>
      </c>
      <c r="J72" s="17" t="str">
        <f>VLOOKUP($E72,статьи!$G$2:$I$24,2,)</f>
        <v xml:space="preserve">9. Невыполнение в установленный срок законного предписания Банка России, за исключением случаев, предусмотренных частью 9.1 настоящей статьи, -
</v>
      </c>
    </row>
    <row r="73" spans="1:10" ht="64" x14ac:dyDescent="0.2">
      <c r="A73" s="16">
        <v>70</v>
      </c>
      <c r="B73" s="16" t="s">
        <v>92</v>
      </c>
      <c r="C73" s="17" t="s">
        <v>99</v>
      </c>
      <c r="D73" s="16" t="s">
        <v>996</v>
      </c>
      <c r="E73" s="16" t="s">
        <v>7</v>
      </c>
      <c r="F73" s="16">
        <v>700000</v>
      </c>
      <c r="G73" s="16">
        <v>700000</v>
      </c>
      <c r="H73" s="16">
        <v>1000000</v>
      </c>
      <c r="I73" s="18" cm="1">
        <f t="array" ref="I73">_xlfn.IFS(F73=H73,1,F73=G73,0,F73&lt;&gt;G73,(F73-G73)/(G73))</f>
        <v>0</v>
      </c>
      <c r="J73" s="17" t="str">
        <f>VLOOKUP($E73,статьи!$G$2:$I$24,2,)</f>
        <v xml:space="preserve">Нарушение управляющей компанией акционерного инвестиционного фонда или паевого инвестиционного фонда предусмотренных федеральными законами и иными нормативными правовыми актами Российской Федерации ограничений ее деятельности -
</v>
      </c>
    </row>
    <row r="74" spans="1:10" ht="176" x14ac:dyDescent="0.2">
      <c r="A74" s="16">
        <v>71</v>
      </c>
      <c r="B74" s="16" t="s">
        <v>92</v>
      </c>
      <c r="C74" s="17" t="s">
        <v>100</v>
      </c>
      <c r="D74" s="16" t="s">
        <v>996</v>
      </c>
      <c r="E74" s="16" t="s">
        <v>8</v>
      </c>
      <c r="F74" s="16">
        <v>150000</v>
      </c>
      <c r="G74" s="16">
        <v>300000</v>
      </c>
      <c r="H74" s="16">
        <v>500000</v>
      </c>
      <c r="I74" s="18" cm="1">
        <f t="array" ref="I74">_xlfn.IFS(F74=H74,1,F74=G74,0,F74&lt;&gt;G74,(F74-G74)/(G74))</f>
        <v>-0.5</v>
      </c>
      <c r="J74" s="17" t="str">
        <f>VLOOKUP($E74,статьи!$G$2:$I$24,2,)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75" spans="1:10" ht="64" x14ac:dyDescent="0.2">
      <c r="A75" s="16">
        <v>71</v>
      </c>
      <c r="B75" s="16" t="s">
        <v>92</v>
      </c>
      <c r="C75" s="17" t="s">
        <v>100</v>
      </c>
      <c r="D75" s="16" t="s">
        <v>996</v>
      </c>
      <c r="E75" s="16" t="s">
        <v>7</v>
      </c>
      <c r="F75" s="16">
        <v>350000</v>
      </c>
      <c r="G75" s="16">
        <v>700000</v>
      </c>
      <c r="H75" s="16">
        <v>1000000</v>
      </c>
      <c r="I75" s="18" cm="1">
        <f t="array" ref="I75">_xlfn.IFS(F75=H75,1,F75=G75,0,F75&lt;&gt;G75,(F75-G75)/(G75))</f>
        <v>-0.5</v>
      </c>
      <c r="J75" s="17" t="str">
        <f>VLOOKUP($E75,статьи!$G$2:$I$24,2,)</f>
        <v xml:space="preserve">Нарушение управляющей компанией акционерного инвестиционного фонда или паевого инвестиционного фонда предусмотренных федеральными законами и иными нормативными правовыми актами Российской Федерации ограничений ее деятельности -
</v>
      </c>
    </row>
    <row r="76" spans="1:10" ht="16" x14ac:dyDescent="0.2">
      <c r="A76" s="16">
        <v>72</v>
      </c>
      <c r="B76" s="16" t="s">
        <v>101</v>
      </c>
      <c r="C76" s="17" t="s">
        <v>102</v>
      </c>
      <c r="D76" s="16" t="s">
        <v>996</v>
      </c>
      <c r="E76" s="16" t="s">
        <v>23</v>
      </c>
      <c r="F76" s="16">
        <v>350000</v>
      </c>
      <c r="G76" s="16">
        <v>700000</v>
      </c>
      <c r="H76" s="16" t="s">
        <v>1002</v>
      </c>
      <c r="I76" s="18" cm="1">
        <f t="array" ref="I76">_xlfn.IFS(F76=H76,1,F76=G76,0,F76&lt;&gt;G76,(F76-G76)/(G76))</f>
        <v>-0.5</v>
      </c>
      <c r="J76" s="17" t="str">
        <f>VLOOKUP($E76,статьи!$G$2:$I$24,2,)</f>
        <v>Манипулирование рынком, если это действие не содержит уголовно наказуемого деяния</v>
      </c>
    </row>
    <row r="77" spans="1:10" ht="16" x14ac:dyDescent="0.2">
      <c r="A77" s="16">
        <v>73</v>
      </c>
      <c r="B77" s="16" t="s">
        <v>101</v>
      </c>
      <c r="C77" s="17" t="s">
        <v>103</v>
      </c>
      <c r="D77" s="16" t="s">
        <v>997</v>
      </c>
      <c r="E77" s="16" t="s">
        <v>23</v>
      </c>
      <c r="F77" s="16">
        <v>3000</v>
      </c>
      <c r="G77" s="16">
        <v>3000</v>
      </c>
      <c r="H77" s="16">
        <v>5000</v>
      </c>
      <c r="I77" s="18" cm="1">
        <f t="array" ref="I77">_xlfn.IFS(F77=H77,1,F77=G77,0,F77&lt;&gt;G77,(F77-G77)/(G77))</f>
        <v>0</v>
      </c>
      <c r="J77" s="17" t="str">
        <f>VLOOKUP($E77,статьи!$G$2:$I$24,2,)</f>
        <v>Манипулирование рынком, если это действие не содержит уголовно наказуемого деяния</v>
      </c>
    </row>
    <row r="78" spans="1:10" ht="16" x14ac:dyDescent="0.2">
      <c r="A78" s="16">
        <v>74</v>
      </c>
      <c r="B78" s="16" t="s">
        <v>101</v>
      </c>
      <c r="C78" s="17" t="s">
        <v>104</v>
      </c>
      <c r="D78" s="16" t="s">
        <v>997</v>
      </c>
      <c r="E78" s="16" t="s">
        <v>23</v>
      </c>
      <c r="F78" s="16">
        <v>3000</v>
      </c>
      <c r="G78" s="16">
        <v>3000</v>
      </c>
      <c r="H78" s="16">
        <v>5000</v>
      </c>
      <c r="I78" s="18" cm="1">
        <f t="array" ref="I78">_xlfn.IFS(F78=H78,1,F78=G78,0,F78&lt;&gt;G78,(F78-G78)/(G78))</f>
        <v>0</v>
      </c>
      <c r="J78" s="17" t="str">
        <f>VLOOKUP($E78,статьи!$G$2:$I$24,2,)</f>
        <v>Манипулирование рынком, если это действие не содержит уголовно наказуемого деяния</v>
      </c>
    </row>
    <row r="79" spans="1:10" ht="176" x14ac:dyDescent="0.2">
      <c r="A79" s="16">
        <v>75</v>
      </c>
      <c r="B79" s="16" t="s">
        <v>101</v>
      </c>
      <c r="C79" s="17" t="s">
        <v>105</v>
      </c>
      <c r="D79" s="16" t="s">
        <v>996</v>
      </c>
      <c r="E79" s="16" t="s">
        <v>8</v>
      </c>
      <c r="F79" s="16" t="s">
        <v>11</v>
      </c>
      <c r="G79" s="16">
        <v>300000</v>
      </c>
      <c r="H79" s="16">
        <v>500000</v>
      </c>
      <c r="I79" s="18" t="e" cm="1">
        <f t="array" ref="I79">_xlfn.IFS(F79=H79,1,F79=G79,0,F79&lt;&gt;G79,(F79-G79)/(G79))</f>
        <v>#VALUE!</v>
      </c>
      <c r="J79" s="17" t="str">
        <f>VLOOKUP($E79,статьи!$G$2:$I$24,2,)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80" spans="1:10" ht="16" x14ac:dyDescent="0.2">
      <c r="A80" s="16">
        <v>76</v>
      </c>
      <c r="B80" s="16" t="s">
        <v>94</v>
      </c>
      <c r="C80" s="17" t="s">
        <v>106</v>
      </c>
      <c r="D80" s="16" t="s">
        <v>996</v>
      </c>
      <c r="E80" s="16" t="s">
        <v>23</v>
      </c>
      <c r="F80" s="16">
        <v>350000</v>
      </c>
      <c r="G80" s="16">
        <v>700000</v>
      </c>
      <c r="H80" s="16" t="s">
        <v>1002</v>
      </c>
      <c r="I80" s="18" cm="1">
        <f t="array" ref="I80">_xlfn.IFS(F80=H80,1,F80=G80,0,F80&lt;&gt;G80,(F80-G80)/(G80))</f>
        <v>-0.5</v>
      </c>
      <c r="J80" s="17" t="str">
        <f>VLOOKUP($E80,статьи!$G$2:$I$24,2,)</f>
        <v>Манипулирование рынком, если это действие не содержит уголовно наказуемого деяния</v>
      </c>
    </row>
    <row r="81" spans="1:10" ht="96" x14ac:dyDescent="0.2">
      <c r="A81" s="16">
        <v>77</v>
      </c>
      <c r="B81" s="16" t="s">
        <v>94</v>
      </c>
      <c r="C81" s="17" t="s">
        <v>107</v>
      </c>
      <c r="D81" s="16" t="s">
        <v>996</v>
      </c>
      <c r="E81" s="16" t="s">
        <v>108</v>
      </c>
      <c r="F81" s="16">
        <v>500000</v>
      </c>
      <c r="G81" s="16">
        <v>500000</v>
      </c>
      <c r="H81" s="16">
        <v>700000</v>
      </c>
      <c r="I81" s="18" cm="1">
        <f t="array" ref="I81">_xlfn.IFS(F81=H81,1,F81=G81,0,F81&lt;&gt;G81,(F81-G81)/(G81))</f>
        <v>0</v>
      </c>
      <c r="J81" s="17" t="str">
        <f>VLOOKUP($E81,статьи!$G$2:$I$24,2,)</f>
        <v xml:space="preserve"> Неисполнение или ненадлежащее исполнение специализированным депозитарием акционерного инвестиционного фонда, паевого инвестиционного фонда или негосударственного пенсионного фонда установленных федеральными законами и иными нормативными правовыми актами Российской Федерации обязанностей по учету и хранению имущества, а также по осуществлению контроля за распоряжением имуществом, за исключением случая, предусмотренного частью 8 настоящей статьи</v>
      </c>
    </row>
    <row r="82" spans="1:10" ht="224" x14ac:dyDescent="0.2">
      <c r="A82" s="16">
        <v>78</v>
      </c>
      <c r="B82" s="16" t="s">
        <v>94</v>
      </c>
      <c r="C82" s="17" t="s">
        <v>109</v>
      </c>
      <c r="D82" s="16" t="s">
        <v>996</v>
      </c>
      <c r="E82" s="16" t="s">
        <v>75</v>
      </c>
      <c r="F82" s="16">
        <v>500000</v>
      </c>
      <c r="G82" s="16">
        <v>500000</v>
      </c>
      <c r="H82" s="16">
        <v>700000</v>
      </c>
      <c r="I82" s="18" cm="1">
        <f t="array" ref="I82">_xlfn.IFS(F82=H82,1,F82=G82,0,F82&lt;&gt;G82,(F82-G82)/(G82))</f>
        <v>0</v>
      </c>
      <c r="J82" s="17" t="str">
        <f>VLOOKUP($E82,статьи!$G$2:$I$24,2,)</f>
        <v xml:space="preserve">
1. Непредставление или нарушение порядка либо сроков представления в Банк России отчетов, уведомлений и иной информации, предусмотренной законодательством и (или) необходимой для осуществления этим органом (должностным лицом) его законной деятельности, либо представление информации не в полном объеме и (или) недостоверной информации, за исключением случаев, если в соответствии со страховым законодательством, законодательством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Банком России дается законное предписание об устранении нарушения страхового законодательства, законодательства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и случаев, указанных в части 2 настоящей статьи, если эти действия (бездействие) не содержат признаков уголовно наказуемого деяния</v>
      </c>
    </row>
    <row r="83" spans="1:10" ht="64" x14ac:dyDescent="0.2">
      <c r="A83" s="16">
        <v>79</v>
      </c>
      <c r="B83" s="16" t="s">
        <v>94</v>
      </c>
      <c r="C83" s="17" t="s">
        <v>110</v>
      </c>
      <c r="D83" s="16" t="s">
        <v>996</v>
      </c>
      <c r="E83" s="16" t="s">
        <v>83</v>
      </c>
      <c r="F83" s="16" t="s">
        <v>11</v>
      </c>
      <c r="G83" s="16">
        <v>500000</v>
      </c>
      <c r="H83" s="16">
        <v>700000</v>
      </c>
      <c r="I83" s="18" t="e" cm="1">
        <f t="array" ref="I83">_xlfn.IFS(F83=H83,1,F83=G83,0,F83&lt;&gt;G83,(F83-G83)/(G83))</f>
        <v>#VALUE!</v>
      </c>
      <c r="J83" s="17" t="str">
        <f>VLOOKUP($E83,статьи!$G$2:$I$24,2,)</f>
        <v>Нарушение профессиональным участником рынка ценных бумаг, осуществляющим брокерскую или дилерскую деятельность либо деятельность по управлению ценными бумагами, установленных нормативными правовыми актами Российской Федерации правил ведения учета и составления отчетности</v>
      </c>
    </row>
    <row r="84" spans="1:10" ht="176" x14ac:dyDescent="0.2">
      <c r="A84" s="16">
        <v>80</v>
      </c>
      <c r="B84" s="16" t="s">
        <v>111</v>
      </c>
      <c r="C84" s="17" t="s">
        <v>112</v>
      </c>
      <c r="D84" s="16" t="s">
        <v>996</v>
      </c>
      <c r="E84" s="16" t="s">
        <v>8</v>
      </c>
      <c r="F84" s="16" t="s">
        <v>11</v>
      </c>
      <c r="G84" s="16">
        <v>300000</v>
      </c>
      <c r="H84" s="16">
        <v>500000</v>
      </c>
      <c r="I84" s="18" t="e" cm="1">
        <f t="array" ref="I84">_xlfn.IFS(F84=H84,1,F84=G84,0,F84&lt;&gt;G84,(F84-G84)/(G84))</f>
        <v>#VALUE!</v>
      </c>
      <c r="J84" s="17" t="str">
        <f>VLOOKUP($E84,статьи!$G$2:$I$24,2,)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85" spans="1:10" ht="16" x14ac:dyDescent="0.2">
      <c r="A85" s="16">
        <v>81</v>
      </c>
      <c r="B85" s="16" t="s">
        <v>97</v>
      </c>
      <c r="C85" s="17" t="s">
        <v>113</v>
      </c>
      <c r="D85" s="16" t="s">
        <v>997</v>
      </c>
      <c r="E85" s="16" t="s">
        <v>23</v>
      </c>
      <c r="F85" s="16">
        <v>3000</v>
      </c>
      <c r="G85" s="16">
        <v>3000</v>
      </c>
      <c r="H85" s="16">
        <v>5000</v>
      </c>
      <c r="I85" s="18" cm="1">
        <f t="array" ref="I85">_xlfn.IFS(F85=H85,1,F85=G85,0,F85&lt;&gt;G85,(F85-G85)/(G85))</f>
        <v>0</v>
      </c>
      <c r="J85" s="17" t="str">
        <f>VLOOKUP($E85,статьи!$G$2:$I$24,2,)</f>
        <v>Манипулирование рынком, если это действие не содержит уголовно наказуемого деяния</v>
      </c>
    </row>
    <row r="86" spans="1:10" ht="16" x14ac:dyDescent="0.2">
      <c r="A86" s="16">
        <v>82</v>
      </c>
      <c r="B86" s="16" t="s">
        <v>114</v>
      </c>
      <c r="C86" s="17" t="s">
        <v>115</v>
      </c>
      <c r="D86" s="16" t="s">
        <v>997</v>
      </c>
      <c r="E86" s="16" t="s">
        <v>23</v>
      </c>
      <c r="F86" s="16">
        <v>3000</v>
      </c>
      <c r="G86" s="16">
        <v>3000</v>
      </c>
      <c r="H86" s="16">
        <v>5000</v>
      </c>
      <c r="I86" s="18" cm="1">
        <f t="array" ref="I86">_xlfn.IFS(F86=H86,1,F86=G86,0,F86&lt;&gt;G86,(F86-G86)/(G86))</f>
        <v>0</v>
      </c>
      <c r="J86" s="17" t="str">
        <f>VLOOKUP($E86,статьи!$G$2:$I$24,2,)</f>
        <v>Манипулирование рынком, если это действие не содержит уголовно наказуемого деяния</v>
      </c>
    </row>
    <row r="87" spans="1:10" ht="16" x14ac:dyDescent="0.2">
      <c r="A87" s="16">
        <v>83</v>
      </c>
      <c r="B87" s="16" t="s">
        <v>117</v>
      </c>
      <c r="C87" s="17" t="s">
        <v>118</v>
      </c>
      <c r="D87" s="16" t="s">
        <v>997</v>
      </c>
      <c r="E87" s="16" t="s">
        <v>23</v>
      </c>
      <c r="F87" s="16">
        <v>3000</v>
      </c>
      <c r="G87" s="16">
        <v>3000</v>
      </c>
      <c r="H87" s="16">
        <v>5000</v>
      </c>
      <c r="I87" s="18" cm="1">
        <f t="array" ref="I87">_xlfn.IFS(F87=H87,1,F87=G87,0,F87&lt;&gt;G87,(F87-G87)/(G87))</f>
        <v>0</v>
      </c>
      <c r="J87" s="17" t="str">
        <f>VLOOKUP($E87,статьи!$G$2:$I$24,2,)</f>
        <v>Манипулирование рынком, если это действие не содержит уголовно наказуемого деяния</v>
      </c>
    </row>
    <row r="88" spans="1:10" ht="176" x14ac:dyDescent="0.2">
      <c r="A88" s="16">
        <v>84</v>
      </c>
      <c r="B88" s="16" t="s">
        <v>119</v>
      </c>
      <c r="C88" s="17" t="s">
        <v>120</v>
      </c>
      <c r="D88" s="16" t="s">
        <v>996</v>
      </c>
      <c r="E88" s="16" t="s">
        <v>8</v>
      </c>
      <c r="F88" s="16" t="s">
        <v>11</v>
      </c>
      <c r="G88" s="16">
        <v>300000</v>
      </c>
      <c r="H88" s="16">
        <v>500000</v>
      </c>
      <c r="I88" s="18" t="e" cm="1">
        <f t="array" ref="I88">_xlfn.IFS(F88=H88,1,F88=G88,0,F88&lt;&gt;G88,(F88-G88)/(G88))</f>
        <v>#VALUE!</v>
      </c>
      <c r="J88" s="17" t="str">
        <f>VLOOKUP($E88,статьи!$G$2:$I$24,2,)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89" spans="1:10" ht="16" x14ac:dyDescent="0.2">
      <c r="A89" s="16">
        <v>85</v>
      </c>
      <c r="B89" s="16" t="s">
        <v>121</v>
      </c>
      <c r="C89" s="17" t="s">
        <v>122</v>
      </c>
      <c r="D89" s="16" t="s">
        <v>997</v>
      </c>
      <c r="E89" s="16" t="s">
        <v>23</v>
      </c>
      <c r="F89" s="16">
        <v>3000</v>
      </c>
      <c r="G89" s="16">
        <v>3000</v>
      </c>
      <c r="H89" s="16">
        <v>5000</v>
      </c>
      <c r="I89" s="18" cm="1">
        <f t="array" ref="I89">_xlfn.IFS(F89=H89,1,F89=G89,0,F89&lt;&gt;G89,(F89-G89)/(G89))</f>
        <v>0</v>
      </c>
      <c r="J89" s="17" t="str">
        <f>VLOOKUP($E89,статьи!$G$2:$I$24,2,)</f>
        <v>Манипулирование рынком, если это действие не содержит уголовно наказуемого деяния</v>
      </c>
    </row>
    <row r="90" spans="1:10" ht="16" x14ac:dyDescent="0.2">
      <c r="A90" s="16">
        <v>86</v>
      </c>
      <c r="B90" s="16" t="s">
        <v>121</v>
      </c>
      <c r="C90" s="17" t="s">
        <v>124</v>
      </c>
      <c r="D90" s="16" t="s">
        <v>997</v>
      </c>
      <c r="E90" s="16" t="s">
        <v>23</v>
      </c>
      <c r="F90" s="16">
        <v>3000</v>
      </c>
      <c r="G90" s="16">
        <v>3000</v>
      </c>
      <c r="H90" s="16">
        <v>5000</v>
      </c>
      <c r="I90" s="18" cm="1">
        <f t="array" ref="I90">_xlfn.IFS(F90=H90,1,F90=G90,0,F90&lt;&gt;G90,(F90-G90)/(G90))</f>
        <v>0</v>
      </c>
      <c r="J90" s="17" t="str">
        <f>VLOOKUP($E90,статьи!$G$2:$I$24,2,)</f>
        <v>Манипулирование рынком, если это действие не содержит уголовно наказуемого деяния</v>
      </c>
    </row>
    <row r="91" spans="1:10" ht="144" x14ac:dyDescent="0.2">
      <c r="A91" s="16">
        <v>87</v>
      </c>
      <c r="B91" s="16" t="s">
        <v>116</v>
      </c>
      <c r="C91" s="17" t="s">
        <v>125</v>
      </c>
      <c r="D91" s="16" t="s">
        <v>996</v>
      </c>
      <c r="E91" s="16" t="s">
        <v>5</v>
      </c>
      <c r="F91" s="16">
        <v>700000</v>
      </c>
      <c r="G91" s="16">
        <v>700000</v>
      </c>
      <c r="H91" s="16">
        <v>1000000</v>
      </c>
      <c r="I91" s="18" cm="1">
        <f t="array" ref="I91">_xlfn.IFS(F91=H91,1,F91=G91,0,F91&lt;&gt;G91,(F91-G91)/(G91))</f>
        <v>0</v>
      </c>
      <c r="J91" s="17" t="str">
        <f>VLOOKUP($E91,статьи!$G$2:$I$24,2,)</f>
        <v>Воспрепятствование профессиональным участником рынка ценных бумаг,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проведению Банком России проверок либо неисполнение или ненадлежащее исполнение предписаний Банка России</v>
      </c>
    </row>
    <row r="92" spans="1:10" ht="144" x14ac:dyDescent="0.2">
      <c r="A92" s="16">
        <v>88</v>
      </c>
      <c r="B92" s="16" t="s">
        <v>116</v>
      </c>
      <c r="C92" s="17" t="s">
        <v>126</v>
      </c>
      <c r="D92" s="16" t="s">
        <v>996</v>
      </c>
      <c r="E92" s="16" t="s">
        <v>5</v>
      </c>
      <c r="F92" s="16">
        <v>700000</v>
      </c>
      <c r="G92" s="16">
        <v>700000</v>
      </c>
      <c r="H92" s="16">
        <v>1000000</v>
      </c>
      <c r="I92" s="18" cm="1">
        <f t="array" ref="I92">_xlfn.IFS(F92=H92,1,F92=G92,0,F92&lt;&gt;G92,(F92-G92)/(G92))</f>
        <v>0</v>
      </c>
      <c r="J92" s="17" t="str">
        <f>VLOOKUP($E92,статьи!$G$2:$I$24,2,)</f>
        <v>Воспрепятствование профессиональным участником рынка ценных бумаг,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проведению Банком России проверок либо неисполнение или ненадлежащее исполнение предписаний Банка России</v>
      </c>
    </row>
    <row r="93" spans="1:10" ht="176" x14ac:dyDescent="0.2">
      <c r="A93" s="16">
        <v>89</v>
      </c>
      <c r="B93" s="16" t="s">
        <v>123</v>
      </c>
      <c r="C93" s="17" t="s">
        <v>82</v>
      </c>
      <c r="D93" s="16" t="s">
        <v>996</v>
      </c>
      <c r="E93" s="16" t="s">
        <v>80</v>
      </c>
      <c r="F93" s="16">
        <v>700000</v>
      </c>
      <c r="G93" s="16">
        <v>700000</v>
      </c>
      <c r="H93" s="16">
        <v>1000000</v>
      </c>
      <c r="I93" s="18" cm="1">
        <f t="array" ref="I93">_xlfn.IFS(F93=H93,1,F93=G93,0,F93&lt;&gt;G93,(F93-G93)/(G93))</f>
        <v>0</v>
      </c>
      <c r="J93" s="17" t="str">
        <f>VLOOKUP($E93,статьи!$G$2:$I$24,2,)</f>
        <v>2. Нераскрытие или нарушение эмитентом, профессиональным участником рынка ценных бумаг, клиринговой организацией, акционерным инвестиционным фондом, управляющей компанией акционерного инвестиционного фонда, паевого инвестиционного фонда или негосударственного пенсионного фонда, специализированным депозитарием акционерного инвестиционного фонда, паевого инвестиционного фонда или негосударственного пенсионного фонда либо лицом, оказывающим услуги по публичному представлению раскрываемой информации, порядка и сроков раскрытия информации, предусмотренной федеральными законами и принятыми в соответствии с ними иными нормативными правовыми актами, а равно раскрытие информации не в полном объеме, и (или) недостоверной информации, и (или) вводящей в заблуждение информации</v>
      </c>
    </row>
    <row r="94" spans="1:10" ht="32" x14ac:dyDescent="0.2">
      <c r="A94" s="16">
        <v>90</v>
      </c>
      <c r="B94" s="16" t="s">
        <v>127</v>
      </c>
      <c r="C94" s="17" t="s">
        <v>128</v>
      </c>
      <c r="D94" s="16" t="s">
        <v>996</v>
      </c>
      <c r="E94" s="16" t="s">
        <v>129</v>
      </c>
      <c r="F94" s="16">
        <v>10000</v>
      </c>
      <c r="G94" s="16">
        <v>10000</v>
      </c>
      <c r="H94" s="16">
        <v>20000</v>
      </c>
      <c r="I94" s="18" cm="1">
        <f t="array" ref="I94">_xlfn.IFS(F94=H94,1,F94=G94,0,F94&lt;&gt;G94,(F94-G94)/(G94))</f>
        <v>0</v>
      </c>
      <c r="J94" s="17" t="str">
        <f>VLOOKUP($E94,статьи!$G$2:$I$24,2,)</f>
        <v>Нарушение бюро кредитных историй установленного порядка сбора, хранения, защиты и обработки сведений, составляющих кредитную историю</v>
      </c>
    </row>
    <row r="95" spans="1:10" ht="224" x14ac:dyDescent="0.2">
      <c r="A95" s="16">
        <v>91</v>
      </c>
      <c r="B95" s="16" t="s">
        <v>130</v>
      </c>
      <c r="C95" s="17" t="s">
        <v>82</v>
      </c>
      <c r="D95" s="16" t="s">
        <v>996</v>
      </c>
      <c r="E95" s="16" t="s">
        <v>75</v>
      </c>
      <c r="F95" s="16">
        <v>700000</v>
      </c>
      <c r="G95" s="16">
        <v>500000</v>
      </c>
      <c r="H95" s="16">
        <v>700000</v>
      </c>
      <c r="I95" s="18" cm="1">
        <f t="array" ref="I95">_xlfn.IFS(F95=H95,1,F95=G95,0,F95&lt;&gt;G95,(F95-G95)/(G95))</f>
        <v>1</v>
      </c>
      <c r="J95" s="17" t="str">
        <f>VLOOKUP($E95,статьи!$G$2:$I$24,2,)</f>
        <v xml:space="preserve">
1. Непредставление или нарушение порядка либо сроков представления в Банк России отчетов, уведомлений и иной информации, предусмотренной законодательством и (или) необходимой для осуществления этим органом (должностным лицом) его законной деятельности, либо представление информации не в полном объеме и (или) недостоверной информации, за исключением случаев, если в соответствии со страховым законодательством, законодательством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Банком России дается законное предписание об устранении нарушения страхового законодательства, законодательства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и случаев, указанных в части 2 настоящей статьи, если эти действия (бездействие) не содержат признаков уголовно наказуемого деяния</v>
      </c>
    </row>
    <row r="96" spans="1:10" ht="176" x14ac:dyDescent="0.2">
      <c r="A96" s="16">
        <v>92</v>
      </c>
      <c r="B96" s="16" t="s">
        <v>130</v>
      </c>
      <c r="C96" s="17" t="s">
        <v>131</v>
      </c>
      <c r="D96" s="16" t="s">
        <v>996</v>
      </c>
      <c r="E96" s="16" t="s">
        <v>80</v>
      </c>
      <c r="F96" s="16">
        <v>700000</v>
      </c>
      <c r="G96" s="16">
        <v>700000</v>
      </c>
      <c r="H96" s="16">
        <v>1000000</v>
      </c>
      <c r="I96" s="18" cm="1">
        <f t="array" ref="I96">_xlfn.IFS(F96=H96,1,F96=G96,0,F96&lt;&gt;G96,(F96-G96)/(G96))</f>
        <v>0</v>
      </c>
      <c r="J96" s="17" t="str">
        <f>VLOOKUP($E96,статьи!$G$2:$I$24,2,)</f>
        <v>2. Нераскрытие или нарушение эмитентом, профессиональным участником рынка ценных бумаг, клиринговой организацией, акционерным инвестиционным фондом, управляющей компанией акционерного инвестиционного фонда, паевого инвестиционного фонда или негосударственного пенсионного фонда, специализированным депозитарием акционерного инвестиционного фонда, паевого инвестиционного фонда или негосударственного пенсионного фонда либо лицом, оказывающим услуги по публичному представлению раскрываемой информации, порядка и сроков раскрытия информации, предусмотренной федеральными законами и принятыми в соответствии с ними иными нормативными правовыми актами, а равно раскрытие информации не в полном объеме, и (или) недостоверной информации, и (или) вводящей в заблуждение информации</v>
      </c>
    </row>
    <row r="97" spans="1:10" ht="176" x14ac:dyDescent="0.2">
      <c r="A97" s="16">
        <v>93</v>
      </c>
      <c r="B97" s="16" t="s">
        <v>130</v>
      </c>
      <c r="C97" s="17" t="s">
        <v>132</v>
      </c>
      <c r="D97" s="16" t="s">
        <v>996</v>
      </c>
      <c r="E97" s="16" t="s">
        <v>80</v>
      </c>
      <c r="F97" s="16">
        <v>700000</v>
      </c>
      <c r="G97" s="16">
        <v>700000</v>
      </c>
      <c r="H97" s="16">
        <v>1000000</v>
      </c>
      <c r="I97" s="18" cm="1">
        <f t="array" ref="I97">_xlfn.IFS(F97=H97,1,F97=G97,0,F97&lt;&gt;G97,(F97-G97)/(G97))</f>
        <v>0</v>
      </c>
      <c r="J97" s="17" t="str">
        <f>VLOOKUP($E97,статьи!$G$2:$I$24,2,)</f>
        <v>2. Нераскрытие или нарушение эмитентом, профессиональным участником рынка ценных бумаг, клиринговой организацией, акционерным инвестиционным фондом, управляющей компанией акционерного инвестиционного фонда, паевого инвестиционного фонда или негосударственного пенсионного фонда, специализированным депозитарием акционерного инвестиционного фонда, паевого инвестиционного фонда или негосударственного пенсионного фонда либо лицом, оказывающим услуги по публичному представлению раскрываемой информации, порядка и сроков раскрытия информации, предусмотренной федеральными законами и принятыми в соответствии с ними иными нормативными правовыми актами, а равно раскрытие информации не в полном объеме, и (или) недостоверной информации, и (или) вводящей в заблуждение информации</v>
      </c>
    </row>
    <row r="98" spans="1:10" ht="176" x14ac:dyDescent="0.2">
      <c r="A98" s="16">
        <v>94</v>
      </c>
      <c r="B98" s="16" t="s">
        <v>130</v>
      </c>
      <c r="C98" s="17" t="s">
        <v>133</v>
      </c>
      <c r="D98" s="16" t="s">
        <v>996</v>
      </c>
      <c r="E98" s="16" t="s">
        <v>8</v>
      </c>
      <c r="F98" s="16">
        <v>160000</v>
      </c>
      <c r="G98" s="16">
        <v>300000</v>
      </c>
      <c r="H98" s="16">
        <v>500000</v>
      </c>
      <c r="I98" s="18" cm="1">
        <f t="array" ref="I98">_xlfn.IFS(F98=H98,1,F98=G98,0,F98&lt;&gt;G98,(F98-G98)/(G98))</f>
        <v>-0.46666666666666667</v>
      </c>
      <c r="J98" s="17" t="str">
        <f>VLOOKUP($E98,статьи!$G$2:$I$24,2,)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99" spans="1:10" ht="16" x14ac:dyDescent="0.2">
      <c r="A99" s="16">
        <v>95</v>
      </c>
      <c r="B99" s="16" t="s">
        <v>134</v>
      </c>
      <c r="C99" s="17" t="s">
        <v>135</v>
      </c>
      <c r="D99" s="16" t="s">
        <v>997</v>
      </c>
      <c r="E99" s="16" t="s">
        <v>23</v>
      </c>
      <c r="F99" s="16">
        <v>3000</v>
      </c>
      <c r="G99" s="16">
        <v>3000</v>
      </c>
      <c r="H99" s="16">
        <v>5000</v>
      </c>
      <c r="I99" s="18" cm="1">
        <f t="array" ref="I99">_xlfn.IFS(F99=H99,1,F99=G99,0,F99&lt;&gt;G99,(F99-G99)/(G99))</f>
        <v>0</v>
      </c>
      <c r="J99" s="17" t="str">
        <f>VLOOKUP($E99,статьи!$G$2:$I$24,2,)</f>
        <v>Манипулирование рынком, если это действие не содержит уголовно наказуемого деяния</v>
      </c>
    </row>
    <row r="100" spans="1:10" ht="16" x14ac:dyDescent="0.2">
      <c r="A100" s="16">
        <v>96</v>
      </c>
      <c r="B100" s="16" t="s">
        <v>134</v>
      </c>
      <c r="C100" s="17" t="s">
        <v>137</v>
      </c>
      <c r="D100" s="16" t="s">
        <v>997</v>
      </c>
      <c r="E100" s="16" t="s">
        <v>23</v>
      </c>
      <c r="F100" s="16">
        <v>3000</v>
      </c>
      <c r="G100" s="16">
        <v>3000</v>
      </c>
      <c r="H100" s="16">
        <v>5000</v>
      </c>
      <c r="I100" s="18" cm="1">
        <f t="array" ref="I100">_xlfn.IFS(F100=H100,1,F100=G100,0,F100&lt;&gt;G100,(F100-G100)/(G100))</f>
        <v>0</v>
      </c>
      <c r="J100" s="17" t="str">
        <f>VLOOKUP($E100,статьи!$G$2:$I$24,2,)</f>
        <v>Манипулирование рынком, если это действие не содержит уголовно наказуемого деяния</v>
      </c>
    </row>
    <row r="101" spans="1:10" ht="176" x14ac:dyDescent="0.2">
      <c r="A101" s="16">
        <v>97</v>
      </c>
      <c r="B101" s="16" t="s">
        <v>134</v>
      </c>
      <c r="C101" s="17" t="s">
        <v>139</v>
      </c>
      <c r="D101" s="16" t="s">
        <v>996</v>
      </c>
      <c r="E101" s="16" t="s">
        <v>8</v>
      </c>
      <c r="F101" s="16" t="s">
        <v>11</v>
      </c>
      <c r="G101" s="16">
        <v>300000</v>
      </c>
      <c r="H101" s="16">
        <v>500000</v>
      </c>
      <c r="I101" s="18" t="e" cm="1">
        <f t="array" ref="I101">_xlfn.IFS(F101=H101,1,F101=G101,0,F101&lt;&gt;G101,(F101-G101)/(G101))</f>
        <v>#VALUE!</v>
      </c>
      <c r="J101" s="17" t="str">
        <f>VLOOKUP($E101,статьи!$G$2:$I$24,2,)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102" spans="1:10" ht="176" x14ac:dyDescent="0.2">
      <c r="A102" s="16">
        <v>98</v>
      </c>
      <c r="B102" s="16" t="s">
        <v>134</v>
      </c>
      <c r="C102" s="17" t="s">
        <v>140</v>
      </c>
      <c r="D102" s="16" t="s">
        <v>996</v>
      </c>
      <c r="E102" s="16" t="s">
        <v>80</v>
      </c>
      <c r="F102" s="16">
        <v>350000</v>
      </c>
      <c r="G102" s="16">
        <v>700000</v>
      </c>
      <c r="H102" s="16">
        <v>1000000</v>
      </c>
      <c r="I102" s="18" cm="1">
        <f t="array" ref="I102">_xlfn.IFS(F102=H102,1,F102=G102,0,F102&lt;&gt;G102,(F102-G102)/(G102))</f>
        <v>-0.5</v>
      </c>
      <c r="J102" s="17" t="str">
        <f>VLOOKUP($E102,статьи!$G$2:$I$24,2,)</f>
        <v>2. Нераскрытие или нарушение эмитентом, профессиональным участником рынка ценных бумаг, клиринговой организацией, акционерным инвестиционным фондом, управляющей компанией акционерного инвестиционного фонда, паевого инвестиционного фонда или негосударственного пенсионного фонда, специализированным депозитарием акционерного инвестиционного фонда, паевого инвестиционного фонда или негосударственного пенсионного фонда либо лицом, оказывающим услуги по публичному представлению раскрываемой информации, порядка и сроков раскрытия информации, предусмотренной федеральными законами и принятыми в соответствии с ними иными нормативными правовыми актами, а равно раскрытие информации не в полном объеме, и (или) недостоверной информации, и (или) вводящей в заблуждение информации</v>
      </c>
    </row>
    <row r="103" spans="1:10" ht="176" x14ac:dyDescent="0.2">
      <c r="A103" s="16">
        <v>98</v>
      </c>
      <c r="B103" s="16" t="s">
        <v>134</v>
      </c>
      <c r="C103" s="17" t="s">
        <v>140</v>
      </c>
      <c r="D103" s="16" t="s">
        <v>996</v>
      </c>
      <c r="E103" s="16" t="s">
        <v>80</v>
      </c>
      <c r="F103" s="16">
        <v>350000</v>
      </c>
      <c r="G103" s="16">
        <v>700000</v>
      </c>
      <c r="H103" s="16">
        <v>1000000</v>
      </c>
      <c r="I103" s="18" cm="1">
        <f t="array" ref="I103">_xlfn.IFS(F103=H103,1,F103=G103,0,F103&lt;&gt;G103,(F103-G103)/(G103))</f>
        <v>-0.5</v>
      </c>
      <c r="J103" s="17" t="str">
        <f>VLOOKUP($E103,статьи!$G$2:$I$24,2,)</f>
        <v>2. Нераскрытие или нарушение эмитентом, профессиональным участником рынка ценных бумаг, клиринговой организацией, акционерным инвестиционным фондом, управляющей компанией акционерного инвестиционного фонда, паевого инвестиционного фонда или негосударственного пенсионного фонда, специализированным депозитарием акционерного инвестиционного фонда, паевого инвестиционного фонда или негосударственного пенсионного фонда либо лицом, оказывающим услуги по публичному представлению раскрываемой информации, порядка и сроков раскрытия информации, предусмотренной федеральными законами и принятыми в соответствии с ними иными нормативными правовыми актами, а равно раскрытие информации не в полном объеме, и (или) недостоверной информации, и (или) вводящей в заблуждение информации</v>
      </c>
    </row>
    <row r="104" spans="1:10" ht="224" x14ac:dyDescent="0.2">
      <c r="A104" s="16">
        <v>99</v>
      </c>
      <c r="B104" s="16" t="s">
        <v>138</v>
      </c>
      <c r="C104" s="17" t="s">
        <v>141</v>
      </c>
      <c r="D104" s="16" t="s">
        <v>996</v>
      </c>
      <c r="E104" s="16" t="s">
        <v>75</v>
      </c>
      <c r="F104" s="16" t="s">
        <v>11</v>
      </c>
      <c r="G104" s="16">
        <v>500000</v>
      </c>
      <c r="H104" s="16">
        <v>700000</v>
      </c>
      <c r="I104" s="18" t="e" cm="1">
        <f t="array" ref="I104">_xlfn.IFS(F104=H104,1,F104=G104,0,F104&lt;&gt;G104,(F104-G104)/(G104))</f>
        <v>#VALUE!</v>
      </c>
      <c r="J104" s="17" t="str">
        <f>VLOOKUP($E104,статьи!$G$2:$I$24,2,)</f>
        <v xml:space="preserve">
1. Непредставление или нарушение порядка либо сроков представления в Банк России отчетов, уведомлений и иной информации, предусмотренной законодательством и (или) необходимой для осуществления этим органом (должностным лицом) его законной деятельности, либо представление информации не в полном объеме и (или) недостоверной информации, за исключением случаев, если в соответствии со страховым законодательством, законодательством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Банком России дается законное предписание об устранении нарушения страхового законодательства, законодательства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и случаев, указанных в части 2 настоящей статьи, если эти действия (бездействие) не содержат признаков уголовно наказуемого деяния</v>
      </c>
    </row>
    <row r="105" spans="1:10" ht="80" x14ac:dyDescent="0.2">
      <c r="A105" s="16">
        <v>100</v>
      </c>
      <c r="B105" s="16" t="s">
        <v>142</v>
      </c>
      <c r="C105" s="17" t="s">
        <v>143</v>
      </c>
      <c r="D105" s="16" t="s">
        <v>996</v>
      </c>
      <c r="E105" s="16" t="s">
        <v>72</v>
      </c>
      <c r="F105" s="16">
        <v>250000</v>
      </c>
      <c r="G105" s="16">
        <v>500000</v>
      </c>
      <c r="H105" s="16">
        <v>700000</v>
      </c>
      <c r="I105" s="18" cm="1">
        <f t="array" ref="I105">_xlfn.IFS(F105=H105,1,F105=G105,0,F105&lt;&gt;G105,(F105-G105)/(G105))</f>
        <v>-0.5</v>
      </c>
      <c r="J105" s="17" t="str">
        <f>VLOOKUP($E105,статьи!$G$2:$I$24,2,)</f>
        <v xml:space="preserve">9. Невыполнение в установленный срок законного предписания Банка России, за исключением случаев, предусмотренных частью 9.1 настоящей статьи, -
</v>
      </c>
    </row>
    <row r="106" spans="1:10" ht="144" x14ac:dyDescent="0.2">
      <c r="A106" s="16">
        <v>101</v>
      </c>
      <c r="B106" s="16" t="s">
        <v>142</v>
      </c>
      <c r="C106" s="17" t="s">
        <v>144</v>
      </c>
      <c r="D106" s="16" t="s">
        <v>996</v>
      </c>
      <c r="E106" s="16" t="s">
        <v>5</v>
      </c>
      <c r="F106" s="16">
        <v>700000</v>
      </c>
      <c r="G106" s="16">
        <v>700000</v>
      </c>
      <c r="H106" s="16">
        <v>1000000</v>
      </c>
      <c r="I106" s="18" cm="1">
        <f t="array" ref="I106">_xlfn.IFS(F106=H106,1,F106=G106,0,F106&lt;&gt;G106,(F106-G106)/(G106))</f>
        <v>0</v>
      </c>
      <c r="J106" s="17" t="str">
        <f>VLOOKUP($E106,статьи!$G$2:$I$24,2,)</f>
        <v>Воспрепятствование профессиональным участником рынка ценных бумаг,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проведению Банком России проверок либо неисполнение или ненадлежащее исполнение предписаний Банка России</v>
      </c>
    </row>
    <row r="107" spans="1:10" ht="16" x14ac:dyDescent="0.2">
      <c r="A107" s="16">
        <v>102</v>
      </c>
      <c r="B107" s="16" t="s">
        <v>136</v>
      </c>
      <c r="C107" s="17" t="s">
        <v>145</v>
      </c>
      <c r="D107" s="16" t="s">
        <v>997</v>
      </c>
      <c r="E107" s="16" t="s">
        <v>23</v>
      </c>
      <c r="F107" s="16">
        <v>3000</v>
      </c>
      <c r="G107" s="16">
        <v>3000</v>
      </c>
      <c r="H107" s="16">
        <v>5000</v>
      </c>
      <c r="I107" s="18" cm="1">
        <f t="array" ref="I107">_xlfn.IFS(F107=H107,1,F107=G107,0,F107&lt;&gt;G107,(F107-G107)/(G107))</f>
        <v>0</v>
      </c>
      <c r="J107" s="17" t="str">
        <f>VLOOKUP($E107,статьи!$G$2:$I$24,2,)</f>
        <v>Манипулирование рынком, если это действие не содержит уголовно наказуемого деяния</v>
      </c>
    </row>
    <row r="108" spans="1:10" ht="16" x14ac:dyDescent="0.2">
      <c r="A108" s="16">
        <v>103</v>
      </c>
      <c r="B108" s="16" t="s">
        <v>136</v>
      </c>
      <c r="C108" s="17" t="s">
        <v>146</v>
      </c>
      <c r="D108" s="16" t="s">
        <v>997</v>
      </c>
      <c r="E108" s="16" t="s">
        <v>23</v>
      </c>
      <c r="F108" s="16">
        <v>3000</v>
      </c>
      <c r="G108" s="16">
        <v>3000</v>
      </c>
      <c r="H108" s="16">
        <v>5000</v>
      </c>
      <c r="I108" s="18" cm="1">
        <f t="array" ref="I108">_xlfn.IFS(F108=H108,1,F108=G108,0,F108&lt;&gt;G108,(F108-G108)/(G108))</f>
        <v>0</v>
      </c>
      <c r="J108" s="17" t="str">
        <f>VLOOKUP($E108,статьи!$G$2:$I$24,2,)</f>
        <v>Манипулирование рынком, если это действие не содержит уголовно наказуемого деяния</v>
      </c>
    </row>
    <row r="109" spans="1:10" ht="16" x14ac:dyDescent="0.2">
      <c r="A109" s="16">
        <v>104</v>
      </c>
      <c r="B109" s="16" t="s">
        <v>136</v>
      </c>
      <c r="C109" s="17" t="s">
        <v>147</v>
      </c>
      <c r="D109" s="16" t="s">
        <v>997</v>
      </c>
      <c r="E109" s="16" t="s">
        <v>23</v>
      </c>
      <c r="F109" s="16">
        <v>3000</v>
      </c>
      <c r="G109" s="16">
        <v>3000</v>
      </c>
      <c r="H109" s="16">
        <v>5000</v>
      </c>
      <c r="I109" s="18" cm="1">
        <f t="array" ref="I109">_xlfn.IFS(F109=H109,1,F109=G109,0,F109&lt;&gt;G109,(F109-G109)/(G109))</f>
        <v>0</v>
      </c>
      <c r="J109" s="17" t="str">
        <f>VLOOKUP($E109,статьи!$G$2:$I$24,2,)</f>
        <v>Манипулирование рынком, если это действие не содержит уголовно наказуемого деяния</v>
      </c>
    </row>
    <row r="110" spans="1:10" ht="16" x14ac:dyDescent="0.2">
      <c r="A110" s="16">
        <v>105</v>
      </c>
      <c r="B110" s="16" t="s">
        <v>136</v>
      </c>
      <c r="C110" s="17" t="s">
        <v>148</v>
      </c>
      <c r="D110" s="16" t="s">
        <v>997</v>
      </c>
      <c r="E110" s="16" t="s">
        <v>23</v>
      </c>
      <c r="F110" s="16">
        <v>3000</v>
      </c>
      <c r="G110" s="16">
        <v>3000</v>
      </c>
      <c r="H110" s="16">
        <v>5000</v>
      </c>
      <c r="I110" s="18" cm="1">
        <f t="array" ref="I110">_xlfn.IFS(F110=H110,1,F110=G110,0,F110&lt;&gt;G110,(F110-G110)/(G110))</f>
        <v>0</v>
      </c>
      <c r="J110" s="17" t="str">
        <f>VLOOKUP($E110,статьи!$G$2:$I$24,2,)</f>
        <v>Манипулирование рынком, если это действие не содержит уголовно наказуемого деяния</v>
      </c>
    </row>
    <row r="111" spans="1:10" ht="16" x14ac:dyDescent="0.2">
      <c r="A111" s="16">
        <v>106</v>
      </c>
      <c r="B111" s="16" t="s">
        <v>136</v>
      </c>
      <c r="C111" s="17" t="s">
        <v>149</v>
      </c>
      <c r="D111" s="16" t="s">
        <v>997</v>
      </c>
      <c r="E111" s="16" t="s">
        <v>23</v>
      </c>
      <c r="F111" s="16">
        <v>3000</v>
      </c>
      <c r="G111" s="16">
        <v>3000</v>
      </c>
      <c r="H111" s="16">
        <v>5000</v>
      </c>
      <c r="I111" s="18" cm="1">
        <f t="array" ref="I111">_xlfn.IFS(F111=H111,1,F111=G111,0,F111&lt;&gt;G111,(F111-G111)/(G111))</f>
        <v>0</v>
      </c>
      <c r="J111" s="17" t="str">
        <f>VLOOKUP($E111,статьи!$G$2:$I$24,2,)</f>
        <v>Манипулирование рынком, если это действие не содержит уголовно наказуемого деяния</v>
      </c>
    </row>
    <row r="112" spans="1:10" ht="16" x14ac:dyDescent="0.2">
      <c r="A112" s="16">
        <v>107</v>
      </c>
      <c r="B112" s="16" t="s">
        <v>136</v>
      </c>
      <c r="C112" s="17" t="s">
        <v>150</v>
      </c>
      <c r="D112" s="16" t="s">
        <v>997</v>
      </c>
      <c r="E112" s="16" t="s">
        <v>23</v>
      </c>
      <c r="F112" s="16">
        <v>3000</v>
      </c>
      <c r="G112" s="16">
        <v>3000</v>
      </c>
      <c r="H112" s="16">
        <v>5000</v>
      </c>
      <c r="I112" s="18" cm="1">
        <f t="array" ref="I112">_xlfn.IFS(F112=H112,1,F112=G112,0,F112&lt;&gt;G112,(F112-G112)/(G112))</f>
        <v>0</v>
      </c>
      <c r="J112" s="17" t="str">
        <f>VLOOKUP($E112,статьи!$G$2:$I$24,2,)</f>
        <v>Манипулирование рынком, если это действие не содержит уголовно наказуемого деяния</v>
      </c>
    </row>
    <row r="113" spans="1:10" ht="16" x14ac:dyDescent="0.2">
      <c r="A113" s="16">
        <v>108</v>
      </c>
      <c r="B113" s="16" t="s">
        <v>136</v>
      </c>
      <c r="C113" s="17" t="s">
        <v>151</v>
      </c>
      <c r="D113" s="16" t="s">
        <v>997</v>
      </c>
      <c r="E113" s="16" t="s">
        <v>23</v>
      </c>
      <c r="F113" s="16">
        <v>3000</v>
      </c>
      <c r="G113" s="16">
        <v>3000</v>
      </c>
      <c r="H113" s="16">
        <v>5000</v>
      </c>
      <c r="I113" s="18" cm="1">
        <f t="array" ref="I113">_xlfn.IFS(F113=H113,1,F113=G113,0,F113&lt;&gt;G113,(F113-G113)/(G113))</f>
        <v>0</v>
      </c>
      <c r="J113" s="17" t="str">
        <f>VLOOKUP($E113,статьи!$G$2:$I$24,2,)</f>
        <v>Манипулирование рынком, если это действие не содержит уголовно наказуемого деяния</v>
      </c>
    </row>
    <row r="114" spans="1:10" ht="16" x14ac:dyDescent="0.2">
      <c r="A114" s="16">
        <v>109</v>
      </c>
      <c r="B114" s="16" t="s">
        <v>152</v>
      </c>
      <c r="C114" s="17" t="s">
        <v>153</v>
      </c>
      <c r="D114" s="16" t="s">
        <v>997</v>
      </c>
      <c r="E114" s="16" t="s">
        <v>23</v>
      </c>
      <c r="F114" s="16">
        <v>3000</v>
      </c>
      <c r="G114" s="16">
        <v>3000</v>
      </c>
      <c r="H114" s="16">
        <v>5000</v>
      </c>
      <c r="I114" s="18" cm="1">
        <f t="array" ref="I114">_xlfn.IFS(F114=H114,1,F114=G114,0,F114&lt;&gt;G114,(F114-G114)/(G114))</f>
        <v>0</v>
      </c>
      <c r="J114" s="17" t="str">
        <f>VLOOKUP($E114,статьи!$G$2:$I$24,2,)</f>
        <v>Манипулирование рынком, если это действие не содержит уголовно наказуемого деяния</v>
      </c>
    </row>
    <row r="115" spans="1:10" ht="16" x14ac:dyDescent="0.2">
      <c r="A115" s="16">
        <v>110</v>
      </c>
      <c r="B115" s="16" t="s">
        <v>152</v>
      </c>
      <c r="C115" s="17" t="s">
        <v>155</v>
      </c>
      <c r="D115" s="16" t="s">
        <v>997</v>
      </c>
      <c r="E115" s="16" t="s">
        <v>23</v>
      </c>
      <c r="F115" s="16">
        <v>3000</v>
      </c>
      <c r="G115" s="16">
        <v>3000</v>
      </c>
      <c r="H115" s="16">
        <v>5000</v>
      </c>
      <c r="I115" s="18" cm="1">
        <f t="array" ref="I115">_xlfn.IFS(F115=H115,1,F115=G115,0,F115&lt;&gt;G115,(F115-G115)/(G115))</f>
        <v>0</v>
      </c>
      <c r="J115" s="17" t="str">
        <f>VLOOKUP($E115,статьи!$G$2:$I$24,2,)</f>
        <v>Манипулирование рынком, если это действие не содержит уголовно наказуемого деяния</v>
      </c>
    </row>
    <row r="116" spans="1:10" ht="16" x14ac:dyDescent="0.2">
      <c r="A116" s="16">
        <v>111</v>
      </c>
      <c r="B116" s="16" t="s">
        <v>156</v>
      </c>
      <c r="C116" s="17" t="s">
        <v>157</v>
      </c>
      <c r="D116" s="16" t="s">
        <v>997</v>
      </c>
      <c r="E116" s="16" t="s">
        <v>23</v>
      </c>
      <c r="F116" s="16">
        <v>3000</v>
      </c>
      <c r="G116" s="16">
        <v>3000</v>
      </c>
      <c r="H116" s="16">
        <v>5000</v>
      </c>
      <c r="I116" s="18" cm="1">
        <f t="array" ref="I116">_xlfn.IFS(F116=H116,1,F116=G116,0,F116&lt;&gt;G116,(F116-G116)/(G116))</f>
        <v>0</v>
      </c>
      <c r="J116" s="17" t="str">
        <f>VLOOKUP($E116,статьи!$G$2:$I$24,2,)</f>
        <v>Манипулирование рынком, если это действие не содержит уголовно наказуемого деяния</v>
      </c>
    </row>
    <row r="117" spans="1:10" ht="16" x14ac:dyDescent="0.2">
      <c r="A117" s="16">
        <v>112</v>
      </c>
      <c r="B117" s="16" t="s">
        <v>158</v>
      </c>
      <c r="C117" s="17" t="s">
        <v>159</v>
      </c>
      <c r="D117" s="16" t="s">
        <v>997</v>
      </c>
      <c r="E117" s="16" t="s">
        <v>23</v>
      </c>
      <c r="F117" s="16">
        <v>3000</v>
      </c>
      <c r="G117" s="16">
        <v>3000</v>
      </c>
      <c r="H117" s="16">
        <v>5000</v>
      </c>
      <c r="I117" s="18" cm="1">
        <f t="array" ref="I117">_xlfn.IFS(F117=H117,1,F117=G117,0,F117&lt;&gt;G117,(F117-G117)/(G117))</f>
        <v>0</v>
      </c>
      <c r="J117" s="17" t="str">
        <f>VLOOKUP($E117,статьи!$G$2:$I$24,2,)</f>
        <v>Манипулирование рынком, если это действие не содержит уголовно наказуемого деяния</v>
      </c>
    </row>
    <row r="118" spans="1:10" ht="16" x14ac:dyDescent="0.2">
      <c r="A118" s="16">
        <v>113</v>
      </c>
      <c r="B118" s="16" t="s">
        <v>158</v>
      </c>
      <c r="C118" s="17" t="s">
        <v>160</v>
      </c>
      <c r="D118" s="16" t="s">
        <v>997</v>
      </c>
      <c r="E118" s="16" t="s">
        <v>23</v>
      </c>
      <c r="F118" s="16">
        <v>3000</v>
      </c>
      <c r="G118" s="16">
        <v>3000</v>
      </c>
      <c r="H118" s="16">
        <v>5000</v>
      </c>
      <c r="I118" s="18" cm="1">
        <f t="array" ref="I118">_xlfn.IFS(F118=H118,1,F118=G118,0,F118&lt;&gt;G118,(F118-G118)/(G118))</f>
        <v>0</v>
      </c>
      <c r="J118" s="17" t="str">
        <f>VLOOKUP($E118,статьи!$G$2:$I$24,2,)</f>
        <v>Манипулирование рынком, если это действие не содержит уголовно наказуемого деяния</v>
      </c>
    </row>
    <row r="119" spans="1:10" ht="16" x14ac:dyDescent="0.2">
      <c r="A119" s="16">
        <v>114</v>
      </c>
      <c r="B119" s="16" t="s">
        <v>158</v>
      </c>
      <c r="C119" s="17" t="s">
        <v>161</v>
      </c>
      <c r="D119" s="16" t="s">
        <v>997</v>
      </c>
      <c r="E119" s="16" t="s">
        <v>23</v>
      </c>
      <c r="F119" s="16">
        <v>3000</v>
      </c>
      <c r="G119" s="16">
        <v>3000</v>
      </c>
      <c r="H119" s="16">
        <v>5000</v>
      </c>
      <c r="I119" s="18" cm="1">
        <f t="array" ref="I119">_xlfn.IFS(F119=H119,1,F119=G119,0,F119&lt;&gt;G119,(F119-G119)/(G119))</f>
        <v>0</v>
      </c>
      <c r="J119" s="17" t="str">
        <f>VLOOKUP($E119,статьи!$G$2:$I$24,2,)</f>
        <v>Манипулирование рынком, если это действие не содержит уголовно наказуемого деяния</v>
      </c>
    </row>
    <row r="120" spans="1:10" ht="16" x14ac:dyDescent="0.2">
      <c r="A120" s="16">
        <v>115</v>
      </c>
      <c r="B120" s="16" t="s">
        <v>154</v>
      </c>
      <c r="C120" s="17" t="s">
        <v>162</v>
      </c>
      <c r="D120" s="16" t="s">
        <v>997</v>
      </c>
      <c r="E120" s="16" t="s">
        <v>23</v>
      </c>
      <c r="F120" s="16">
        <v>3000</v>
      </c>
      <c r="G120" s="16">
        <v>3000</v>
      </c>
      <c r="H120" s="16">
        <v>5000</v>
      </c>
      <c r="I120" s="18" cm="1">
        <f t="array" ref="I120">_xlfn.IFS(F120=H120,1,F120=G120,0,F120&lt;&gt;G120,(F120-G120)/(G120))</f>
        <v>0</v>
      </c>
      <c r="J120" s="17" t="str">
        <f>VLOOKUP($E120,статьи!$G$2:$I$24,2,)</f>
        <v>Манипулирование рынком, если это действие не содержит уголовно наказуемого деяния</v>
      </c>
    </row>
    <row r="121" spans="1:10" ht="16" x14ac:dyDescent="0.2">
      <c r="A121" s="16">
        <v>116</v>
      </c>
      <c r="B121" s="16" t="s">
        <v>154</v>
      </c>
      <c r="C121" s="17" t="s">
        <v>163</v>
      </c>
      <c r="D121" s="16" t="s">
        <v>997</v>
      </c>
      <c r="E121" s="16" t="s">
        <v>23</v>
      </c>
      <c r="F121" s="16">
        <v>3000</v>
      </c>
      <c r="G121" s="16">
        <v>3000</v>
      </c>
      <c r="H121" s="16">
        <v>5000</v>
      </c>
      <c r="I121" s="18" cm="1">
        <f t="array" ref="I121">_xlfn.IFS(F121=H121,1,F121=G121,0,F121&lt;&gt;G121,(F121-G121)/(G121))</f>
        <v>0</v>
      </c>
      <c r="J121" s="17" t="str">
        <f>VLOOKUP($E121,статьи!$G$2:$I$24,2,)</f>
        <v>Манипулирование рынком, если это действие не содержит уголовно наказуемого деяния</v>
      </c>
    </row>
    <row r="122" spans="1:10" ht="16" x14ac:dyDescent="0.2">
      <c r="A122" s="16">
        <v>117</v>
      </c>
      <c r="B122" s="16" t="s">
        <v>154</v>
      </c>
      <c r="C122" s="17" t="s">
        <v>164</v>
      </c>
      <c r="D122" s="16" t="s">
        <v>997</v>
      </c>
      <c r="E122" s="16" t="s">
        <v>23</v>
      </c>
      <c r="F122" s="16">
        <v>3000</v>
      </c>
      <c r="G122" s="16">
        <v>3000</v>
      </c>
      <c r="H122" s="16">
        <v>5000</v>
      </c>
      <c r="I122" s="18" cm="1">
        <f t="array" ref="I122">_xlfn.IFS(F122=H122,1,F122=G122,0,F122&lt;&gt;G122,(F122-G122)/(G122))</f>
        <v>0</v>
      </c>
      <c r="J122" s="17" t="str">
        <f>VLOOKUP($E122,статьи!$G$2:$I$24,2,)</f>
        <v>Манипулирование рынком, если это действие не содержит уголовно наказуемого деяния</v>
      </c>
    </row>
    <row r="123" spans="1:10" ht="16" x14ac:dyDescent="0.2">
      <c r="A123" s="16">
        <v>118</v>
      </c>
      <c r="B123" s="16" t="s">
        <v>154</v>
      </c>
      <c r="C123" s="17" t="s">
        <v>165</v>
      </c>
      <c r="D123" s="16" t="s">
        <v>997</v>
      </c>
      <c r="E123" s="16" t="s">
        <v>23</v>
      </c>
      <c r="F123" s="16">
        <v>3000</v>
      </c>
      <c r="G123" s="16">
        <v>3000</v>
      </c>
      <c r="H123" s="16">
        <v>5000</v>
      </c>
      <c r="I123" s="18" cm="1">
        <f t="array" ref="I123">_xlfn.IFS(F123=H123,1,F123=G123,0,F123&lt;&gt;G123,(F123-G123)/(G123))</f>
        <v>0</v>
      </c>
      <c r="J123" s="17" t="str">
        <f>VLOOKUP($E123,статьи!$G$2:$I$24,2,)</f>
        <v>Манипулирование рынком, если это действие не содержит уголовно наказуемого деяния</v>
      </c>
    </row>
    <row r="124" spans="1:10" ht="48" x14ac:dyDescent="0.2">
      <c r="A124" s="16">
        <v>119</v>
      </c>
      <c r="B124" s="16" t="s">
        <v>154</v>
      </c>
      <c r="C124" s="17" t="s">
        <v>166</v>
      </c>
      <c r="D124" s="16" t="s">
        <v>996</v>
      </c>
      <c r="E124" s="16" t="s">
        <v>167</v>
      </c>
      <c r="F124" s="16">
        <f>50000</f>
        <v>50000</v>
      </c>
      <c r="G124" s="16">
        <v>30000</v>
      </c>
      <c r="H124" s="16">
        <v>50000</v>
      </c>
      <c r="I124" s="18" cm="1">
        <f t="array" ref="I124">_xlfn.IFS(F124=H124,1,F124=G124,0,F124&lt;&gt;G124,(F124-G124)/(G124))</f>
        <v>1</v>
      </c>
      <c r="J124" s="17" t="str">
        <f>VLOOKUP($E124,статьи!$G$2:$I$24,2,)</f>
        <v>2. Незаконный отказ бюро кредитных историй в исправлении недостоверной информации или неисполнение обязанности по исправлению недостоверной информации, содержащейся в кредитной истории (кредитном отчете)</v>
      </c>
    </row>
    <row r="125" spans="1:10" ht="48" x14ac:dyDescent="0.2">
      <c r="A125" s="16">
        <v>119</v>
      </c>
      <c r="B125" s="16" t="s">
        <v>154</v>
      </c>
      <c r="C125" s="17" t="s">
        <v>166</v>
      </c>
      <c r="D125" s="16" t="s">
        <v>996</v>
      </c>
      <c r="E125" s="16" t="s">
        <v>168</v>
      </c>
      <c r="F125" s="16">
        <f>20000</f>
        <v>20000</v>
      </c>
      <c r="G125" s="16">
        <v>10000</v>
      </c>
      <c r="H125" s="16">
        <v>20000</v>
      </c>
      <c r="I125" s="18" cm="1">
        <f t="array" ref="I125">_xlfn.IFS(F125=H125,1,F125=G125,0,F125&lt;&gt;G125,(F125-G125)/(G125))</f>
        <v>1</v>
      </c>
      <c r="J125" s="17" t="str">
        <f>VLOOKUP($E125,статьи!$G$2:$I$24,2,)</f>
        <v>1. Непроведение проверки или несвоевременное проведение по требованию субъекта кредитной истории проверки бюро кредитных историй информации, содержащейся в кредитной истории (кредитном отчете)</v>
      </c>
    </row>
    <row r="126" spans="1:10" ht="48" x14ac:dyDescent="0.2">
      <c r="A126" s="16">
        <v>119</v>
      </c>
      <c r="B126" s="16" t="s">
        <v>154</v>
      </c>
      <c r="C126" s="17" t="s">
        <v>166</v>
      </c>
      <c r="D126" s="16" t="s">
        <v>996</v>
      </c>
      <c r="E126" s="16" t="s">
        <v>168</v>
      </c>
      <c r="F126" s="16">
        <f>20000</f>
        <v>20000</v>
      </c>
      <c r="G126" s="16">
        <v>10000</v>
      </c>
      <c r="H126" s="16">
        <v>20000</v>
      </c>
      <c r="I126" s="18" cm="1">
        <f t="array" ref="I126">_xlfn.IFS(F126=H126,1,F126=G126,0,F126&lt;&gt;G126,(F126-G126)/(G126))</f>
        <v>1</v>
      </c>
      <c r="J126" s="17" t="str">
        <f>VLOOKUP($E126,статьи!$G$2:$I$24,2,)</f>
        <v>1. Непроведение проверки или несвоевременное проведение по требованию субъекта кредитной истории проверки бюро кредитных историй информации, содержащейся в кредитной истории (кредитном отчете)</v>
      </c>
    </row>
    <row r="127" spans="1:10" ht="176" x14ac:dyDescent="0.2">
      <c r="A127" s="16">
        <v>120</v>
      </c>
      <c r="B127" s="16" t="s">
        <v>154</v>
      </c>
      <c r="C127" s="17" t="s">
        <v>140</v>
      </c>
      <c r="D127" s="16" t="s">
        <v>996</v>
      </c>
      <c r="E127" s="16" t="s">
        <v>8</v>
      </c>
      <c r="F127" s="16">
        <v>150000</v>
      </c>
      <c r="G127" s="16">
        <v>300000</v>
      </c>
      <c r="H127" s="16">
        <v>500000</v>
      </c>
      <c r="I127" s="18" cm="1">
        <f t="array" ref="I127">_xlfn.IFS(F127=H127,1,F127=G127,0,F127&lt;&gt;G127,(F127-G127)/(G127))</f>
        <v>-0.5</v>
      </c>
      <c r="J127" s="17" t="str">
        <f>VLOOKUP($E127,статьи!$G$2:$I$24,2,)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128" spans="1:10" ht="64" x14ac:dyDescent="0.2">
      <c r="A128" s="16">
        <v>121</v>
      </c>
      <c r="B128" s="16" t="s">
        <v>154</v>
      </c>
      <c r="C128" s="17" t="s">
        <v>169</v>
      </c>
      <c r="D128" s="16" t="s">
        <v>996</v>
      </c>
      <c r="E128" s="16" t="s">
        <v>83</v>
      </c>
      <c r="F128" s="16">
        <v>550000</v>
      </c>
      <c r="G128" s="16">
        <v>500000</v>
      </c>
      <c r="H128" s="16">
        <v>700000</v>
      </c>
      <c r="I128" s="18" cm="1">
        <f t="array" ref="I128">_xlfn.IFS(F128=H128,1,F128=G128,0,F128&lt;&gt;G128,(F128-G128)/(G128))</f>
        <v>0.1</v>
      </c>
      <c r="J128" s="17" t="str">
        <f>VLOOKUP($E128,статьи!$G$2:$I$24,2,)</f>
        <v>Нарушение профессиональным участником рынка ценных бумаг, осуществляющим брокерскую или дилерскую деятельность либо деятельность по управлению ценными бумагами, установленных нормативными правовыми актами Российской Федерации правил ведения учета и составления отчетности</v>
      </c>
    </row>
    <row r="129" spans="1:10" ht="144" x14ac:dyDescent="0.2">
      <c r="A129" s="16">
        <v>122</v>
      </c>
      <c r="B129" s="16" t="s">
        <v>154</v>
      </c>
      <c r="C129" s="17" t="s">
        <v>170</v>
      </c>
      <c r="D129" s="16" t="s">
        <v>996</v>
      </c>
      <c r="E129" s="16" t="s">
        <v>5</v>
      </c>
      <c r="F129" s="16">
        <v>350000</v>
      </c>
      <c r="G129" s="16">
        <v>700000</v>
      </c>
      <c r="H129" s="16">
        <v>1000000</v>
      </c>
      <c r="I129" s="18" cm="1">
        <f t="array" ref="I129">_xlfn.IFS(F129=H129,1,F129=G129,0,F129&lt;&gt;G129,(F129-G129)/(G129))</f>
        <v>-0.5</v>
      </c>
      <c r="J129" s="17" t="str">
        <f>VLOOKUP($E129,статьи!$G$2:$I$24,2,)</f>
        <v>Воспрепятствование профессиональным участником рынка ценных бумаг,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проведению Банком России проверок либо неисполнение или ненадлежащее исполнение предписаний Банка России</v>
      </c>
    </row>
    <row r="130" spans="1:10" ht="144" x14ac:dyDescent="0.2">
      <c r="A130" s="16">
        <v>122</v>
      </c>
      <c r="B130" s="16" t="s">
        <v>154</v>
      </c>
      <c r="C130" s="17" t="s">
        <v>170</v>
      </c>
      <c r="D130" s="16" t="s">
        <v>996</v>
      </c>
      <c r="E130" s="16" t="s">
        <v>5</v>
      </c>
      <c r="F130" s="16">
        <v>350000</v>
      </c>
      <c r="G130" s="16">
        <v>700000</v>
      </c>
      <c r="H130" s="16">
        <v>1000000</v>
      </c>
      <c r="I130" s="18" cm="1">
        <f t="array" ref="I130">_xlfn.IFS(F130=H130,1,F130=G130,0,F130&lt;&gt;G130,(F130-G130)/(G130))</f>
        <v>-0.5</v>
      </c>
      <c r="J130" s="17" t="str">
        <f>VLOOKUP($E130,статьи!$G$2:$I$24,2,)</f>
        <v>Воспрепятствование профессиональным участником рынка ценных бумаг,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проведению Банком России проверок либо неисполнение или ненадлежащее исполнение предписаний Банка России</v>
      </c>
    </row>
    <row r="131" spans="1:10" ht="144" x14ac:dyDescent="0.2">
      <c r="A131" s="16">
        <v>122</v>
      </c>
      <c r="B131" s="16" t="s">
        <v>154</v>
      </c>
      <c r="C131" s="17" t="s">
        <v>170</v>
      </c>
      <c r="D131" s="16" t="s">
        <v>996</v>
      </c>
      <c r="E131" s="16" t="s">
        <v>5</v>
      </c>
      <c r="F131" s="16">
        <v>350000</v>
      </c>
      <c r="G131" s="16">
        <v>700000</v>
      </c>
      <c r="H131" s="16">
        <v>1000000</v>
      </c>
      <c r="I131" s="18" cm="1">
        <f t="array" ref="I131">_xlfn.IFS(F131=H131,1,F131=G131,0,F131&lt;&gt;G131,(F131-G131)/(G131))</f>
        <v>-0.5</v>
      </c>
      <c r="J131" s="17" t="str">
        <f>VLOOKUP($E131,статьи!$G$2:$I$24,2,)</f>
        <v>Воспрепятствование профессиональным участником рынка ценных бумаг,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проведению Банком России проверок либо неисполнение или ненадлежащее исполнение предписаний Банка России</v>
      </c>
    </row>
    <row r="132" spans="1:10" ht="144" x14ac:dyDescent="0.2">
      <c r="A132" s="16">
        <v>122</v>
      </c>
      <c r="B132" s="16" t="s">
        <v>154</v>
      </c>
      <c r="C132" s="17" t="s">
        <v>170</v>
      </c>
      <c r="D132" s="16" t="s">
        <v>996</v>
      </c>
      <c r="E132" s="16" t="s">
        <v>5</v>
      </c>
      <c r="F132" s="16">
        <v>350000</v>
      </c>
      <c r="G132" s="16">
        <v>700000</v>
      </c>
      <c r="H132" s="16">
        <v>1000000</v>
      </c>
      <c r="I132" s="18" cm="1">
        <f t="array" ref="I132">_xlfn.IFS(F132=H132,1,F132=G132,0,F132&lt;&gt;G132,(F132-G132)/(G132))</f>
        <v>-0.5</v>
      </c>
      <c r="J132" s="17" t="str">
        <f>VLOOKUP($E132,статьи!$G$2:$I$24,2,)</f>
        <v>Воспрепятствование профессиональным участником рынка ценных бумаг,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проведению Банком России проверок либо неисполнение или ненадлежащее исполнение предписаний Банка России</v>
      </c>
    </row>
    <row r="133" spans="1:10" ht="144" x14ac:dyDescent="0.2">
      <c r="A133" s="16">
        <v>122</v>
      </c>
      <c r="B133" s="16" t="s">
        <v>154</v>
      </c>
      <c r="C133" s="17" t="s">
        <v>170</v>
      </c>
      <c r="D133" s="16" t="s">
        <v>996</v>
      </c>
      <c r="E133" s="16" t="s">
        <v>5</v>
      </c>
      <c r="F133" s="16">
        <v>350000</v>
      </c>
      <c r="G133" s="16">
        <v>700000</v>
      </c>
      <c r="H133" s="16">
        <v>1000000</v>
      </c>
      <c r="I133" s="18" cm="1">
        <f t="array" ref="I133">_xlfn.IFS(F133=H133,1,F133=G133,0,F133&lt;&gt;G133,(F133-G133)/(G133))</f>
        <v>-0.5</v>
      </c>
      <c r="J133" s="17" t="str">
        <f>VLOOKUP($E133,статьи!$G$2:$I$24,2,)</f>
        <v>Воспрепятствование профессиональным участником рынка ценных бумаг,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проведению Банком России проверок либо неисполнение или ненадлежащее исполнение предписаний Банка России</v>
      </c>
    </row>
    <row r="134" spans="1:10" ht="144" x14ac:dyDescent="0.2">
      <c r="A134" s="16">
        <v>122</v>
      </c>
      <c r="B134" s="16" t="s">
        <v>154</v>
      </c>
      <c r="C134" s="17" t="s">
        <v>170</v>
      </c>
      <c r="D134" s="16" t="s">
        <v>996</v>
      </c>
      <c r="E134" s="16" t="s">
        <v>5</v>
      </c>
      <c r="F134" s="16">
        <v>350000</v>
      </c>
      <c r="G134" s="16">
        <v>700000</v>
      </c>
      <c r="H134" s="16">
        <v>1000000</v>
      </c>
      <c r="I134" s="18" cm="1">
        <f t="array" ref="I134">_xlfn.IFS(F134=H134,1,F134=G134,0,F134&lt;&gt;G134,(F134-G134)/(G134))</f>
        <v>-0.5</v>
      </c>
      <c r="J134" s="17" t="str">
        <f>VLOOKUP($E134,статьи!$G$2:$I$24,2,)</f>
        <v>Воспрепятствование профессиональным участником рынка ценных бумаг,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проведению Банком России проверок либо неисполнение или ненадлежащее исполнение предписаний Банка России</v>
      </c>
    </row>
    <row r="135" spans="1:10" ht="144" x14ac:dyDescent="0.2">
      <c r="A135" s="16">
        <v>122</v>
      </c>
      <c r="B135" s="16" t="s">
        <v>154</v>
      </c>
      <c r="C135" s="17" t="s">
        <v>170</v>
      </c>
      <c r="D135" s="16" t="s">
        <v>996</v>
      </c>
      <c r="E135" s="16" t="s">
        <v>5</v>
      </c>
      <c r="F135" s="16">
        <v>350000</v>
      </c>
      <c r="G135" s="16">
        <v>700000</v>
      </c>
      <c r="H135" s="16">
        <v>1000000</v>
      </c>
      <c r="I135" s="18" cm="1">
        <f t="array" ref="I135">_xlfn.IFS(F135=H135,1,F135=G135,0,F135&lt;&gt;G135,(F135-G135)/(G135))</f>
        <v>-0.5</v>
      </c>
      <c r="J135" s="17" t="str">
        <f>VLOOKUP($E135,статьи!$G$2:$I$24,2,)</f>
        <v>Воспрепятствование профессиональным участником рынка ценных бумаг,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проведению Банком России проверок либо неисполнение или ненадлежащее исполнение предписаний Банка России</v>
      </c>
    </row>
    <row r="136" spans="1:10" ht="64" x14ac:dyDescent="0.2">
      <c r="A136" s="16">
        <v>123</v>
      </c>
      <c r="B136" s="16" t="s">
        <v>154</v>
      </c>
      <c r="C136" s="17" t="s">
        <v>99</v>
      </c>
      <c r="D136" s="16" t="s">
        <v>996</v>
      </c>
      <c r="E136" s="16" t="s">
        <v>7</v>
      </c>
      <c r="F136" s="16">
        <v>700000</v>
      </c>
      <c r="G136" s="16">
        <v>700000</v>
      </c>
      <c r="H136" s="16">
        <v>1000000</v>
      </c>
      <c r="I136" s="18" cm="1">
        <f t="array" ref="I136">_xlfn.IFS(F136=H136,1,F136=G136,0,F136&lt;&gt;G136,(F136-G136)/(G136))</f>
        <v>0</v>
      </c>
      <c r="J136" s="17" t="str">
        <f>VLOOKUP($E136,статьи!$G$2:$I$24,2,)</f>
        <v xml:space="preserve">Нарушение управляющей компанией акционерного инвестиционного фонда или паевого инвестиционного фонда предусмотренных федеральными законами и иными нормативными правовыми актами Российской Федерации ограничений ее деятельности -
</v>
      </c>
    </row>
    <row r="137" spans="1:10" ht="16" x14ac:dyDescent="0.2">
      <c r="A137" s="16">
        <v>124</v>
      </c>
      <c r="B137" s="16" t="s">
        <v>171</v>
      </c>
      <c r="C137" s="17" t="s">
        <v>59</v>
      </c>
      <c r="D137" s="16" t="s">
        <v>997</v>
      </c>
      <c r="E137" s="16" t="s">
        <v>23</v>
      </c>
      <c r="F137" s="16">
        <v>3000</v>
      </c>
      <c r="G137" s="16">
        <v>3000</v>
      </c>
      <c r="H137" s="16">
        <v>5000</v>
      </c>
      <c r="I137" s="18" cm="1">
        <f t="array" ref="I137">_xlfn.IFS(F137=H137,1,F137=G137,0,F137&lt;&gt;G137,(F137-G137)/(G137))</f>
        <v>0</v>
      </c>
      <c r="J137" s="17" t="str">
        <f>VLOOKUP($E137,статьи!$G$2:$I$24,2,)</f>
        <v>Манипулирование рынком, если это действие не содержит уголовно наказуемого деяния</v>
      </c>
    </row>
    <row r="138" spans="1:10" ht="16" x14ac:dyDescent="0.2">
      <c r="A138" s="16">
        <v>125</v>
      </c>
      <c r="B138" s="16" t="s">
        <v>171</v>
      </c>
      <c r="C138" s="17" t="s">
        <v>173</v>
      </c>
      <c r="D138" s="16" t="s">
        <v>997</v>
      </c>
      <c r="E138" s="16" t="s">
        <v>23</v>
      </c>
      <c r="F138" s="16">
        <v>3000</v>
      </c>
      <c r="G138" s="16">
        <v>3000</v>
      </c>
      <c r="H138" s="16">
        <v>5000</v>
      </c>
      <c r="I138" s="18" cm="1">
        <f t="array" ref="I138">_xlfn.IFS(F138=H138,1,F138=G138,0,F138&lt;&gt;G138,(F138-G138)/(G138))</f>
        <v>0</v>
      </c>
      <c r="J138" s="17" t="str">
        <f>VLOOKUP($E138,статьи!$G$2:$I$24,2,)</f>
        <v>Манипулирование рынком, если это действие не содержит уголовно наказуемого деяния</v>
      </c>
    </row>
    <row r="139" spans="1:10" ht="16" x14ac:dyDescent="0.2">
      <c r="A139" s="16">
        <v>126</v>
      </c>
      <c r="B139" s="16" t="s">
        <v>171</v>
      </c>
      <c r="C139" s="17" t="s">
        <v>174</v>
      </c>
      <c r="D139" s="16" t="s">
        <v>997</v>
      </c>
      <c r="E139" s="16" t="s">
        <v>23</v>
      </c>
      <c r="F139" s="16">
        <v>3000</v>
      </c>
      <c r="G139" s="16">
        <v>3000</v>
      </c>
      <c r="H139" s="16">
        <v>5000</v>
      </c>
      <c r="I139" s="18" cm="1">
        <f t="array" ref="I139">_xlfn.IFS(F139=H139,1,F139=G139,0,F139&lt;&gt;G139,(F139-G139)/(G139))</f>
        <v>0</v>
      </c>
      <c r="J139" s="17" t="str">
        <f>VLOOKUP($E139,статьи!$G$2:$I$24,2,)</f>
        <v>Манипулирование рынком, если это действие не содержит уголовно наказуемого деяния</v>
      </c>
    </row>
    <row r="140" spans="1:10" ht="16" x14ac:dyDescent="0.2">
      <c r="A140" s="16">
        <v>127</v>
      </c>
      <c r="B140" s="16" t="s">
        <v>171</v>
      </c>
      <c r="C140" s="17" t="s">
        <v>175</v>
      </c>
      <c r="D140" s="16" t="s">
        <v>997</v>
      </c>
      <c r="E140" s="16" t="s">
        <v>23</v>
      </c>
      <c r="F140" s="16">
        <v>3000</v>
      </c>
      <c r="G140" s="16">
        <v>3000</v>
      </c>
      <c r="H140" s="16">
        <v>5000</v>
      </c>
      <c r="I140" s="18" cm="1">
        <f t="array" ref="I140">_xlfn.IFS(F140=H140,1,F140=G140,0,F140&lt;&gt;G140,(F140-G140)/(G140))</f>
        <v>0</v>
      </c>
      <c r="J140" s="17" t="str">
        <f>VLOOKUP($E140,статьи!$G$2:$I$24,2,)</f>
        <v>Манипулирование рынком, если это действие не содержит уголовно наказуемого деяния</v>
      </c>
    </row>
    <row r="141" spans="1:10" ht="224" x14ac:dyDescent="0.2">
      <c r="A141" s="16">
        <v>128</v>
      </c>
      <c r="B141" s="16" t="s">
        <v>176</v>
      </c>
      <c r="C141" s="17" t="s">
        <v>177</v>
      </c>
      <c r="D141" s="16" t="s">
        <v>996</v>
      </c>
      <c r="E141" s="16" t="s">
        <v>75</v>
      </c>
      <c r="F141" s="16">
        <v>700000</v>
      </c>
      <c r="G141" s="16">
        <v>500000</v>
      </c>
      <c r="H141" s="16">
        <v>700000</v>
      </c>
      <c r="I141" s="18" cm="1">
        <f t="array" ref="I141">_xlfn.IFS(F141=H141,1,F141=G141,0,F141&lt;&gt;G141,(F141-G141)/(G141))</f>
        <v>1</v>
      </c>
      <c r="J141" s="17" t="str">
        <f>VLOOKUP($E141,статьи!$G$2:$I$24,2,)</f>
        <v xml:space="preserve">
1. Непредставление или нарушение порядка либо сроков представления в Банк России отчетов, уведомлений и иной информации, предусмотренной законодательством и (или) необходимой для осуществления этим органом (должностным лицом) его законной деятельности, либо представление информации не в полном объеме и (или) недостоверной информации, за исключением случаев, если в соответствии со страховым законодательством, законодательством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Банком России дается законное предписание об устранении нарушения страхового законодательства, законодательства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и случаев, указанных в части 2 настоящей статьи, если эти действия (бездействие) не содержат признаков уголовно наказуемого деяния</v>
      </c>
    </row>
    <row r="142" spans="1:10" ht="16" x14ac:dyDescent="0.2">
      <c r="A142" s="16">
        <v>129</v>
      </c>
      <c r="B142" s="16" t="s">
        <v>176</v>
      </c>
      <c r="C142" s="17" t="s">
        <v>178</v>
      </c>
      <c r="D142" s="16" t="s">
        <v>997</v>
      </c>
      <c r="E142" s="16" t="s">
        <v>23</v>
      </c>
      <c r="F142" s="16">
        <v>3000</v>
      </c>
      <c r="G142" s="16">
        <v>3000</v>
      </c>
      <c r="H142" s="16">
        <v>5000</v>
      </c>
      <c r="I142" s="18" cm="1">
        <f t="array" ref="I142">_xlfn.IFS(F142=H142,1,F142=G142,0,F142&lt;&gt;G142,(F142-G142)/(G142))</f>
        <v>0</v>
      </c>
      <c r="J142" s="17" t="str">
        <f>VLOOKUP($E142,статьи!$G$2:$I$24,2,)</f>
        <v>Манипулирование рынком, если это действие не содержит уголовно наказуемого деяния</v>
      </c>
    </row>
    <row r="143" spans="1:10" ht="16" x14ac:dyDescent="0.2">
      <c r="A143" s="16">
        <v>130</v>
      </c>
      <c r="B143" s="16" t="s">
        <v>176</v>
      </c>
      <c r="C143" s="17" t="s">
        <v>179</v>
      </c>
      <c r="D143" s="16" t="s">
        <v>997</v>
      </c>
      <c r="E143" s="16" t="s">
        <v>23</v>
      </c>
      <c r="F143" s="16">
        <v>3000</v>
      </c>
      <c r="G143" s="16">
        <v>3000</v>
      </c>
      <c r="H143" s="16">
        <v>5000</v>
      </c>
      <c r="I143" s="18" cm="1">
        <f t="array" ref="I143">_xlfn.IFS(F143=H143,1,F143=G143,0,F143&lt;&gt;G143,(F143-G143)/(G143))</f>
        <v>0</v>
      </c>
      <c r="J143" s="17" t="str">
        <f>VLOOKUP($E143,статьи!$G$2:$I$24,2,)</f>
        <v>Манипулирование рынком, если это действие не содержит уголовно наказуемого деяния</v>
      </c>
    </row>
    <row r="144" spans="1:10" ht="16" x14ac:dyDescent="0.2">
      <c r="A144" s="16">
        <v>131</v>
      </c>
      <c r="B144" s="16" t="s">
        <v>176</v>
      </c>
      <c r="C144" s="17" t="s">
        <v>180</v>
      </c>
      <c r="D144" s="16" t="s">
        <v>997</v>
      </c>
      <c r="E144" s="16" t="s">
        <v>23</v>
      </c>
      <c r="F144" s="16">
        <v>3000</v>
      </c>
      <c r="G144" s="16">
        <v>3000</v>
      </c>
      <c r="H144" s="16">
        <v>5000</v>
      </c>
      <c r="I144" s="18" cm="1">
        <f t="array" ref="I144">_xlfn.IFS(F144=H144,1,F144=G144,0,F144&lt;&gt;G144,(F144-G144)/(G144))</f>
        <v>0</v>
      </c>
      <c r="J144" s="17" t="str">
        <f>VLOOKUP($E144,статьи!$G$2:$I$24,2,)</f>
        <v>Манипулирование рынком, если это действие не содержит уголовно наказуемого деяния</v>
      </c>
    </row>
    <row r="145" spans="1:10" ht="16" x14ac:dyDescent="0.2">
      <c r="A145" s="16">
        <v>132</v>
      </c>
      <c r="B145" s="16" t="s">
        <v>176</v>
      </c>
      <c r="C145" s="17" t="s">
        <v>181</v>
      </c>
      <c r="D145" s="16" t="s">
        <v>997</v>
      </c>
      <c r="E145" s="16" t="s">
        <v>23</v>
      </c>
      <c r="F145" s="16">
        <v>3000</v>
      </c>
      <c r="G145" s="16">
        <v>3000</v>
      </c>
      <c r="H145" s="16">
        <v>5000</v>
      </c>
      <c r="I145" s="18" cm="1">
        <f t="array" ref="I145">_xlfn.IFS(F145=H145,1,F145=G145,0,F145&lt;&gt;G145,(F145-G145)/(G145))</f>
        <v>0</v>
      </c>
      <c r="J145" s="17" t="str">
        <f>VLOOKUP($E145,статьи!$G$2:$I$24,2,)</f>
        <v>Манипулирование рынком, если это действие не содержит уголовно наказуемого деяния</v>
      </c>
    </row>
    <row r="146" spans="1:10" ht="32" x14ac:dyDescent="0.2">
      <c r="A146" s="16">
        <v>133</v>
      </c>
      <c r="B146" s="16" t="s">
        <v>176</v>
      </c>
      <c r="C146" s="17" t="s">
        <v>182</v>
      </c>
      <c r="D146" s="16" t="s">
        <v>996</v>
      </c>
      <c r="E146" s="16" t="s">
        <v>129</v>
      </c>
      <c r="F146" s="16">
        <v>10000</v>
      </c>
      <c r="G146" s="16">
        <v>10000</v>
      </c>
      <c r="H146" s="16">
        <v>20000</v>
      </c>
      <c r="I146" s="18" cm="1">
        <f t="array" ref="I146">_xlfn.IFS(F146=H146,1,F146=G146,0,F146&lt;&gt;G146,(F146-G146)/(G146))</f>
        <v>0</v>
      </c>
      <c r="J146" s="17" t="str">
        <f>VLOOKUP($E146,статьи!$G$2:$I$24,2,)</f>
        <v>Нарушение бюро кредитных историй установленного порядка сбора, хранения, защиты и обработки сведений, составляющих кредитную историю</v>
      </c>
    </row>
    <row r="147" spans="1:10" ht="16" x14ac:dyDescent="0.2">
      <c r="A147" s="16">
        <v>134</v>
      </c>
      <c r="B147" s="16" t="s">
        <v>183</v>
      </c>
      <c r="C147" s="17" t="s">
        <v>184</v>
      </c>
      <c r="D147" s="16" t="s">
        <v>997</v>
      </c>
      <c r="E147" s="16" t="s">
        <v>23</v>
      </c>
      <c r="F147" s="16">
        <v>3000</v>
      </c>
      <c r="G147" s="16">
        <v>3000</v>
      </c>
      <c r="H147" s="16">
        <v>5000</v>
      </c>
      <c r="I147" s="18" cm="1">
        <f t="array" ref="I147">_xlfn.IFS(F147=H147,1,F147=G147,0,F147&lt;&gt;G147,(F147-G147)/(G147))</f>
        <v>0</v>
      </c>
      <c r="J147" s="17" t="str">
        <f>VLOOKUP($E147,статьи!$G$2:$I$24,2,)</f>
        <v>Манипулирование рынком, если это действие не содержит уголовно наказуемого деяния</v>
      </c>
    </row>
    <row r="148" spans="1:10" ht="16" x14ac:dyDescent="0.2">
      <c r="A148" s="16">
        <v>135</v>
      </c>
      <c r="B148" s="16" t="s">
        <v>183</v>
      </c>
      <c r="C148" s="17" t="s">
        <v>185</v>
      </c>
      <c r="D148" s="16" t="s">
        <v>997</v>
      </c>
      <c r="E148" s="16" t="s">
        <v>23</v>
      </c>
      <c r="F148" s="16">
        <v>3000</v>
      </c>
      <c r="G148" s="16">
        <v>3000</v>
      </c>
      <c r="H148" s="16">
        <v>5000</v>
      </c>
      <c r="I148" s="18" cm="1">
        <f t="array" ref="I148">_xlfn.IFS(F148=H148,1,F148=G148,0,F148&lt;&gt;G148,(F148-G148)/(G148))</f>
        <v>0</v>
      </c>
      <c r="J148" s="17" t="str">
        <f>VLOOKUP($E148,статьи!$G$2:$I$24,2,)</f>
        <v>Манипулирование рынком, если это действие не содержит уголовно наказуемого деяния</v>
      </c>
    </row>
    <row r="149" spans="1:10" ht="16" x14ac:dyDescent="0.2">
      <c r="A149" s="16">
        <v>136</v>
      </c>
      <c r="B149" s="16" t="s">
        <v>183</v>
      </c>
      <c r="C149" s="17" t="s">
        <v>186</v>
      </c>
      <c r="D149" s="16" t="s">
        <v>997</v>
      </c>
      <c r="E149" s="16" t="s">
        <v>23</v>
      </c>
      <c r="F149" s="16">
        <v>3000</v>
      </c>
      <c r="G149" s="16">
        <v>3000</v>
      </c>
      <c r="H149" s="16">
        <v>5000</v>
      </c>
      <c r="I149" s="18" cm="1">
        <f t="array" ref="I149">_xlfn.IFS(F149=H149,1,F149=G149,0,F149&lt;&gt;G149,(F149-G149)/(G149))</f>
        <v>0</v>
      </c>
      <c r="J149" s="17" t="str">
        <f>VLOOKUP($E149,статьи!$G$2:$I$24,2,)</f>
        <v>Манипулирование рынком, если это действие не содержит уголовно наказуемого деяния</v>
      </c>
    </row>
    <row r="150" spans="1:10" ht="16" x14ac:dyDescent="0.2">
      <c r="A150" s="16">
        <v>137</v>
      </c>
      <c r="B150" s="16" t="s">
        <v>187</v>
      </c>
      <c r="C150" s="17" t="s">
        <v>188</v>
      </c>
      <c r="D150" s="16" t="s">
        <v>997</v>
      </c>
      <c r="E150" s="16" t="s">
        <v>23</v>
      </c>
      <c r="F150" s="16">
        <v>3000</v>
      </c>
      <c r="G150" s="16">
        <v>3000</v>
      </c>
      <c r="H150" s="16">
        <v>5000</v>
      </c>
      <c r="I150" s="18" cm="1">
        <f t="array" ref="I150">_xlfn.IFS(F150=H150,1,F150=G150,0,F150&lt;&gt;G150,(F150-G150)/(G150))</f>
        <v>0</v>
      </c>
      <c r="J150" s="17" t="str">
        <f>VLOOKUP($E150,статьи!$G$2:$I$24,2,)</f>
        <v>Манипулирование рынком, если это действие не содержит уголовно наказуемого деяния</v>
      </c>
    </row>
    <row r="151" spans="1:10" ht="16" x14ac:dyDescent="0.2">
      <c r="A151" s="16">
        <v>138</v>
      </c>
      <c r="B151" s="16" t="s">
        <v>187</v>
      </c>
      <c r="C151" s="17" t="s">
        <v>189</v>
      </c>
      <c r="D151" s="16" t="s">
        <v>997</v>
      </c>
      <c r="E151" s="16" t="s">
        <v>23</v>
      </c>
      <c r="F151" s="16">
        <v>3000</v>
      </c>
      <c r="G151" s="16">
        <v>3000</v>
      </c>
      <c r="H151" s="16">
        <v>5000</v>
      </c>
      <c r="I151" s="18" cm="1">
        <f t="array" ref="I151">_xlfn.IFS(F151=H151,1,F151=G151,0,F151&lt;&gt;G151,(F151-G151)/(G151))</f>
        <v>0</v>
      </c>
      <c r="J151" s="17" t="str">
        <f>VLOOKUP($E151,статьи!$G$2:$I$24,2,)</f>
        <v>Манипулирование рынком, если это действие не содержит уголовно наказуемого деяния</v>
      </c>
    </row>
    <row r="152" spans="1:10" ht="16" x14ac:dyDescent="0.2">
      <c r="A152" s="16">
        <v>139</v>
      </c>
      <c r="B152" s="16" t="s">
        <v>187</v>
      </c>
      <c r="C152" s="17" t="s">
        <v>190</v>
      </c>
      <c r="D152" s="16" t="s">
        <v>997</v>
      </c>
      <c r="E152" s="16" t="s">
        <v>23</v>
      </c>
      <c r="F152" s="16">
        <v>3000</v>
      </c>
      <c r="G152" s="16">
        <v>3000</v>
      </c>
      <c r="H152" s="16">
        <v>5000</v>
      </c>
      <c r="I152" s="18" cm="1">
        <f t="array" ref="I152">_xlfn.IFS(F152=H152,1,F152=G152,0,F152&lt;&gt;G152,(F152-G152)/(G152))</f>
        <v>0</v>
      </c>
      <c r="J152" s="17" t="str">
        <f>VLOOKUP($E152,статьи!$G$2:$I$24,2,)</f>
        <v>Манипулирование рынком, если это действие не содержит уголовно наказуемого деяния</v>
      </c>
    </row>
    <row r="153" spans="1:10" ht="144" x14ac:dyDescent="0.2">
      <c r="A153" s="16">
        <v>140</v>
      </c>
      <c r="B153" s="16" t="s">
        <v>187</v>
      </c>
      <c r="C153" s="17" t="s">
        <v>191</v>
      </c>
      <c r="D153" s="16" t="s">
        <v>996</v>
      </c>
      <c r="E153" s="16" t="s">
        <v>5</v>
      </c>
      <c r="F153" s="16" t="s">
        <v>11</v>
      </c>
      <c r="G153" s="16">
        <v>700000</v>
      </c>
      <c r="H153" s="16">
        <v>1000000</v>
      </c>
      <c r="I153" s="18" t="e" cm="1">
        <f t="array" ref="I153">_xlfn.IFS(F153=H153,1,F153=G153,0,F153&lt;&gt;G153,(F153-G153)/(G153))</f>
        <v>#VALUE!</v>
      </c>
      <c r="J153" s="17" t="str">
        <f>VLOOKUP($E153,статьи!$G$2:$I$24,2,)</f>
        <v>Воспрепятствование профессиональным участником рынка ценных бумаг,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проведению Банком России проверок либо неисполнение или ненадлежащее исполнение предписаний Банка России</v>
      </c>
    </row>
    <row r="154" spans="1:10" ht="16" x14ac:dyDescent="0.2">
      <c r="A154" s="16">
        <v>141</v>
      </c>
      <c r="B154" s="16" t="s">
        <v>172</v>
      </c>
      <c r="C154" s="17" t="s">
        <v>192</v>
      </c>
      <c r="D154" s="16" t="s">
        <v>997</v>
      </c>
      <c r="E154" s="16" t="s">
        <v>23</v>
      </c>
      <c r="F154" s="16">
        <v>3000</v>
      </c>
      <c r="G154" s="16">
        <v>3000</v>
      </c>
      <c r="H154" s="16">
        <v>5000</v>
      </c>
      <c r="I154" s="18" cm="1">
        <f t="array" ref="I154">_xlfn.IFS(F154=H154,1,F154=G154,0,F154&lt;&gt;G154,(F154-G154)/(G154))</f>
        <v>0</v>
      </c>
      <c r="J154" s="17" t="str">
        <f>VLOOKUP($E154,статьи!$G$2:$I$24,2,)</f>
        <v>Манипулирование рынком, если это действие не содержит уголовно наказуемого деяния</v>
      </c>
    </row>
    <row r="155" spans="1:10" ht="16" x14ac:dyDescent="0.2">
      <c r="A155" s="16">
        <v>142</v>
      </c>
      <c r="B155" s="16" t="s">
        <v>193</v>
      </c>
      <c r="C155" s="17" t="s">
        <v>194</v>
      </c>
      <c r="D155" s="16" t="s">
        <v>997</v>
      </c>
      <c r="E155" s="16" t="s">
        <v>23</v>
      </c>
      <c r="F155" s="16">
        <v>3000</v>
      </c>
      <c r="G155" s="16">
        <v>3000</v>
      </c>
      <c r="H155" s="16">
        <v>5000</v>
      </c>
      <c r="I155" s="18" cm="1">
        <f t="array" ref="I155">_xlfn.IFS(F155=H155,1,F155=G155,0,F155&lt;&gt;G155,(F155-G155)/(G155))</f>
        <v>0</v>
      </c>
      <c r="J155" s="17" t="str">
        <f>VLOOKUP($E155,статьи!$G$2:$I$24,2,)</f>
        <v>Манипулирование рынком, если это действие не содержит уголовно наказуемого деяния</v>
      </c>
    </row>
    <row r="156" spans="1:10" ht="16" x14ac:dyDescent="0.2">
      <c r="A156" s="16">
        <v>143</v>
      </c>
      <c r="B156" s="16" t="s">
        <v>193</v>
      </c>
      <c r="C156" s="17" t="s">
        <v>196</v>
      </c>
      <c r="D156" s="16" t="s">
        <v>997</v>
      </c>
      <c r="E156" s="16" t="s">
        <v>23</v>
      </c>
      <c r="F156" s="16">
        <v>3000</v>
      </c>
      <c r="G156" s="16">
        <v>3000</v>
      </c>
      <c r="H156" s="16">
        <v>5000</v>
      </c>
      <c r="I156" s="18" cm="1">
        <f t="array" ref="I156">_xlfn.IFS(F156=H156,1,F156=G156,0,F156&lt;&gt;G156,(F156-G156)/(G156))</f>
        <v>0</v>
      </c>
      <c r="J156" s="17" t="str">
        <f>VLOOKUP($E156,статьи!$G$2:$I$24,2,)</f>
        <v>Манипулирование рынком, если это действие не содержит уголовно наказуемого деяния</v>
      </c>
    </row>
    <row r="157" spans="1:10" ht="16" x14ac:dyDescent="0.2">
      <c r="A157" s="16">
        <v>144</v>
      </c>
      <c r="B157" s="16" t="s">
        <v>193</v>
      </c>
      <c r="C157" s="17" t="s">
        <v>197</v>
      </c>
      <c r="D157" s="16" t="s">
        <v>997</v>
      </c>
      <c r="E157" s="16" t="s">
        <v>23</v>
      </c>
      <c r="F157" s="16">
        <v>3000</v>
      </c>
      <c r="G157" s="16">
        <v>3000</v>
      </c>
      <c r="H157" s="16">
        <v>5000</v>
      </c>
      <c r="I157" s="18" cm="1">
        <f t="array" ref="I157">_xlfn.IFS(F157=H157,1,F157=G157,0,F157&lt;&gt;G157,(F157-G157)/(G157))</f>
        <v>0</v>
      </c>
      <c r="J157" s="17" t="str">
        <f>VLOOKUP($E157,статьи!$G$2:$I$24,2,)</f>
        <v>Манипулирование рынком, если это действие не содержит уголовно наказуемого деяния</v>
      </c>
    </row>
    <row r="158" spans="1:10" ht="16" x14ac:dyDescent="0.2">
      <c r="A158" s="16">
        <v>145</v>
      </c>
      <c r="B158" s="16" t="s">
        <v>193</v>
      </c>
      <c r="C158" s="17" t="s">
        <v>198</v>
      </c>
      <c r="D158" s="16" t="s">
        <v>997</v>
      </c>
      <c r="E158" s="16" t="s">
        <v>23</v>
      </c>
      <c r="F158" s="16">
        <v>3000</v>
      </c>
      <c r="G158" s="16">
        <v>3000</v>
      </c>
      <c r="H158" s="16">
        <v>5000</v>
      </c>
      <c r="I158" s="18" cm="1">
        <f t="array" ref="I158">_xlfn.IFS(F158=H158,1,F158=G158,0,F158&lt;&gt;G158,(F158-G158)/(G158))</f>
        <v>0</v>
      </c>
      <c r="J158" s="17" t="str">
        <f>VLOOKUP($E158,статьи!$G$2:$I$24,2,)</f>
        <v>Манипулирование рынком, если это действие не содержит уголовно наказуемого деяния</v>
      </c>
    </row>
    <row r="159" spans="1:10" ht="16" x14ac:dyDescent="0.2">
      <c r="A159" s="16">
        <v>146</v>
      </c>
      <c r="B159" s="16" t="s">
        <v>193</v>
      </c>
      <c r="C159" s="17" t="s">
        <v>199</v>
      </c>
      <c r="D159" s="16" t="s">
        <v>997</v>
      </c>
      <c r="E159" s="16" t="s">
        <v>23</v>
      </c>
      <c r="F159" s="16">
        <v>3000</v>
      </c>
      <c r="G159" s="16">
        <v>3000</v>
      </c>
      <c r="H159" s="16">
        <v>5000</v>
      </c>
      <c r="I159" s="18" cm="1">
        <f t="array" ref="I159">_xlfn.IFS(F159=H159,1,F159=G159,0,F159&lt;&gt;G159,(F159-G159)/(G159))</f>
        <v>0</v>
      </c>
      <c r="J159" s="17" t="str">
        <f>VLOOKUP($E159,статьи!$G$2:$I$24,2,)</f>
        <v>Манипулирование рынком, если это действие не содержит уголовно наказуемого деяния</v>
      </c>
    </row>
    <row r="160" spans="1:10" ht="16" x14ac:dyDescent="0.2">
      <c r="A160" s="16">
        <v>147</v>
      </c>
      <c r="B160" s="16" t="s">
        <v>193</v>
      </c>
      <c r="C160" s="17" t="s">
        <v>200</v>
      </c>
      <c r="D160" s="16" t="s">
        <v>997</v>
      </c>
      <c r="E160" s="16" t="s">
        <v>23</v>
      </c>
      <c r="F160" s="16">
        <v>3000</v>
      </c>
      <c r="G160" s="16">
        <v>3000</v>
      </c>
      <c r="H160" s="16">
        <v>5000</v>
      </c>
      <c r="I160" s="18" cm="1">
        <f t="array" ref="I160">_xlfn.IFS(F160=H160,1,F160=G160,0,F160&lt;&gt;G160,(F160-G160)/(G160))</f>
        <v>0</v>
      </c>
      <c r="J160" s="17" t="str">
        <f>VLOOKUP($E160,статьи!$G$2:$I$24,2,)</f>
        <v>Манипулирование рынком, если это действие не содержит уголовно наказуемого деяния</v>
      </c>
    </row>
    <row r="161" spans="1:10" ht="176" x14ac:dyDescent="0.2">
      <c r="A161" s="16">
        <v>149</v>
      </c>
      <c r="B161" s="16" t="s">
        <v>195</v>
      </c>
      <c r="C161" s="17" t="s">
        <v>201</v>
      </c>
      <c r="D161" s="16" t="s">
        <v>996</v>
      </c>
      <c r="E161" s="16" t="s">
        <v>8</v>
      </c>
      <c r="F161" s="16" t="s">
        <v>11</v>
      </c>
      <c r="G161" s="16">
        <v>300000</v>
      </c>
      <c r="H161" s="16">
        <v>500000</v>
      </c>
      <c r="I161" s="18" t="e" cm="1">
        <f t="array" ref="I161">_xlfn.IFS(F161=H161,1,F161=G161,0,F161&lt;&gt;G161,(F161-G161)/(G161))</f>
        <v>#VALUE!</v>
      </c>
      <c r="J161" s="17" t="str">
        <f>VLOOKUP($E161,статьи!$G$2:$I$24,2,)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162" spans="1:10" ht="144" x14ac:dyDescent="0.2">
      <c r="A162" s="16">
        <v>150</v>
      </c>
      <c r="B162" s="16" t="s">
        <v>195</v>
      </c>
      <c r="C162" s="17" t="s">
        <v>203</v>
      </c>
      <c r="D162" s="16" t="s">
        <v>996</v>
      </c>
      <c r="E162" s="16" t="s">
        <v>5</v>
      </c>
      <c r="F162" s="16" t="s">
        <v>11</v>
      </c>
      <c r="G162" s="16">
        <v>700000</v>
      </c>
      <c r="H162" s="16">
        <v>1000000</v>
      </c>
      <c r="I162" s="18" t="e" cm="1">
        <f t="array" ref="I162">_xlfn.IFS(F162=H162,1,F162=G162,0,F162&lt;&gt;G162,(F162-G162)/(G162))</f>
        <v>#VALUE!</v>
      </c>
      <c r="J162" s="17" t="str">
        <f>VLOOKUP($E162,статьи!$G$2:$I$24,2,)</f>
        <v>Воспрепятствование профессиональным участником рынка ценных бумаг,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проведению Банком России проверок либо неисполнение или ненадлежащее исполнение предписаний Банка России</v>
      </c>
    </row>
    <row r="163" spans="1:10" ht="224" x14ac:dyDescent="0.2">
      <c r="A163" s="16">
        <v>151</v>
      </c>
      <c r="B163" s="16" t="s">
        <v>195</v>
      </c>
      <c r="C163" s="17" t="s">
        <v>204</v>
      </c>
      <c r="D163" s="16" t="s">
        <v>996</v>
      </c>
      <c r="E163" s="16" t="s">
        <v>75</v>
      </c>
      <c r="F163" s="16" t="s">
        <v>11</v>
      </c>
      <c r="G163" s="16">
        <v>500000</v>
      </c>
      <c r="H163" s="16">
        <v>700000</v>
      </c>
      <c r="I163" s="18" t="e" cm="1">
        <f t="array" ref="I163">_xlfn.IFS(F163=H163,1,F163=G163,0,F163&lt;&gt;G163,(F163-G163)/(G163))</f>
        <v>#VALUE!</v>
      </c>
      <c r="J163" s="17" t="str">
        <f>VLOOKUP($E163,статьи!$G$2:$I$24,2,)</f>
        <v xml:space="preserve">
1. Непредставление или нарушение порядка либо сроков представления в Банк России отчетов, уведомлений и иной информации, предусмотренной законодательством и (или) необходимой для осуществления этим органом (должностным лицом) его законной деятельности, либо представление информации не в полном объеме и (или) недостоверной информации, за исключением случаев, если в соответствии со страховым законодательством, законодательством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Банком России дается законное предписание об устранении нарушения страхового законодательства, законодательства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и случаев, указанных в части 2 настоящей статьи, если эти действия (бездействие) не содержат признаков уголовно наказуемого деяния</v>
      </c>
    </row>
    <row r="164" spans="1:10" ht="176" x14ac:dyDescent="0.2">
      <c r="A164" s="16">
        <v>152</v>
      </c>
      <c r="B164" s="16" t="s">
        <v>195</v>
      </c>
      <c r="C164" s="17" t="s">
        <v>206</v>
      </c>
      <c r="D164" s="16" t="s">
        <v>996</v>
      </c>
      <c r="E164" s="16" t="s">
        <v>8</v>
      </c>
      <c r="F164" s="16">
        <v>300000</v>
      </c>
      <c r="G164" s="16">
        <v>300000</v>
      </c>
      <c r="H164" s="16">
        <v>500000</v>
      </c>
      <c r="I164" s="18" cm="1">
        <f t="array" ref="I164">_xlfn.IFS(F164=H164,1,F164=G164,0,F164&lt;&gt;G164,(F164-G164)/(G164))</f>
        <v>0</v>
      </c>
      <c r="J164" s="17" t="str">
        <f>VLOOKUP($E164,статьи!$G$2:$I$24,2,)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165" spans="1:10" ht="16" x14ac:dyDescent="0.2">
      <c r="A165" s="16">
        <v>153</v>
      </c>
      <c r="B165" s="16" t="s">
        <v>195</v>
      </c>
      <c r="C165" s="17" t="s">
        <v>207</v>
      </c>
      <c r="D165" s="16" t="s">
        <v>997</v>
      </c>
      <c r="E165" s="16" t="s">
        <v>23</v>
      </c>
      <c r="F165" s="16">
        <v>3000</v>
      </c>
      <c r="G165" s="16">
        <v>3000</v>
      </c>
      <c r="H165" s="16">
        <v>5000</v>
      </c>
      <c r="I165" s="18" cm="1">
        <f t="array" ref="I165">_xlfn.IFS(F165=H165,1,F165=G165,0,F165&lt;&gt;G165,(F165-G165)/(G165))</f>
        <v>0</v>
      </c>
      <c r="J165" s="17" t="str">
        <f>VLOOKUP($E165,статьи!$G$2:$I$24,2,)</f>
        <v>Манипулирование рынком, если это действие не содержит уголовно наказуемого деяния</v>
      </c>
    </row>
    <row r="166" spans="1:10" ht="16" x14ac:dyDescent="0.2">
      <c r="A166" s="16">
        <v>154</v>
      </c>
      <c r="B166" s="16" t="s">
        <v>195</v>
      </c>
      <c r="C166" s="17" t="s">
        <v>208</v>
      </c>
      <c r="D166" s="16" t="s">
        <v>997</v>
      </c>
      <c r="E166" s="16" t="s">
        <v>23</v>
      </c>
      <c r="F166" s="16">
        <v>3000</v>
      </c>
      <c r="G166" s="16">
        <v>3000</v>
      </c>
      <c r="H166" s="16">
        <v>5000</v>
      </c>
      <c r="I166" s="18" cm="1">
        <f t="array" ref="I166">_xlfn.IFS(F166=H166,1,F166=G166,0,F166&lt;&gt;G166,(F166-G166)/(G166))</f>
        <v>0</v>
      </c>
      <c r="J166" s="17" t="str">
        <f>VLOOKUP($E166,статьи!$G$2:$I$24,2,)</f>
        <v>Манипулирование рынком, если это действие не содержит уголовно наказуемого деяния</v>
      </c>
    </row>
    <row r="167" spans="1:10" ht="16" x14ac:dyDescent="0.2">
      <c r="A167" s="16">
        <v>155</v>
      </c>
      <c r="B167" s="16" t="s">
        <v>195</v>
      </c>
      <c r="C167" s="17" t="s">
        <v>209</v>
      </c>
      <c r="D167" s="16" t="s">
        <v>997</v>
      </c>
      <c r="E167" s="16" t="s">
        <v>23</v>
      </c>
      <c r="F167" s="16">
        <v>3000</v>
      </c>
      <c r="G167" s="16">
        <v>3000</v>
      </c>
      <c r="H167" s="16">
        <v>5000</v>
      </c>
      <c r="I167" s="18" cm="1">
        <f t="array" ref="I167">_xlfn.IFS(F167=H167,1,F167=G167,0,F167&lt;&gt;G167,(F167-G167)/(G167))</f>
        <v>0</v>
      </c>
      <c r="J167" s="17" t="str">
        <f>VLOOKUP($E167,статьи!$G$2:$I$24,2,)</f>
        <v>Манипулирование рынком, если это действие не содержит уголовно наказуемого деяния</v>
      </c>
    </row>
    <row r="168" spans="1:10" ht="176" x14ac:dyDescent="0.2">
      <c r="A168" s="16">
        <v>156</v>
      </c>
      <c r="B168" s="16" t="s">
        <v>195</v>
      </c>
      <c r="C168" s="17" t="s">
        <v>210</v>
      </c>
      <c r="D168" s="16" t="s">
        <v>996</v>
      </c>
      <c r="E168" s="16" t="s">
        <v>8</v>
      </c>
      <c r="F168" s="16">
        <v>250000</v>
      </c>
      <c r="G168" s="16">
        <v>300000</v>
      </c>
      <c r="H168" s="16">
        <v>500000</v>
      </c>
      <c r="I168" s="18" cm="1">
        <f t="array" ref="I168">_xlfn.IFS(F168=H168,1,F168=G168,0,F168&lt;&gt;G168,(F168-G168)/(G168))</f>
        <v>-0.16666666666666666</v>
      </c>
      <c r="J168" s="17" t="str">
        <f>VLOOKUP($E168,статьи!$G$2:$I$24,2,)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169" spans="1:10" ht="80" x14ac:dyDescent="0.2">
      <c r="A169" s="16">
        <v>157</v>
      </c>
      <c r="B169" s="16" t="s">
        <v>211</v>
      </c>
      <c r="C169" s="17" t="s">
        <v>212</v>
      </c>
      <c r="D169" s="16" t="s">
        <v>996</v>
      </c>
      <c r="E169" s="16" t="s">
        <v>72</v>
      </c>
      <c r="F169" s="16">
        <v>300000</v>
      </c>
      <c r="G169" s="16">
        <v>500000</v>
      </c>
      <c r="H169" s="16">
        <v>700000</v>
      </c>
      <c r="I169" s="18" cm="1">
        <f t="array" ref="I169">_xlfn.IFS(F169=H169,1,F169=G169,0,F169&lt;&gt;G169,(F169-G169)/(G169))</f>
        <v>-0.4</v>
      </c>
      <c r="J169" s="17" t="str">
        <f>VLOOKUP($E169,статьи!$G$2:$I$24,2,)</f>
        <v xml:space="preserve">9. Невыполнение в установленный срок законного предписания Банка России, за исключением случаев, предусмотренных частью 9.1 настоящей статьи, -
</v>
      </c>
    </row>
    <row r="170" spans="1:10" ht="224" x14ac:dyDescent="0.2">
      <c r="A170" s="16">
        <v>158</v>
      </c>
      <c r="B170" s="16" t="s">
        <v>211</v>
      </c>
      <c r="C170" s="17" t="s">
        <v>214</v>
      </c>
      <c r="D170" s="16" t="s">
        <v>996</v>
      </c>
      <c r="E170" s="16" t="s">
        <v>75</v>
      </c>
      <c r="F170" s="16" t="s">
        <v>11</v>
      </c>
      <c r="G170" s="16">
        <v>500000</v>
      </c>
      <c r="H170" s="16">
        <v>700000</v>
      </c>
      <c r="I170" s="18" t="e" cm="1">
        <f t="array" ref="I170">_xlfn.IFS(F170=H170,1,F170=G170,0,F170&lt;&gt;G170,(F170-G170)/(G170))</f>
        <v>#VALUE!</v>
      </c>
      <c r="J170" s="17" t="str">
        <f>VLOOKUP($E170,статьи!$G$2:$I$24,2,)</f>
        <v xml:space="preserve">
1. Непредставление или нарушение порядка либо сроков представления в Банк России отчетов, уведомлений и иной информации, предусмотренной законодательством и (или) необходимой для осуществления этим органом (должностным лицом) его законной деятельности, либо представление информации не в полном объеме и (или) недостоверной информации, за исключением случаев, если в соответствии со страховым законодательством, законодательством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Банком России дается законное предписание об устранении нарушения страхового законодательства, законодательства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и случаев, указанных в части 2 настоящей статьи, если эти действия (бездействие) не содержат признаков уголовно наказуемого деяния</v>
      </c>
    </row>
    <row r="171" spans="1:10" ht="224" x14ac:dyDescent="0.2">
      <c r="A171" s="16">
        <v>159</v>
      </c>
      <c r="B171" s="16" t="s">
        <v>211</v>
      </c>
      <c r="C171" s="17" t="s">
        <v>215</v>
      </c>
      <c r="D171" s="16" t="s">
        <v>996</v>
      </c>
      <c r="E171" s="16" t="s">
        <v>75</v>
      </c>
      <c r="F171" s="16" t="s">
        <v>11</v>
      </c>
      <c r="G171" s="16">
        <v>500000</v>
      </c>
      <c r="H171" s="16">
        <v>700000</v>
      </c>
      <c r="I171" s="18" t="e" cm="1">
        <f t="array" ref="I171">_xlfn.IFS(F171=H171,1,F171=G171,0,F171&lt;&gt;G171,(F171-G171)/(G171))</f>
        <v>#VALUE!</v>
      </c>
      <c r="J171" s="17" t="str">
        <f>VLOOKUP($E171,статьи!$G$2:$I$24,2,)</f>
        <v xml:space="preserve">
1. Непредставление или нарушение порядка либо сроков представления в Банк России отчетов, уведомлений и иной информации, предусмотренной законодательством и (или) необходимой для осуществления этим органом (должностным лицом) его законной деятельности, либо представление информации не в полном объеме и (или) недостоверной информации, за исключением случаев, если в соответствии со страховым законодательством, законодательством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Банком России дается законное предписание об устранении нарушения страхового законодательства, законодательства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и случаев, указанных в части 2 настоящей статьи, если эти действия (бездействие) не содержат признаков уголовно наказуемого деяния</v>
      </c>
    </row>
    <row r="172" spans="1:10" ht="16" x14ac:dyDescent="0.2">
      <c r="A172" s="16">
        <v>160</v>
      </c>
      <c r="B172" s="16" t="s">
        <v>211</v>
      </c>
      <c r="C172" s="17" t="s">
        <v>217</v>
      </c>
      <c r="D172" s="16" t="s">
        <v>997</v>
      </c>
      <c r="E172" s="16" t="s">
        <v>23</v>
      </c>
      <c r="F172" s="16">
        <v>3000</v>
      </c>
      <c r="G172" s="16">
        <v>3000</v>
      </c>
      <c r="H172" s="16">
        <v>5000</v>
      </c>
      <c r="I172" s="18" cm="1">
        <f t="array" ref="I172">_xlfn.IFS(F172=H172,1,F172=G172,0,F172&lt;&gt;G172,(F172-G172)/(G172))</f>
        <v>0</v>
      </c>
      <c r="J172" s="17" t="str">
        <f>VLOOKUP($E172,статьи!$G$2:$I$24,2,)</f>
        <v>Манипулирование рынком, если это действие не содержит уголовно наказуемого деяния</v>
      </c>
    </row>
    <row r="173" spans="1:10" ht="16" x14ac:dyDescent="0.2">
      <c r="A173" s="16">
        <v>161</v>
      </c>
      <c r="B173" s="16" t="s">
        <v>211</v>
      </c>
      <c r="C173" s="17" t="s">
        <v>218</v>
      </c>
      <c r="D173" s="16" t="s">
        <v>997</v>
      </c>
      <c r="E173" s="16" t="s">
        <v>23</v>
      </c>
      <c r="F173" s="16">
        <v>3000</v>
      </c>
      <c r="G173" s="16">
        <v>3000</v>
      </c>
      <c r="H173" s="16">
        <v>5000</v>
      </c>
      <c r="I173" s="18" cm="1">
        <f t="array" ref="I173">_xlfn.IFS(F173=H173,1,F173=G173,0,F173&lt;&gt;G173,(F173-G173)/(G173))</f>
        <v>0</v>
      </c>
      <c r="J173" s="17" t="str">
        <f>VLOOKUP($E173,статьи!$G$2:$I$24,2,)</f>
        <v>Манипулирование рынком, если это действие не содержит уголовно наказуемого деяния</v>
      </c>
    </row>
    <row r="174" spans="1:10" ht="176" x14ac:dyDescent="0.2">
      <c r="A174" s="16">
        <v>162</v>
      </c>
      <c r="B174" s="16" t="s">
        <v>211</v>
      </c>
      <c r="C174" s="17" t="s">
        <v>100</v>
      </c>
      <c r="D174" s="16" t="s">
        <v>996</v>
      </c>
      <c r="E174" s="16" t="s">
        <v>8</v>
      </c>
      <c r="F174" s="16">
        <v>150000</v>
      </c>
      <c r="G174" s="16">
        <v>300000</v>
      </c>
      <c r="H174" s="16">
        <v>500000</v>
      </c>
      <c r="I174" s="18" cm="1">
        <f t="array" ref="I174">_xlfn.IFS(F174=H174,1,F174=G174,0,F174&lt;&gt;G174,(F174-G174)/(G174))</f>
        <v>-0.5</v>
      </c>
      <c r="J174" s="17" t="str">
        <f>VLOOKUP($E174,статьи!$G$2:$I$24,2,)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175" spans="1:10" ht="16" x14ac:dyDescent="0.2">
      <c r="A175" s="16">
        <v>163</v>
      </c>
      <c r="B175" s="16" t="s">
        <v>211</v>
      </c>
      <c r="C175" s="17" t="s">
        <v>219</v>
      </c>
      <c r="D175" s="16" t="s">
        <v>997</v>
      </c>
      <c r="E175" s="16" t="s">
        <v>23</v>
      </c>
      <c r="F175" s="16">
        <v>3000</v>
      </c>
      <c r="G175" s="16">
        <v>3000</v>
      </c>
      <c r="H175" s="16">
        <v>5000</v>
      </c>
      <c r="I175" s="18" cm="1">
        <f t="array" ref="I175">_xlfn.IFS(F175=H175,1,F175=G175,0,F175&lt;&gt;G175,(F175-G175)/(G175))</f>
        <v>0</v>
      </c>
      <c r="J175" s="17" t="str">
        <f>VLOOKUP($E175,статьи!$G$2:$I$24,2,)</f>
        <v>Манипулирование рынком, если это действие не содержит уголовно наказуемого деяния</v>
      </c>
    </row>
    <row r="176" spans="1:10" ht="16" x14ac:dyDescent="0.2">
      <c r="A176" s="16">
        <v>164</v>
      </c>
      <c r="B176" s="16" t="s">
        <v>211</v>
      </c>
      <c r="C176" s="17" t="s">
        <v>220</v>
      </c>
      <c r="D176" s="16" t="s">
        <v>997</v>
      </c>
      <c r="E176" s="16" t="s">
        <v>23</v>
      </c>
      <c r="F176" s="16">
        <v>3000</v>
      </c>
      <c r="G176" s="16">
        <v>3000</v>
      </c>
      <c r="H176" s="16">
        <v>5000</v>
      </c>
      <c r="I176" s="18" cm="1">
        <f t="array" ref="I176">_xlfn.IFS(F176=H176,1,F176=G176,0,F176&lt;&gt;G176,(F176-G176)/(G176))</f>
        <v>0</v>
      </c>
      <c r="J176" s="17" t="str">
        <f>VLOOKUP($E176,статьи!$G$2:$I$24,2,)</f>
        <v>Манипулирование рынком, если это действие не содержит уголовно наказуемого деяния</v>
      </c>
    </row>
    <row r="177" spans="1:10" ht="16" x14ac:dyDescent="0.2">
      <c r="A177" s="16">
        <v>165</v>
      </c>
      <c r="B177" s="16" t="s">
        <v>213</v>
      </c>
      <c r="C177" s="17" t="s">
        <v>221</v>
      </c>
      <c r="D177" s="16" t="s">
        <v>997</v>
      </c>
      <c r="E177" s="16" t="s">
        <v>23</v>
      </c>
      <c r="F177" s="16">
        <v>3000</v>
      </c>
      <c r="G177" s="16">
        <v>3000</v>
      </c>
      <c r="H177" s="16">
        <v>5000</v>
      </c>
      <c r="I177" s="18" cm="1">
        <f t="array" ref="I177">_xlfn.IFS(F177=H177,1,F177=G177,0,F177&lt;&gt;G177,(F177-G177)/(G177))</f>
        <v>0</v>
      </c>
      <c r="J177" s="17" t="str">
        <f>VLOOKUP($E177,статьи!$G$2:$I$24,2,)</f>
        <v>Манипулирование рынком, если это действие не содержит уголовно наказуемого деяния</v>
      </c>
    </row>
    <row r="178" spans="1:10" ht="16" x14ac:dyDescent="0.2">
      <c r="A178" s="16">
        <v>166</v>
      </c>
      <c r="B178" s="16" t="s">
        <v>213</v>
      </c>
      <c r="C178" s="17" t="s">
        <v>222</v>
      </c>
      <c r="D178" s="16" t="s">
        <v>997</v>
      </c>
      <c r="E178" s="16" t="s">
        <v>23</v>
      </c>
      <c r="F178" s="16">
        <v>3000</v>
      </c>
      <c r="G178" s="16">
        <v>3000</v>
      </c>
      <c r="H178" s="16">
        <v>5000</v>
      </c>
      <c r="I178" s="18" cm="1">
        <f t="array" ref="I178">_xlfn.IFS(F178=H178,1,F178=G178,0,F178&lt;&gt;G178,(F178-G178)/(G178))</f>
        <v>0</v>
      </c>
      <c r="J178" s="17" t="str">
        <f>VLOOKUP($E178,статьи!$G$2:$I$24,2,)</f>
        <v>Манипулирование рынком, если это действие не содержит уголовно наказуемого деяния</v>
      </c>
    </row>
    <row r="179" spans="1:10" ht="16" x14ac:dyDescent="0.2">
      <c r="A179" s="16">
        <v>167</v>
      </c>
      <c r="B179" s="16" t="s">
        <v>213</v>
      </c>
      <c r="C179" s="17" t="s">
        <v>223</v>
      </c>
      <c r="D179" s="16" t="s">
        <v>997</v>
      </c>
      <c r="E179" s="16" t="s">
        <v>23</v>
      </c>
      <c r="F179" s="16">
        <v>3000</v>
      </c>
      <c r="G179" s="16">
        <v>3000</v>
      </c>
      <c r="H179" s="16">
        <v>5000</v>
      </c>
      <c r="I179" s="18" cm="1">
        <f t="array" ref="I179">_xlfn.IFS(F179=H179,1,F179=G179,0,F179&lt;&gt;G179,(F179-G179)/(G179))</f>
        <v>0</v>
      </c>
      <c r="J179" s="17" t="str">
        <f>VLOOKUP($E179,статьи!$G$2:$I$24,2,)</f>
        <v>Манипулирование рынком, если это действие не содержит уголовно наказуемого деяния</v>
      </c>
    </row>
    <row r="180" spans="1:10" ht="16" x14ac:dyDescent="0.2">
      <c r="A180" s="16">
        <v>168</v>
      </c>
      <c r="B180" s="16" t="s">
        <v>224</v>
      </c>
      <c r="C180" s="17" t="s">
        <v>225</v>
      </c>
      <c r="D180" s="16" t="s">
        <v>997</v>
      </c>
      <c r="E180" s="16" t="s">
        <v>23</v>
      </c>
      <c r="F180" s="16">
        <v>3000</v>
      </c>
      <c r="G180" s="16">
        <v>3000</v>
      </c>
      <c r="H180" s="16">
        <v>5000</v>
      </c>
      <c r="I180" s="18" cm="1">
        <f t="array" ref="I180">_xlfn.IFS(F180=H180,1,F180=G180,0,F180&lt;&gt;G180,(F180-G180)/(G180))</f>
        <v>0</v>
      </c>
      <c r="J180" s="17" t="str">
        <f>VLOOKUP($E180,статьи!$G$2:$I$24,2,)</f>
        <v>Манипулирование рынком, если это действие не содержит уголовно наказуемого деяния</v>
      </c>
    </row>
    <row r="181" spans="1:10" ht="16" x14ac:dyDescent="0.2">
      <c r="A181" s="16">
        <v>169</v>
      </c>
      <c r="B181" s="16" t="s">
        <v>224</v>
      </c>
      <c r="C181" s="17" t="s">
        <v>226</v>
      </c>
      <c r="D181" s="16" t="s">
        <v>997</v>
      </c>
      <c r="E181" s="16" t="s">
        <v>23</v>
      </c>
      <c r="F181" s="16">
        <v>3000</v>
      </c>
      <c r="G181" s="16">
        <v>3000</v>
      </c>
      <c r="H181" s="16">
        <v>5000</v>
      </c>
      <c r="I181" s="18" cm="1">
        <f t="array" ref="I181">_xlfn.IFS(F181=H181,1,F181=G181,0,F181&lt;&gt;G181,(F181-G181)/(G181))</f>
        <v>0</v>
      </c>
      <c r="J181" s="17" t="str">
        <f>VLOOKUP($E181,статьи!$G$2:$I$24,2,)</f>
        <v>Манипулирование рынком, если это действие не содержит уголовно наказуемого деяния</v>
      </c>
    </row>
    <row r="182" spans="1:10" ht="48" x14ac:dyDescent="0.2">
      <c r="A182" s="16">
        <v>170</v>
      </c>
      <c r="B182" s="16" t="s">
        <v>224</v>
      </c>
      <c r="C182" s="17" t="s">
        <v>227</v>
      </c>
      <c r="D182" s="16" t="s">
        <v>996</v>
      </c>
      <c r="E182" s="16" t="s">
        <v>168</v>
      </c>
      <c r="F182" s="16">
        <v>20000</v>
      </c>
      <c r="G182" s="16">
        <v>10000</v>
      </c>
      <c r="H182" s="16">
        <v>20000</v>
      </c>
      <c r="I182" s="18" cm="1">
        <f t="array" ref="I182">_xlfn.IFS(F182=H182,1,F182=G182,0,F182&lt;&gt;G182,(F182-G182)/(G182))</f>
        <v>1</v>
      </c>
      <c r="J182" s="17" t="str">
        <f>VLOOKUP($E182,статьи!$G$2:$I$24,2,)</f>
        <v>1. Непроведение проверки или несвоевременное проведение по требованию субъекта кредитной истории проверки бюро кредитных историй информации, содержащейся в кредитной истории (кредитном отчете)</v>
      </c>
    </row>
    <row r="183" spans="1:10" ht="48" x14ac:dyDescent="0.2">
      <c r="A183" s="16">
        <v>170</v>
      </c>
      <c r="B183" s="16" t="s">
        <v>224</v>
      </c>
      <c r="C183" s="17" t="s">
        <v>227</v>
      </c>
      <c r="D183" s="16" t="s">
        <v>996</v>
      </c>
      <c r="E183" s="16" t="s">
        <v>168</v>
      </c>
      <c r="F183" s="16">
        <v>20000</v>
      </c>
      <c r="G183" s="16">
        <v>10000</v>
      </c>
      <c r="H183" s="16">
        <v>20000</v>
      </c>
      <c r="I183" s="18" cm="1">
        <f t="array" ref="I183">_xlfn.IFS(F183=H183,1,F183=G183,0,F183&lt;&gt;G183,(F183-G183)/(G183))</f>
        <v>1</v>
      </c>
      <c r="J183" s="17" t="str">
        <f>VLOOKUP($E183,статьи!$G$2:$I$24,2,)</f>
        <v>1. Непроведение проверки или несвоевременное проведение по требованию субъекта кредитной истории проверки бюро кредитных историй информации, содержащейся в кредитной истории (кредитном отчете)</v>
      </c>
    </row>
    <row r="184" spans="1:10" ht="16" x14ac:dyDescent="0.2">
      <c r="A184" s="16">
        <v>171</v>
      </c>
      <c r="B184" s="16" t="s">
        <v>228</v>
      </c>
      <c r="C184" s="17" t="s">
        <v>229</v>
      </c>
      <c r="D184" s="16" t="s">
        <v>997</v>
      </c>
      <c r="E184" s="16" t="s">
        <v>23</v>
      </c>
      <c r="F184" s="16">
        <v>3000</v>
      </c>
      <c r="G184" s="16">
        <v>3000</v>
      </c>
      <c r="H184" s="16">
        <v>5000</v>
      </c>
      <c r="I184" s="18" cm="1">
        <f t="array" ref="I184">_xlfn.IFS(F184=H184,1,F184=G184,0,F184&lt;&gt;G184,(F184-G184)/(G184))</f>
        <v>0</v>
      </c>
      <c r="J184" s="17" t="str">
        <f>VLOOKUP($E184,статьи!$G$2:$I$24,2,)</f>
        <v>Манипулирование рынком, если это действие не содержит уголовно наказуемого деяния</v>
      </c>
    </row>
    <row r="185" spans="1:10" ht="176" x14ac:dyDescent="0.2">
      <c r="A185" s="16">
        <v>172</v>
      </c>
      <c r="B185" s="16" t="s">
        <v>230</v>
      </c>
      <c r="C185" s="17" t="s">
        <v>231</v>
      </c>
      <c r="D185" s="16" t="s">
        <v>996</v>
      </c>
      <c r="E185" s="16" t="s">
        <v>8</v>
      </c>
      <c r="F185" s="16">
        <v>300000</v>
      </c>
      <c r="G185" s="16">
        <v>300000</v>
      </c>
      <c r="H185" s="16">
        <v>500000</v>
      </c>
      <c r="I185" s="18" cm="1">
        <f t="array" ref="I185">_xlfn.IFS(F185=H185,1,F185=G185,0,F185&lt;&gt;G185,(F185-G185)/(G185))</f>
        <v>0</v>
      </c>
      <c r="J185" s="17" t="str">
        <f>VLOOKUP($E185,статьи!$G$2:$I$24,2,)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186" spans="1:10" ht="64" x14ac:dyDescent="0.2">
      <c r="A186" s="16">
        <v>173</v>
      </c>
      <c r="B186" s="16" t="s">
        <v>230</v>
      </c>
      <c r="C186" s="17" t="s">
        <v>232</v>
      </c>
      <c r="D186" s="16" t="s">
        <v>996</v>
      </c>
      <c r="E186" s="16" t="s">
        <v>83</v>
      </c>
      <c r="F186" s="16" t="s">
        <v>11</v>
      </c>
      <c r="G186" s="16">
        <v>500000</v>
      </c>
      <c r="H186" s="16">
        <v>700000</v>
      </c>
      <c r="I186" s="18" t="e" cm="1">
        <f t="array" ref="I186">_xlfn.IFS(F186=H186,1,F186=G186,0,F186&lt;&gt;G186,(F186-G186)/(G186))</f>
        <v>#VALUE!</v>
      </c>
      <c r="J186" s="17" t="str">
        <f>VLOOKUP($E186,статьи!$G$2:$I$24,2,)</f>
        <v>Нарушение профессиональным участником рынка ценных бумаг, осуществляющим брокерскую или дилерскую деятельность либо деятельность по управлению ценными бумагами, установленных нормативными правовыми актами Российской Федерации правил ведения учета и составления отчетности</v>
      </c>
    </row>
    <row r="187" spans="1:10" ht="64" x14ac:dyDescent="0.2">
      <c r="A187" s="16">
        <v>173</v>
      </c>
      <c r="B187" s="16" t="s">
        <v>230</v>
      </c>
      <c r="C187" s="17" t="s">
        <v>232</v>
      </c>
      <c r="D187" s="16" t="s">
        <v>996</v>
      </c>
      <c r="E187" s="16" t="s">
        <v>83</v>
      </c>
      <c r="F187" s="16" t="s">
        <v>11</v>
      </c>
      <c r="G187" s="16">
        <v>500000</v>
      </c>
      <c r="H187" s="16">
        <v>700000</v>
      </c>
      <c r="I187" s="18" t="e" cm="1">
        <f t="array" ref="I187">_xlfn.IFS(F187=H187,1,F187=G187,0,F187&lt;&gt;G187,(F187-G187)/(G187))</f>
        <v>#VALUE!</v>
      </c>
      <c r="J187" s="17" t="str">
        <f>VLOOKUP($E187,статьи!$G$2:$I$24,2,)</f>
        <v>Нарушение профессиональным участником рынка ценных бумаг, осуществляющим брокерскую или дилерскую деятельность либо деятельность по управлению ценными бумагами, установленных нормативными правовыми актами Российской Федерации правил ведения учета и составления отчетности</v>
      </c>
    </row>
    <row r="188" spans="1:10" ht="16" x14ac:dyDescent="0.2">
      <c r="A188" s="16">
        <v>174</v>
      </c>
      <c r="B188" s="16" t="s">
        <v>230</v>
      </c>
      <c r="C188" s="17" t="s">
        <v>233</v>
      </c>
      <c r="D188" s="16" t="s">
        <v>997</v>
      </c>
      <c r="E188" s="16" t="s">
        <v>23</v>
      </c>
      <c r="F188" s="16">
        <v>3000</v>
      </c>
      <c r="G188" s="16">
        <v>3000</v>
      </c>
      <c r="H188" s="16">
        <v>5000</v>
      </c>
      <c r="I188" s="18" cm="1">
        <f t="array" ref="I188">_xlfn.IFS(F188=H188,1,F188=G188,0,F188&lt;&gt;G188,(F188-G188)/(G188))</f>
        <v>0</v>
      </c>
      <c r="J188" s="17" t="str">
        <f>VLOOKUP($E188,статьи!$G$2:$I$24,2,)</f>
        <v>Манипулирование рынком, если это действие не содержит уголовно наказуемого деяния</v>
      </c>
    </row>
    <row r="189" spans="1:10" ht="16" x14ac:dyDescent="0.2">
      <c r="A189" s="16">
        <v>175</v>
      </c>
      <c r="B189" s="16" t="s">
        <v>230</v>
      </c>
      <c r="C189" s="17" t="s">
        <v>235</v>
      </c>
      <c r="D189" s="16" t="s">
        <v>997</v>
      </c>
      <c r="E189" s="16" t="s">
        <v>23</v>
      </c>
      <c r="F189" s="16">
        <v>3000</v>
      </c>
      <c r="G189" s="16">
        <v>3000</v>
      </c>
      <c r="H189" s="16">
        <v>5000</v>
      </c>
      <c r="I189" s="18" cm="1">
        <f t="array" ref="I189">_xlfn.IFS(F189=H189,1,F189=G189,0,F189&lt;&gt;G189,(F189-G189)/(G189))</f>
        <v>0</v>
      </c>
      <c r="J189" s="17" t="str">
        <f>VLOOKUP($E189,статьи!$G$2:$I$24,2,)</f>
        <v>Манипулирование рынком, если это действие не содержит уголовно наказуемого деяния</v>
      </c>
    </row>
    <row r="190" spans="1:10" ht="16" x14ac:dyDescent="0.2">
      <c r="A190" s="16">
        <v>176</v>
      </c>
      <c r="B190" s="16" t="s">
        <v>230</v>
      </c>
      <c r="C190" s="17" t="s">
        <v>236</v>
      </c>
      <c r="D190" s="16" t="s">
        <v>997</v>
      </c>
      <c r="E190" s="16" t="s">
        <v>23</v>
      </c>
      <c r="F190" s="16">
        <v>3000</v>
      </c>
      <c r="G190" s="16">
        <v>3000</v>
      </c>
      <c r="H190" s="16">
        <v>5000</v>
      </c>
      <c r="I190" s="18" cm="1">
        <f t="array" ref="I190">_xlfn.IFS(F190=H190,1,F190=G190,0,F190&lt;&gt;G190,(F190-G190)/(G190))</f>
        <v>0</v>
      </c>
      <c r="J190" s="17" t="str">
        <f>VLOOKUP($E190,статьи!$G$2:$I$24,2,)</f>
        <v>Манипулирование рынком, если это действие не содержит уголовно наказуемого деяния</v>
      </c>
    </row>
    <row r="191" spans="1:10" ht="16" x14ac:dyDescent="0.2">
      <c r="A191" s="16">
        <v>177</v>
      </c>
      <c r="B191" s="16" t="s">
        <v>237</v>
      </c>
      <c r="C191" s="17" t="s">
        <v>238</v>
      </c>
      <c r="D191" s="16" t="s">
        <v>997</v>
      </c>
      <c r="E191" s="16" t="s">
        <v>23</v>
      </c>
      <c r="F191" s="16">
        <v>3000</v>
      </c>
      <c r="G191" s="16">
        <v>3000</v>
      </c>
      <c r="H191" s="16">
        <v>5000</v>
      </c>
      <c r="I191" s="18" cm="1">
        <f t="array" ref="I191">_xlfn.IFS(F191=H191,1,F191=G191,0,F191&lt;&gt;G191,(F191-G191)/(G191))</f>
        <v>0</v>
      </c>
      <c r="J191" s="17" t="str">
        <f>VLOOKUP($E191,статьи!$G$2:$I$24,2,)</f>
        <v>Манипулирование рынком, если это действие не содержит уголовно наказуемого деяния</v>
      </c>
    </row>
    <row r="192" spans="1:10" ht="176" x14ac:dyDescent="0.2">
      <c r="A192" s="16">
        <v>178</v>
      </c>
      <c r="B192" s="16" t="s">
        <v>234</v>
      </c>
      <c r="C192" s="17" t="s">
        <v>240</v>
      </c>
      <c r="D192" s="16" t="s">
        <v>996</v>
      </c>
      <c r="E192" s="16" t="s">
        <v>8</v>
      </c>
      <c r="F192" s="16" t="s">
        <v>11</v>
      </c>
      <c r="G192" s="16">
        <v>300000</v>
      </c>
      <c r="H192" s="16">
        <v>500000</v>
      </c>
      <c r="I192" s="18" t="e" cm="1">
        <f t="array" ref="I192">_xlfn.IFS(F192=H192,1,F192=G192,0,F192&lt;&gt;G192,(F192-G192)/(G192))</f>
        <v>#VALUE!</v>
      </c>
      <c r="J192" s="17" t="str">
        <f>VLOOKUP($E192,статьи!$G$2:$I$24,2,)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193" spans="1:10" ht="16" x14ac:dyDescent="0.2">
      <c r="A193" s="16">
        <v>179</v>
      </c>
      <c r="B193" s="16" t="s">
        <v>239</v>
      </c>
      <c r="C193" s="17" t="s">
        <v>241</v>
      </c>
      <c r="D193" s="16" t="s">
        <v>997</v>
      </c>
      <c r="E193" s="16" t="s">
        <v>23</v>
      </c>
      <c r="F193" s="16">
        <v>3000</v>
      </c>
      <c r="G193" s="16">
        <v>3000</v>
      </c>
      <c r="H193" s="16">
        <v>5000</v>
      </c>
      <c r="I193" s="18" cm="1">
        <f t="array" ref="I193">_xlfn.IFS(F193=H193,1,F193=G193,0,F193&lt;&gt;G193,(F193-G193)/(G193))</f>
        <v>0</v>
      </c>
      <c r="J193" s="17" t="str">
        <f>VLOOKUP($E193,статьи!$G$2:$I$24,2,)</f>
        <v>Манипулирование рынком, если это действие не содержит уголовно наказуемого деяния</v>
      </c>
    </row>
    <row r="194" spans="1:10" ht="16" x14ac:dyDescent="0.2">
      <c r="A194" s="16">
        <v>180</v>
      </c>
      <c r="B194" s="16" t="s">
        <v>239</v>
      </c>
      <c r="C194" s="17" t="s">
        <v>242</v>
      </c>
      <c r="D194" s="16" t="s">
        <v>997</v>
      </c>
      <c r="E194" s="16" t="s">
        <v>23</v>
      </c>
      <c r="F194" s="16">
        <v>3000</v>
      </c>
      <c r="G194" s="16">
        <v>3000</v>
      </c>
      <c r="H194" s="16">
        <v>5000</v>
      </c>
      <c r="I194" s="18" cm="1">
        <f t="array" ref="I194">_xlfn.IFS(F194=H194,1,F194=G194,0,F194&lt;&gt;G194,(F194-G194)/(G194))</f>
        <v>0</v>
      </c>
      <c r="J194" s="17" t="str">
        <f>VLOOKUP($E194,статьи!$G$2:$I$24,2,)</f>
        <v>Манипулирование рынком, если это действие не содержит уголовно наказуемого деяния</v>
      </c>
    </row>
    <row r="195" spans="1:10" ht="16" x14ac:dyDescent="0.2">
      <c r="A195" s="16">
        <v>181</v>
      </c>
      <c r="B195" s="16" t="s">
        <v>239</v>
      </c>
      <c r="C195" s="17" t="s">
        <v>243</v>
      </c>
      <c r="D195" s="16" t="s">
        <v>997</v>
      </c>
      <c r="E195" s="16" t="s">
        <v>23</v>
      </c>
      <c r="F195" s="16">
        <v>3000</v>
      </c>
      <c r="G195" s="16">
        <v>3000</v>
      </c>
      <c r="H195" s="16">
        <v>5000</v>
      </c>
      <c r="I195" s="18" cm="1">
        <f t="array" ref="I195">_xlfn.IFS(F195=H195,1,F195=G195,0,F195&lt;&gt;G195,(F195-G195)/(G195))</f>
        <v>0</v>
      </c>
      <c r="J195" s="17" t="str">
        <f>VLOOKUP($E195,статьи!$G$2:$I$24,2,)</f>
        <v>Манипулирование рынком, если это действие не содержит уголовно наказуемого деяния</v>
      </c>
    </row>
    <row r="196" spans="1:10" ht="48" x14ac:dyDescent="0.2">
      <c r="A196" s="16">
        <v>182</v>
      </c>
      <c r="B196" s="16" t="s">
        <v>239</v>
      </c>
      <c r="C196" s="17" t="s">
        <v>227</v>
      </c>
      <c r="D196" s="16" t="s">
        <v>996</v>
      </c>
      <c r="E196" s="16" t="s">
        <v>168</v>
      </c>
      <c r="F196" s="16">
        <v>20000</v>
      </c>
      <c r="G196" s="16">
        <v>10000</v>
      </c>
      <c r="H196" s="16">
        <v>20000</v>
      </c>
      <c r="I196" s="18" cm="1">
        <f t="array" ref="I196">_xlfn.IFS(F196=H196,1,F196=G196,0,F196&lt;&gt;G196,(F196-G196)/(G196))</f>
        <v>1</v>
      </c>
      <c r="J196" s="17" t="str">
        <f>VLOOKUP($E196,статьи!$G$2:$I$24,2,)</f>
        <v>1. Непроведение проверки или несвоевременное проведение по требованию субъекта кредитной истории проверки бюро кредитных историй информации, содержащейся в кредитной истории (кредитном отчете)</v>
      </c>
    </row>
    <row r="197" spans="1:10" ht="16" x14ac:dyDescent="0.2">
      <c r="A197" s="16">
        <v>183</v>
      </c>
      <c r="B197" s="16" t="s">
        <v>244</v>
      </c>
      <c r="C197" s="17" t="s">
        <v>245</v>
      </c>
      <c r="D197" s="16" t="s">
        <v>997</v>
      </c>
      <c r="E197" s="16" t="s">
        <v>23</v>
      </c>
      <c r="F197" s="16">
        <v>3000</v>
      </c>
      <c r="G197" s="16">
        <v>3000</v>
      </c>
      <c r="H197" s="16">
        <v>5000</v>
      </c>
      <c r="I197" s="18" cm="1">
        <f t="array" ref="I197">_xlfn.IFS(F197=H197,1,F197=G197,0,F197&lt;&gt;G197,(F197-G197)/(G197))</f>
        <v>0</v>
      </c>
      <c r="J197" s="17" t="str">
        <f>VLOOKUP($E197,статьи!$G$2:$I$24,2,)</f>
        <v>Манипулирование рынком, если это действие не содержит уголовно наказуемого деяния</v>
      </c>
    </row>
    <row r="198" spans="1:10" ht="16" x14ac:dyDescent="0.2">
      <c r="A198" s="16">
        <v>184</v>
      </c>
      <c r="B198" s="16" t="s">
        <v>246</v>
      </c>
      <c r="C198" s="17" t="s">
        <v>247</v>
      </c>
      <c r="D198" s="16" t="s">
        <v>997</v>
      </c>
      <c r="E198" s="16" t="s">
        <v>23</v>
      </c>
      <c r="F198" s="16">
        <v>3000</v>
      </c>
      <c r="G198" s="16">
        <v>3000</v>
      </c>
      <c r="H198" s="16">
        <v>5000</v>
      </c>
      <c r="I198" s="18" cm="1">
        <f t="array" ref="I198">_xlfn.IFS(F198=H198,1,F198=G198,0,F198&lt;&gt;G198,(F198-G198)/(G198))</f>
        <v>0</v>
      </c>
      <c r="J198" s="17" t="str">
        <f>VLOOKUP($E198,статьи!$G$2:$I$24,2,)</f>
        <v>Манипулирование рынком, если это действие не содержит уголовно наказуемого деяния</v>
      </c>
    </row>
    <row r="199" spans="1:10" ht="16" x14ac:dyDescent="0.2">
      <c r="A199" s="16">
        <v>185</v>
      </c>
      <c r="B199" s="16" t="s">
        <v>249</v>
      </c>
      <c r="C199" s="17" t="s">
        <v>250</v>
      </c>
      <c r="D199" s="16" t="s">
        <v>997</v>
      </c>
      <c r="E199" s="16" t="s">
        <v>23</v>
      </c>
      <c r="F199" s="16">
        <v>3000</v>
      </c>
      <c r="G199" s="16">
        <v>3000</v>
      </c>
      <c r="H199" s="16">
        <v>5000</v>
      </c>
      <c r="I199" s="18" cm="1">
        <f t="array" ref="I199">_xlfn.IFS(F199=H199,1,F199=G199,0,F199&lt;&gt;G199,(F199-G199)/(G199))</f>
        <v>0</v>
      </c>
      <c r="J199" s="17" t="str">
        <f>VLOOKUP($E199,статьи!$G$2:$I$24,2,)</f>
        <v>Манипулирование рынком, если это действие не содержит уголовно наказуемого деяния</v>
      </c>
    </row>
    <row r="200" spans="1:10" ht="16" x14ac:dyDescent="0.2">
      <c r="A200" s="16">
        <v>186</v>
      </c>
      <c r="B200" s="16" t="s">
        <v>249</v>
      </c>
      <c r="C200" s="17" t="s">
        <v>251</v>
      </c>
      <c r="D200" s="16" t="s">
        <v>997</v>
      </c>
      <c r="E200" s="16" t="s">
        <v>23</v>
      </c>
      <c r="F200" s="16">
        <v>3000</v>
      </c>
      <c r="G200" s="16">
        <v>3000</v>
      </c>
      <c r="H200" s="16">
        <v>5000</v>
      </c>
      <c r="I200" s="18" cm="1">
        <f t="array" ref="I200">_xlfn.IFS(F200=H200,1,F200=G200,0,F200&lt;&gt;G200,(F200-G200)/(G200))</f>
        <v>0</v>
      </c>
      <c r="J200" s="17" t="str">
        <f>VLOOKUP($E200,статьи!$G$2:$I$24,2,)</f>
        <v>Манипулирование рынком, если это действие не содержит уголовно наказуемого деяния</v>
      </c>
    </row>
    <row r="201" spans="1:10" ht="16" x14ac:dyDescent="0.2">
      <c r="A201" s="16">
        <v>187</v>
      </c>
      <c r="B201" s="16" t="s">
        <v>249</v>
      </c>
      <c r="C201" s="17" t="s">
        <v>252</v>
      </c>
      <c r="D201" s="16" t="s">
        <v>997</v>
      </c>
      <c r="E201" s="16" t="s">
        <v>23</v>
      </c>
      <c r="F201" s="16">
        <v>3000</v>
      </c>
      <c r="G201" s="16">
        <v>3000</v>
      </c>
      <c r="H201" s="16">
        <v>5000</v>
      </c>
      <c r="I201" s="18" cm="1">
        <f t="array" ref="I201">_xlfn.IFS(F201=H201,1,F201=G201,0,F201&lt;&gt;G201,(F201-G201)/(G201))</f>
        <v>0</v>
      </c>
      <c r="J201" s="17" t="str">
        <f>VLOOKUP($E201,статьи!$G$2:$I$24,2,)</f>
        <v>Манипулирование рынком, если это действие не содержит уголовно наказуемого деяния</v>
      </c>
    </row>
    <row r="202" spans="1:10" ht="16" x14ac:dyDescent="0.2">
      <c r="A202" s="16">
        <v>188</v>
      </c>
      <c r="B202" s="16" t="s">
        <v>248</v>
      </c>
      <c r="C202" s="17" t="s">
        <v>253</v>
      </c>
      <c r="D202" s="16" t="s">
        <v>997</v>
      </c>
      <c r="E202" s="16" t="s">
        <v>23</v>
      </c>
      <c r="F202" s="16">
        <v>3000</v>
      </c>
      <c r="G202" s="16">
        <v>3000</v>
      </c>
      <c r="H202" s="16">
        <v>5000</v>
      </c>
      <c r="I202" s="18" cm="1">
        <f t="array" ref="I202">_xlfn.IFS(F202=H202,1,F202=G202,0,F202&lt;&gt;G202,(F202-G202)/(G202))</f>
        <v>0</v>
      </c>
      <c r="J202" s="17" t="str">
        <f>VLOOKUP($E202,статьи!$G$2:$I$24,2,)</f>
        <v>Манипулирование рынком, если это действие не содержит уголовно наказуемого деяния</v>
      </c>
    </row>
    <row r="203" spans="1:10" ht="16" x14ac:dyDescent="0.2">
      <c r="A203" s="16">
        <v>189</v>
      </c>
      <c r="B203" s="16" t="s">
        <v>248</v>
      </c>
      <c r="C203" s="17" t="s">
        <v>254</v>
      </c>
      <c r="D203" s="16" t="s">
        <v>997</v>
      </c>
      <c r="E203" s="16" t="s">
        <v>23</v>
      </c>
      <c r="F203" s="16">
        <v>3000</v>
      </c>
      <c r="G203" s="16">
        <v>3000</v>
      </c>
      <c r="H203" s="16">
        <v>5000</v>
      </c>
      <c r="I203" s="18" cm="1">
        <f t="array" ref="I203">_xlfn.IFS(F203=H203,1,F203=G203,0,F203&lt;&gt;G203,(F203-G203)/(G203))</f>
        <v>0</v>
      </c>
      <c r="J203" s="17" t="str">
        <f>VLOOKUP($E203,статьи!$G$2:$I$24,2,)</f>
        <v>Манипулирование рынком, если это действие не содержит уголовно наказуемого деяния</v>
      </c>
    </row>
    <row r="204" spans="1:10" ht="16" x14ac:dyDescent="0.2">
      <c r="A204" s="16">
        <v>190</v>
      </c>
      <c r="B204" s="16" t="s">
        <v>248</v>
      </c>
      <c r="C204" s="17" t="s">
        <v>255</v>
      </c>
      <c r="D204" s="16" t="s">
        <v>997</v>
      </c>
      <c r="E204" s="16" t="s">
        <v>23</v>
      </c>
      <c r="F204" s="16">
        <v>3000</v>
      </c>
      <c r="G204" s="16">
        <v>3000</v>
      </c>
      <c r="H204" s="16">
        <v>5000</v>
      </c>
      <c r="I204" s="18" cm="1">
        <f t="array" ref="I204">_xlfn.IFS(F204=H204,1,F204=G204,0,F204&lt;&gt;G204,(F204-G204)/(G204))</f>
        <v>0</v>
      </c>
      <c r="J204" s="17" t="str">
        <f>VLOOKUP($E204,статьи!$G$2:$I$24,2,)</f>
        <v>Манипулирование рынком, если это действие не содержит уголовно наказуемого деяния</v>
      </c>
    </row>
    <row r="205" spans="1:10" ht="16" x14ac:dyDescent="0.2">
      <c r="A205" s="16">
        <v>191</v>
      </c>
      <c r="B205" s="16" t="s">
        <v>248</v>
      </c>
      <c r="C205" s="17" t="s">
        <v>256</v>
      </c>
      <c r="D205" s="16" t="s">
        <v>997</v>
      </c>
      <c r="E205" s="16" t="s">
        <v>23</v>
      </c>
      <c r="F205" s="16">
        <v>3000</v>
      </c>
      <c r="G205" s="16">
        <v>3000</v>
      </c>
      <c r="H205" s="16">
        <v>5000</v>
      </c>
      <c r="I205" s="18" cm="1">
        <f t="array" ref="I205">_xlfn.IFS(F205=H205,1,F205=G205,0,F205&lt;&gt;G205,(F205-G205)/(G205))</f>
        <v>0</v>
      </c>
      <c r="J205" s="17" t="str">
        <f>VLOOKUP($E205,статьи!$G$2:$I$24,2,)</f>
        <v>Манипулирование рынком, если это действие не содержит уголовно наказуемого деяния</v>
      </c>
    </row>
    <row r="206" spans="1:10" ht="16" x14ac:dyDescent="0.2">
      <c r="A206" s="16">
        <v>192</v>
      </c>
      <c r="B206" s="16" t="s">
        <v>257</v>
      </c>
      <c r="C206" s="17" t="s">
        <v>258</v>
      </c>
      <c r="D206" s="16" t="s">
        <v>997</v>
      </c>
      <c r="E206" s="16" t="s">
        <v>23</v>
      </c>
      <c r="F206" s="16">
        <v>3000</v>
      </c>
      <c r="G206" s="16">
        <v>3000</v>
      </c>
      <c r="H206" s="16">
        <v>5000</v>
      </c>
      <c r="I206" s="18" cm="1">
        <f t="array" ref="I206">_xlfn.IFS(F206=H206,1,F206=G206,0,F206&lt;&gt;G206,(F206-G206)/(G206))</f>
        <v>0</v>
      </c>
      <c r="J206" s="17" t="str">
        <f>VLOOKUP($E206,статьи!$G$2:$I$24,2,)</f>
        <v>Манипулирование рынком, если это действие не содержит уголовно наказуемого деяния</v>
      </c>
    </row>
    <row r="207" spans="1:10" ht="176" x14ac:dyDescent="0.2">
      <c r="A207" s="16">
        <v>193</v>
      </c>
      <c r="B207" s="16" t="s">
        <v>257</v>
      </c>
      <c r="C207" s="17" t="s">
        <v>169</v>
      </c>
      <c r="D207" s="16" t="s">
        <v>996</v>
      </c>
      <c r="E207" s="16" t="s">
        <v>80</v>
      </c>
      <c r="F207" s="16">
        <v>700000</v>
      </c>
      <c r="G207" s="16">
        <v>700000</v>
      </c>
      <c r="H207" s="16">
        <v>1000000</v>
      </c>
      <c r="I207" s="18" cm="1">
        <f t="array" ref="I207">_xlfn.IFS(F207=H207,1,F207=G207,0,F207&lt;&gt;G207,(F207-G207)/(G207))</f>
        <v>0</v>
      </c>
      <c r="J207" s="17" t="str">
        <f>VLOOKUP($E207,статьи!$G$2:$I$24,2,)</f>
        <v>2. Нераскрытие или нарушение эмитентом, профессиональным участником рынка ценных бумаг, клиринговой организацией, акционерным инвестиционным фондом, управляющей компанией акционерного инвестиционного фонда, паевого инвестиционного фонда или негосударственного пенсионного фонда, специализированным депозитарием акционерного инвестиционного фонда, паевого инвестиционного фонда или негосударственного пенсионного фонда либо лицом, оказывающим услуги по публичному представлению раскрываемой информации, порядка и сроков раскрытия информации, предусмотренной федеральными законами и принятыми в соответствии с ними иными нормативными правовыми актами, а равно раскрытие информации не в полном объеме, и (или) недостоверной информации, и (или) вводящей в заблуждение информации</v>
      </c>
    </row>
    <row r="208" spans="1:10" ht="80" x14ac:dyDescent="0.2">
      <c r="A208" s="16">
        <v>194</v>
      </c>
      <c r="B208" s="16" t="s">
        <v>257</v>
      </c>
      <c r="C208" s="17" t="s">
        <v>259</v>
      </c>
      <c r="D208" s="16" t="s">
        <v>996</v>
      </c>
      <c r="E208" s="16" t="s">
        <v>72</v>
      </c>
      <c r="F208" s="16">
        <v>250000</v>
      </c>
      <c r="G208" s="16">
        <v>500000</v>
      </c>
      <c r="H208" s="16">
        <v>700000</v>
      </c>
      <c r="I208" s="18" cm="1">
        <f t="array" ref="I208">_xlfn.IFS(F208=H208,1,F208=G208,0,F208&lt;&gt;G208,(F208-G208)/(G208))</f>
        <v>-0.5</v>
      </c>
      <c r="J208" s="17" t="str">
        <f>VLOOKUP($E208,статьи!$G$2:$I$24,2,)</f>
        <v xml:space="preserve">9. Невыполнение в установленный срок законного предписания Банка России, за исключением случаев, предусмотренных частью 9.1 настоящей статьи, -
</v>
      </c>
    </row>
    <row r="209" spans="1:10" ht="16" x14ac:dyDescent="0.2">
      <c r="A209" s="16">
        <v>195</v>
      </c>
      <c r="B209" s="16" t="s">
        <v>257</v>
      </c>
      <c r="C209" s="17" t="s">
        <v>260</v>
      </c>
      <c r="D209" s="16" t="s">
        <v>997</v>
      </c>
      <c r="E209" s="16" t="s">
        <v>23</v>
      </c>
      <c r="F209" s="16">
        <v>3000</v>
      </c>
      <c r="G209" s="16">
        <v>3000</v>
      </c>
      <c r="H209" s="16">
        <v>5000</v>
      </c>
      <c r="I209" s="18" cm="1">
        <f t="array" ref="I209">_xlfn.IFS(F209=H209,1,F209=G209,0,F209&lt;&gt;G209,(F209-G209)/(G209))</f>
        <v>0</v>
      </c>
      <c r="J209" s="17" t="str">
        <f>VLOOKUP($E209,статьи!$G$2:$I$24,2,)</f>
        <v>Манипулирование рынком, если это действие не содержит уголовно наказуемого деяния</v>
      </c>
    </row>
    <row r="210" spans="1:10" ht="224" x14ac:dyDescent="0.2">
      <c r="A210" s="16">
        <v>197</v>
      </c>
      <c r="B210" s="16" t="s">
        <v>261</v>
      </c>
      <c r="C210" s="17" t="s">
        <v>262</v>
      </c>
      <c r="D210" s="16" t="s">
        <v>996</v>
      </c>
      <c r="E210" s="16" t="s">
        <v>75</v>
      </c>
      <c r="F210" s="16">
        <v>250000</v>
      </c>
      <c r="G210" s="16">
        <v>500000</v>
      </c>
      <c r="H210" s="16">
        <v>700000</v>
      </c>
      <c r="I210" s="18" cm="1">
        <f t="array" ref="I210">_xlfn.IFS(F210=H210,1,F210=G210,0,F210&lt;&gt;G210,(F210-G210)/(G210))</f>
        <v>-0.5</v>
      </c>
      <c r="J210" s="17" t="str">
        <f>VLOOKUP($E210,статьи!$G$2:$I$24,2,)</f>
        <v xml:space="preserve">
1. Непредставление или нарушение порядка либо сроков представления в Банк России отчетов, уведомлений и иной информации, предусмотренной законодательством и (или) необходимой для осуществления этим органом (должностным лицом) его законной деятельности, либо представление информации не в полном объеме и (или) недостоверной информации, за исключением случаев, если в соответствии со страховым законодательством, законодательством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Банком России дается законное предписание об устранении нарушения страхового законодательства, законодательства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и случаев, указанных в части 2 настоящей статьи, если эти действия (бездействие) не содержат признаков уголовно наказуемого деяния</v>
      </c>
    </row>
    <row r="211" spans="1:10" ht="48" x14ac:dyDescent="0.2">
      <c r="A211" s="16">
        <v>198</v>
      </c>
      <c r="B211" s="16" t="s">
        <v>261</v>
      </c>
      <c r="C211" s="17" t="s">
        <v>263</v>
      </c>
      <c r="D211" s="16" t="s">
        <v>996</v>
      </c>
      <c r="E211" s="16" t="s">
        <v>264</v>
      </c>
      <c r="F211" s="16">
        <v>300000</v>
      </c>
      <c r="G211" s="16">
        <v>300000</v>
      </c>
      <c r="H211" s="16">
        <v>700000</v>
      </c>
      <c r="I211" s="18" cm="1">
        <f t="array" ref="I211">_xlfn.IFS(F211=H211,1,F211=G211,0,F211&lt;&gt;G211,(F211-G211)/(G211))</f>
        <v>0</v>
      </c>
      <c r="J211" s="17" t="str">
        <f>VLOOKUP($E211,статьи!$G$2:$I$24,2,)</f>
        <v>4. Неисполнение или ненадлежащее исполнение лицом обязанностей по принятию установленных законодательством мер, направленных на предотвращение, выявление и пресечение злоупотреблений на финансовых и товарных рынках</v>
      </c>
    </row>
    <row r="212" spans="1:10" ht="48" x14ac:dyDescent="0.2">
      <c r="A212" s="16">
        <v>198</v>
      </c>
      <c r="B212" s="16" t="s">
        <v>261</v>
      </c>
      <c r="C212" s="17" t="s">
        <v>263</v>
      </c>
      <c r="D212" s="16" t="s">
        <v>996</v>
      </c>
      <c r="E212" s="16" t="s">
        <v>266</v>
      </c>
      <c r="F212" s="16" t="s">
        <v>11</v>
      </c>
      <c r="G212" s="16">
        <v>300000</v>
      </c>
      <c r="H212" s="16">
        <v>500000</v>
      </c>
      <c r="I212" s="18" t="e" cm="1">
        <f t="array" ref="I212">_xlfn.IFS(F212=H212,1,F212=G212,0,F212&lt;&gt;G212,(F212-G212)/(G212))</f>
        <v>#VALUE!</v>
      </c>
      <c r="J212" s="17" t="str">
        <f>VLOOKUP($E212,статьи!$G$2:$I$24,2,)</f>
        <v>2. Неисполнение или ненадлежащее исполнение лицами, обязанными вести список инсайдеров, обязанностей по ведению списка инсайдеров и уведомлению лиц, включенных в список инсайдеров.</v>
      </c>
    </row>
    <row r="213" spans="1:10" ht="16" x14ac:dyDescent="0.2">
      <c r="A213" s="16">
        <v>199</v>
      </c>
      <c r="B213" s="16" t="s">
        <v>261</v>
      </c>
      <c r="C213" s="17" t="s">
        <v>267</v>
      </c>
      <c r="D213" s="16" t="s">
        <v>997</v>
      </c>
      <c r="E213" s="16" t="s">
        <v>23</v>
      </c>
      <c r="F213" s="16">
        <v>3000</v>
      </c>
      <c r="G213" s="16">
        <v>3000</v>
      </c>
      <c r="H213" s="16">
        <v>5000</v>
      </c>
      <c r="I213" s="18" cm="1">
        <f t="array" ref="I213">_xlfn.IFS(F213=H213,1,F213=G213,0,F213&lt;&gt;G213,(F213-G213)/(G213))</f>
        <v>0</v>
      </c>
      <c r="J213" s="17" t="str">
        <f>VLOOKUP($E213,статьи!$G$2:$I$24,2,)</f>
        <v>Манипулирование рынком, если это действие не содержит уголовно наказуемого деяния</v>
      </c>
    </row>
    <row r="214" spans="1:10" ht="224" x14ac:dyDescent="0.2">
      <c r="A214" s="16">
        <v>200</v>
      </c>
      <c r="B214" s="16" t="s">
        <v>261</v>
      </c>
      <c r="C214" s="17" t="s">
        <v>268</v>
      </c>
      <c r="D214" s="16" t="s">
        <v>996</v>
      </c>
      <c r="E214" s="16" t="s">
        <v>75</v>
      </c>
      <c r="F214" s="16">
        <v>350000</v>
      </c>
      <c r="G214" s="16">
        <v>500000</v>
      </c>
      <c r="H214" s="16">
        <v>700000</v>
      </c>
      <c r="I214" s="18" cm="1">
        <f t="array" ref="I214">_xlfn.IFS(F214=H214,1,F214=G214,0,F214&lt;&gt;G214,(F214-G214)/(G214))</f>
        <v>-0.3</v>
      </c>
      <c r="J214" s="17" t="str">
        <f>VLOOKUP($E214,статьи!$G$2:$I$24,2,)</f>
        <v xml:space="preserve">
1. Непредставление или нарушение порядка либо сроков представления в Банк России отчетов, уведомлений и иной информации, предусмотренной законодательством и (или) необходимой для осуществления этим органом (должностным лицом) его законной деятельности, либо представление информации не в полном объеме и (или) недостоверной информации, за исключением случаев, если в соответствии со страховым законодательством, законодательством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Банком России дается законное предписание об устранении нарушения страхового законодательства, законодательства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и случаев, указанных в части 2 настоящей статьи, если эти действия (бездействие) не содержат признаков уголовно наказуемого деяния</v>
      </c>
    </row>
    <row r="215" spans="1:10" ht="48" x14ac:dyDescent="0.2">
      <c r="A215" s="16">
        <v>201</v>
      </c>
      <c r="B215" s="16" t="s">
        <v>265</v>
      </c>
      <c r="C215" s="17" t="s">
        <v>269</v>
      </c>
      <c r="D215" s="16" t="s">
        <v>996</v>
      </c>
      <c r="E215" s="16" t="s">
        <v>168</v>
      </c>
      <c r="F215" s="16">
        <v>20000</v>
      </c>
      <c r="G215" s="16">
        <v>10000</v>
      </c>
      <c r="H215" s="16">
        <v>20000</v>
      </c>
      <c r="I215" s="18" cm="1">
        <f t="array" ref="I215">_xlfn.IFS(F215=H215,1,F215=G215,0,F215&lt;&gt;G215,(F215-G215)/(G215))</f>
        <v>1</v>
      </c>
      <c r="J215" s="17" t="str">
        <f>VLOOKUP($E215,статьи!$G$2:$I$24,2,)</f>
        <v>1. Непроведение проверки или несвоевременное проведение по требованию субъекта кредитной истории проверки бюро кредитных историй информации, содержащейся в кредитной истории (кредитном отчете)</v>
      </c>
    </row>
    <row r="216" spans="1:10" ht="144" x14ac:dyDescent="0.2">
      <c r="A216" s="16">
        <v>202</v>
      </c>
      <c r="B216" s="16" t="s">
        <v>265</v>
      </c>
      <c r="C216" s="17" t="s">
        <v>270</v>
      </c>
      <c r="D216" s="16" t="s">
        <v>996</v>
      </c>
      <c r="E216" s="16" t="s">
        <v>5</v>
      </c>
      <c r="F216" s="16">
        <v>700000</v>
      </c>
      <c r="G216" s="16">
        <v>700000</v>
      </c>
      <c r="H216" s="16">
        <v>1000000</v>
      </c>
      <c r="I216" s="18" cm="1">
        <f t="array" ref="I216">_xlfn.IFS(F216=H216,1,F216=G216,0,F216&lt;&gt;G216,(F216-G216)/(G216))</f>
        <v>0</v>
      </c>
      <c r="J216" s="17" t="str">
        <f>VLOOKUP($E216,статьи!$G$2:$I$24,2,)</f>
        <v>Воспрепятствование профессиональным участником рынка ценных бумаг,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проведению Банком России проверок либо неисполнение или ненадлежащее исполнение предписаний Банка России</v>
      </c>
    </row>
    <row r="217" spans="1:10" ht="64" x14ac:dyDescent="0.2">
      <c r="A217" s="16">
        <v>202</v>
      </c>
      <c r="B217" s="16" t="s">
        <v>265</v>
      </c>
      <c r="C217" s="17" t="s">
        <v>270</v>
      </c>
      <c r="D217" s="16" t="s">
        <v>996</v>
      </c>
      <c r="E217" s="16" t="s">
        <v>83</v>
      </c>
      <c r="F217" s="16">
        <v>500000</v>
      </c>
      <c r="G217" s="16">
        <v>500000</v>
      </c>
      <c r="H217" s="16">
        <v>700000</v>
      </c>
      <c r="I217" s="18" cm="1">
        <f t="array" ref="I217">_xlfn.IFS(F217=H217,1,F217=G217,0,F217&lt;&gt;G217,(F217-G217)/(G217))</f>
        <v>0</v>
      </c>
      <c r="J217" s="17" t="str">
        <f>VLOOKUP($E217,статьи!$G$2:$I$24,2,)</f>
        <v>Нарушение профессиональным участником рынка ценных бумаг, осуществляющим брокерскую или дилерскую деятельность либо деятельность по управлению ценными бумагами, установленных нормативными правовыми актами Российской Федерации правил ведения учета и составления отчетности</v>
      </c>
    </row>
    <row r="218" spans="1:10" ht="176" x14ac:dyDescent="0.2">
      <c r="A218" s="16">
        <v>203</v>
      </c>
      <c r="B218" s="16" t="s">
        <v>265</v>
      </c>
      <c r="C218" s="17" t="s">
        <v>271</v>
      </c>
      <c r="D218" s="16" t="s">
        <v>996</v>
      </c>
      <c r="E218" s="16" t="s">
        <v>8</v>
      </c>
      <c r="F218" s="16">
        <v>150000</v>
      </c>
      <c r="G218" s="16">
        <v>300000</v>
      </c>
      <c r="H218" s="16">
        <v>500000</v>
      </c>
      <c r="I218" s="18" cm="1">
        <f t="array" ref="I218">_xlfn.IFS(F218=H218,1,F218=G218,0,F218&lt;&gt;G218,(F218-G218)/(G218))</f>
        <v>-0.5</v>
      </c>
      <c r="J218" s="17" t="str">
        <f>VLOOKUP($E218,статьи!$G$2:$I$24,2,)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219" spans="1:10" ht="48" x14ac:dyDescent="0.2">
      <c r="A219" s="16">
        <v>204</v>
      </c>
      <c r="B219" s="16" t="s">
        <v>272</v>
      </c>
      <c r="C219" s="17" t="s">
        <v>273</v>
      </c>
      <c r="D219" s="16" t="s">
        <v>996</v>
      </c>
      <c r="E219" s="16" t="s">
        <v>274</v>
      </c>
      <c r="F219" s="16" t="s">
        <v>11</v>
      </c>
      <c r="G219" s="16">
        <v>300000</v>
      </c>
      <c r="H219" s="16">
        <v>500000</v>
      </c>
      <c r="I219" s="18" t="e" cm="1">
        <f t="array" ref="I219">_xlfn.IFS(F219=H219,1,F219=G219,0,F219&lt;&gt;G219,(F219-G219)/(G219))</f>
        <v>#VALUE!</v>
      </c>
      <c r="J219" s="17" t="str">
        <f>VLOOKUP($E219,статьи!$G$2:$I$24,2,)</f>
        <v>7. Нарушение организатором торговли правил организованных торгов, зарегистрированных в установленном законодательством об организованных торгах порядке</v>
      </c>
    </row>
    <row r="220" spans="1:10" ht="176" x14ac:dyDescent="0.2">
      <c r="A220" s="16">
        <v>206</v>
      </c>
      <c r="B220" s="16" t="s">
        <v>205</v>
      </c>
      <c r="C220" s="17" t="s">
        <v>275</v>
      </c>
      <c r="D220" s="16" t="s">
        <v>996</v>
      </c>
      <c r="E220" s="16" t="s">
        <v>8</v>
      </c>
      <c r="F220" s="16">
        <v>300000</v>
      </c>
      <c r="G220" s="16">
        <v>300000</v>
      </c>
      <c r="H220" s="16">
        <v>500000</v>
      </c>
      <c r="I220" s="18" cm="1">
        <f t="array" ref="I220">_xlfn.IFS(F220=H220,1,F220=G220,0,F220&lt;&gt;G220,(F220-G220)/(G220))</f>
        <v>0</v>
      </c>
      <c r="J220" s="17" t="str">
        <f>VLOOKUP($E220,статьи!$G$2:$I$24,2,)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221" spans="1:10" ht="176" x14ac:dyDescent="0.2">
      <c r="A221" s="16">
        <v>207</v>
      </c>
      <c r="B221" s="16" t="s">
        <v>276</v>
      </c>
      <c r="C221" s="17" t="s">
        <v>277</v>
      </c>
      <c r="D221" s="16" t="s">
        <v>996</v>
      </c>
      <c r="E221" s="16" t="s">
        <v>8</v>
      </c>
      <c r="F221" s="16" t="s">
        <v>11</v>
      </c>
      <c r="G221" s="16">
        <v>300000</v>
      </c>
      <c r="H221" s="16">
        <v>500000</v>
      </c>
      <c r="I221" s="18" t="e" cm="1">
        <f t="array" ref="I221">_xlfn.IFS(F221=H221,1,F221=G221,0,F221&lt;&gt;G221,(F221-G221)/(G221))</f>
        <v>#VALUE!</v>
      </c>
      <c r="J221" s="17" t="str">
        <f>VLOOKUP($E221,статьи!$G$2:$I$24,2,)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222" spans="1:10" ht="176" x14ac:dyDescent="0.2">
      <c r="A222" s="16">
        <v>208</v>
      </c>
      <c r="B222" s="16" t="s">
        <v>276</v>
      </c>
      <c r="C222" s="17" t="s">
        <v>85</v>
      </c>
      <c r="D222" s="16" t="s">
        <v>996</v>
      </c>
      <c r="E222" s="16" t="s">
        <v>8</v>
      </c>
      <c r="F222" s="16">
        <v>300000</v>
      </c>
      <c r="G222" s="16">
        <v>300000</v>
      </c>
      <c r="H222" s="16">
        <v>500000</v>
      </c>
      <c r="I222" s="18" cm="1">
        <f t="array" ref="I222">_xlfn.IFS(F222=H222,1,F222=G222,0,F222&lt;&gt;G222,(F222-G222)/(G222))</f>
        <v>0</v>
      </c>
      <c r="J222" s="17" t="str">
        <f>VLOOKUP($E222,статьи!$G$2:$I$24,2,)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223" spans="1:10" ht="16" x14ac:dyDescent="0.2">
      <c r="A223" s="16">
        <v>209</v>
      </c>
      <c r="B223" s="16" t="s">
        <v>278</v>
      </c>
      <c r="C223" s="17" t="s">
        <v>279</v>
      </c>
      <c r="D223" s="16" t="s">
        <v>997</v>
      </c>
      <c r="E223" s="16" t="s">
        <v>23</v>
      </c>
      <c r="F223" s="16">
        <v>3000</v>
      </c>
      <c r="G223" s="16">
        <v>3000</v>
      </c>
      <c r="H223" s="16">
        <v>5000</v>
      </c>
      <c r="I223" s="18" cm="1">
        <f t="array" ref="I223">_xlfn.IFS(F223=H223,1,F223=G223,0,F223&lt;&gt;G223,(F223-G223)/(G223))</f>
        <v>0</v>
      </c>
      <c r="J223" s="17" t="str">
        <f>VLOOKUP($E223,статьи!$G$2:$I$24,2,)</f>
        <v>Манипулирование рынком, если это действие не содержит уголовно наказуемого деяния</v>
      </c>
    </row>
    <row r="224" spans="1:10" ht="16" x14ac:dyDescent="0.2">
      <c r="A224" s="16">
        <v>210</v>
      </c>
      <c r="B224" s="16" t="s">
        <v>278</v>
      </c>
      <c r="C224" s="17" t="s">
        <v>281</v>
      </c>
      <c r="D224" s="16" t="s">
        <v>997</v>
      </c>
      <c r="E224" s="16" t="s">
        <v>23</v>
      </c>
      <c r="F224" s="16">
        <v>3000</v>
      </c>
      <c r="G224" s="16">
        <v>3000</v>
      </c>
      <c r="H224" s="16">
        <v>5000</v>
      </c>
      <c r="I224" s="18" cm="1">
        <f t="array" ref="I224">_xlfn.IFS(F224=H224,1,F224=G224,0,F224&lt;&gt;G224,(F224-G224)/(G224))</f>
        <v>0</v>
      </c>
      <c r="J224" s="17" t="str">
        <f>VLOOKUP($E224,статьи!$G$2:$I$24,2,)</f>
        <v>Манипулирование рынком, если это действие не содержит уголовно наказуемого деяния</v>
      </c>
    </row>
    <row r="225" spans="1:10" ht="16" x14ac:dyDescent="0.2">
      <c r="A225" s="16">
        <v>211</v>
      </c>
      <c r="B225" s="16" t="s">
        <v>278</v>
      </c>
      <c r="C225" s="17" t="s">
        <v>282</v>
      </c>
      <c r="D225" s="16" t="s">
        <v>997</v>
      </c>
      <c r="E225" s="16" t="s">
        <v>23</v>
      </c>
      <c r="F225" s="16">
        <v>3000</v>
      </c>
      <c r="G225" s="16">
        <v>3000</v>
      </c>
      <c r="H225" s="16">
        <v>5000</v>
      </c>
      <c r="I225" s="18" cm="1">
        <f t="array" ref="I225">_xlfn.IFS(F225=H225,1,F225=G225,0,F225&lt;&gt;G225,(F225-G225)/(G225))</f>
        <v>0</v>
      </c>
      <c r="J225" s="17" t="str">
        <f>VLOOKUP($E225,статьи!$G$2:$I$24,2,)</f>
        <v>Манипулирование рынком, если это действие не содержит уголовно наказуемого деяния</v>
      </c>
    </row>
    <row r="226" spans="1:10" ht="48" x14ac:dyDescent="0.2">
      <c r="A226" s="16">
        <v>212</v>
      </c>
      <c r="B226" s="16" t="s">
        <v>280</v>
      </c>
      <c r="C226" s="17" t="s">
        <v>269</v>
      </c>
      <c r="D226" s="16" t="s">
        <v>996</v>
      </c>
      <c r="E226" s="16" t="s">
        <v>168</v>
      </c>
      <c r="F226" s="16">
        <v>20000</v>
      </c>
      <c r="G226" s="16">
        <v>10000</v>
      </c>
      <c r="H226" s="16">
        <v>20000</v>
      </c>
      <c r="I226" s="18" cm="1">
        <f t="array" ref="I226">_xlfn.IFS(F226=H226,1,F226=G226,0,F226&lt;&gt;G226,(F226-G226)/(G226))</f>
        <v>1</v>
      </c>
      <c r="J226" s="17" t="str">
        <f>VLOOKUP($E226,статьи!$G$2:$I$24,2,)</f>
        <v>1. Непроведение проверки или несвоевременное проведение по требованию субъекта кредитной истории проверки бюро кредитных историй информации, содержащейся в кредитной истории (кредитном отчете)</v>
      </c>
    </row>
    <row r="227" spans="1:10" ht="64" x14ac:dyDescent="0.2">
      <c r="A227" s="16">
        <v>215</v>
      </c>
      <c r="B227" s="16" t="s">
        <v>283</v>
      </c>
      <c r="C227" s="17" t="s">
        <v>284</v>
      </c>
      <c r="D227" s="16" t="s">
        <v>996</v>
      </c>
      <c r="E227" s="16" t="s">
        <v>83</v>
      </c>
      <c r="F227" s="16">
        <v>500000</v>
      </c>
      <c r="G227" s="16">
        <v>500000</v>
      </c>
      <c r="H227" s="16">
        <v>700000</v>
      </c>
      <c r="I227" s="18" cm="1">
        <f t="array" ref="I227">_xlfn.IFS(F227=H227,1,F227=G227,0,F227&lt;&gt;G227,(F227-G227)/(G227))</f>
        <v>0</v>
      </c>
      <c r="J227" s="17" t="str">
        <f>VLOOKUP($E227,статьи!$G$2:$I$24,2,)</f>
        <v>Нарушение профессиональным участником рынка ценных бумаг, осуществляющим брокерскую или дилерскую деятельность либо деятельность по управлению ценными бумагами, установленных нормативными правовыми актами Российской Федерации правил ведения учета и составления отчетности</v>
      </c>
    </row>
    <row r="228" spans="1:10" ht="176" x14ac:dyDescent="0.2">
      <c r="A228" s="16">
        <v>216</v>
      </c>
      <c r="B228" s="16" t="s">
        <v>283</v>
      </c>
      <c r="C228" s="17" t="s">
        <v>133</v>
      </c>
      <c r="D228" s="16" t="s">
        <v>996</v>
      </c>
      <c r="E228" s="16" t="s">
        <v>8</v>
      </c>
      <c r="F228" s="16">
        <v>150000</v>
      </c>
      <c r="G228" s="16">
        <v>300000</v>
      </c>
      <c r="H228" s="16">
        <v>500000</v>
      </c>
      <c r="I228" s="18" cm="1">
        <f t="array" ref="I228">_xlfn.IFS(F228=H228,1,F228=G228,0,F228&lt;&gt;G228,(F228-G228)/(G228))</f>
        <v>-0.5</v>
      </c>
      <c r="J228" s="17" t="str">
        <f>VLOOKUP($E228,статьи!$G$2:$I$24,2,)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229" spans="1:10" ht="80" x14ac:dyDescent="0.2">
      <c r="A229" s="16">
        <v>217</v>
      </c>
      <c r="B229" s="16" t="s">
        <v>283</v>
      </c>
      <c r="C229" s="17" t="s">
        <v>285</v>
      </c>
      <c r="D229" s="16" t="s">
        <v>996</v>
      </c>
      <c r="E229" s="16" t="s">
        <v>72</v>
      </c>
      <c r="F229" s="16">
        <v>350000</v>
      </c>
      <c r="G229" s="16">
        <v>500000</v>
      </c>
      <c r="H229" s="16">
        <v>700000</v>
      </c>
      <c r="I229" s="18" cm="1">
        <f t="array" ref="I229">_xlfn.IFS(F229=H229,1,F229=G229,0,F229&lt;&gt;G229,(F229-G229)/(G229))</f>
        <v>-0.3</v>
      </c>
      <c r="J229" s="17" t="str">
        <f>VLOOKUP($E229,статьи!$G$2:$I$24,2,)</f>
        <v xml:space="preserve">9. Невыполнение в установленный срок законного предписания Банка России, за исключением случаев, предусмотренных частью 9.1 настоящей статьи, -
</v>
      </c>
    </row>
    <row r="230" spans="1:10" ht="48" x14ac:dyDescent="0.2">
      <c r="A230" s="16">
        <v>218</v>
      </c>
      <c r="B230" s="16" t="s">
        <v>286</v>
      </c>
      <c r="C230" s="17" t="s">
        <v>269</v>
      </c>
      <c r="D230" s="16" t="s">
        <v>996</v>
      </c>
      <c r="E230" s="16" t="s">
        <v>168</v>
      </c>
      <c r="F230" s="16">
        <v>20000</v>
      </c>
      <c r="G230" s="16">
        <v>10000</v>
      </c>
      <c r="H230" s="16">
        <v>20000</v>
      </c>
      <c r="I230" s="18" cm="1">
        <f t="array" ref="I230">_xlfn.IFS(F230=H230,1,F230=G230,0,F230&lt;&gt;G230,(F230-G230)/(G230))</f>
        <v>1</v>
      </c>
      <c r="J230" s="17" t="str">
        <f>VLOOKUP($E230,статьи!$G$2:$I$24,2,)</f>
        <v>1. Непроведение проверки или несвоевременное проведение по требованию субъекта кредитной истории проверки бюро кредитных историй информации, содержащейся в кредитной истории (кредитном отчете)</v>
      </c>
    </row>
    <row r="231" spans="1:10" ht="16" x14ac:dyDescent="0.2">
      <c r="A231" s="16">
        <v>219</v>
      </c>
      <c r="B231" s="16" t="s">
        <v>286</v>
      </c>
      <c r="C231" s="17" t="s">
        <v>287</v>
      </c>
      <c r="D231" s="16" t="s">
        <v>997</v>
      </c>
      <c r="E231" s="16" t="s">
        <v>23</v>
      </c>
      <c r="F231" s="16">
        <v>5000</v>
      </c>
      <c r="G231" s="16">
        <v>3000</v>
      </c>
      <c r="H231" s="16">
        <v>5000</v>
      </c>
      <c r="I231" s="18" cm="1">
        <f t="array" ref="I231">_xlfn.IFS(F231=H231,1,F231=G231,0,F231&lt;&gt;G231,(F231-G231)/(G231))</f>
        <v>1</v>
      </c>
      <c r="J231" s="17" t="str">
        <f>VLOOKUP($E231,статьи!$G$2:$I$24,2,)</f>
        <v>Манипулирование рынком, если это действие не содержит уголовно наказуемого деяния</v>
      </c>
    </row>
    <row r="232" spans="1:10" ht="144" x14ac:dyDescent="0.2">
      <c r="A232" s="16">
        <v>220</v>
      </c>
      <c r="B232" s="16" t="s">
        <v>288</v>
      </c>
      <c r="C232" s="17" t="s">
        <v>289</v>
      </c>
      <c r="D232" s="16" t="s">
        <v>996</v>
      </c>
      <c r="E232" s="16" t="s">
        <v>5</v>
      </c>
      <c r="F232" s="16">
        <v>700000</v>
      </c>
      <c r="G232" s="16">
        <v>700000</v>
      </c>
      <c r="H232" s="16">
        <v>1000000</v>
      </c>
      <c r="I232" s="18" cm="1">
        <f t="array" ref="I232">_xlfn.IFS(F232=H232,1,F232=G232,0,F232&lt;&gt;G232,(F232-G232)/(G232))</f>
        <v>0</v>
      </c>
      <c r="J232" s="17" t="str">
        <f>VLOOKUP($E232,статьи!$G$2:$I$24,2,)</f>
        <v>Воспрепятствование профессиональным участником рынка ценных бумаг,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проведению Банком России проверок либо неисполнение или ненадлежащее исполнение предписаний Банка России</v>
      </c>
    </row>
    <row r="233" spans="1:10" ht="64" x14ac:dyDescent="0.2">
      <c r="A233" s="16">
        <v>221</v>
      </c>
      <c r="B233" s="16" t="s">
        <v>290</v>
      </c>
      <c r="C233" s="17" t="s">
        <v>291</v>
      </c>
      <c r="D233" s="16" t="s">
        <v>996</v>
      </c>
      <c r="E233" s="16" t="s">
        <v>83</v>
      </c>
      <c r="F233" s="16">
        <v>500000</v>
      </c>
      <c r="G233" s="16">
        <v>500000</v>
      </c>
      <c r="H233" s="16">
        <v>700000</v>
      </c>
      <c r="I233" s="18" cm="1">
        <f t="array" ref="I233">_xlfn.IFS(F233=H233,1,F233=G233,0,F233&lt;&gt;G233,(F233-G233)/(G233))</f>
        <v>0</v>
      </c>
      <c r="J233" s="17" t="str">
        <f>VLOOKUP($E233,статьи!$G$2:$I$24,2,)</f>
        <v>Нарушение профессиональным участником рынка ценных бумаг, осуществляющим брокерскую или дилерскую деятельность либо деятельность по управлению ценными бумагами, установленных нормативными правовыми актами Российской Федерации правил ведения учета и составления отчетности</v>
      </c>
    </row>
    <row r="234" spans="1:10" ht="176" x14ac:dyDescent="0.2">
      <c r="A234" s="16">
        <v>222</v>
      </c>
      <c r="B234" s="16" t="s">
        <v>290</v>
      </c>
      <c r="C234" s="17" t="s">
        <v>292</v>
      </c>
      <c r="D234" s="16" t="s">
        <v>996</v>
      </c>
      <c r="E234" s="16" t="s">
        <v>8</v>
      </c>
      <c r="F234" s="16">
        <v>350000</v>
      </c>
      <c r="G234" s="16">
        <v>300000</v>
      </c>
      <c r="H234" s="16">
        <v>500000</v>
      </c>
      <c r="I234" s="18" cm="1">
        <f t="array" ref="I234">_xlfn.IFS(F234=H234,1,F234=G234,0,F234&lt;&gt;G234,(F234-G234)/(G234))</f>
        <v>0.16666666666666666</v>
      </c>
      <c r="J234" s="17" t="str">
        <f>VLOOKUP($E234,статьи!$G$2:$I$24,2,)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235" spans="1:10" ht="176" x14ac:dyDescent="0.2">
      <c r="A235" s="16">
        <v>223</v>
      </c>
      <c r="B235" s="16" t="s">
        <v>293</v>
      </c>
      <c r="C235" s="17" t="s">
        <v>294</v>
      </c>
      <c r="D235" s="16" t="s">
        <v>996</v>
      </c>
      <c r="E235" s="16" t="s">
        <v>8</v>
      </c>
      <c r="F235" s="16" t="s">
        <v>11</v>
      </c>
      <c r="G235" s="16">
        <v>300000</v>
      </c>
      <c r="H235" s="16">
        <v>500000</v>
      </c>
      <c r="I235" s="18" t="e" cm="1">
        <f t="array" ref="I235">_xlfn.IFS(F235=H235,1,F235=G235,0,F235&lt;&gt;G235,(F235-G235)/(G235))</f>
        <v>#VALUE!</v>
      </c>
      <c r="J235" s="17" t="str">
        <f>VLOOKUP($E235,статьи!$G$2:$I$24,2,)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236" spans="1:10" ht="16" x14ac:dyDescent="0.2">
      <c r="A236" s="16">
        <v>224</v>
      </c>
      <c r="B236" s="16" t="s">
        <v>295</v>
      </c>
      <c r="C236" s="17" t="s">
        <v>296</v>
      </c>
      <c r="D236" s="16" t="s">
        <v>997</v>
      </c>
      <c r="E236" s="16" t="s">
        <v>23</v>
      </c>
      <c r="F236" s="16">
        <v>3000</v>
      </c>
      <c r="G236" s="16">
        <v>3000</v>
      </c>
      <c r="H236" s="16">
        <v>5000</v>
      </c>
      <c r="I236" s="18" cm="1">
        <f t="array" ref="I236">_xlfn.IFS(F236=H236,1,F236=G236,0,F236&lt;&gt;G236,(F236-G236)/(G236))</f>
        <v>0</v>
      </c>
      <c r="J236" s="17" t="str">
        <f>VLOOKUP($E236,статьи!$G$2:$I$24,2,)</f>
        <v>Манипулирование рынком, если это действие не содержит уголовно наказуемого деяния</v>
      </c>
    </row>
    <row r="237" spans="1:10" ht="176" x14ac:dyDescent="0.2">
      <c r="A237" s="16">
        <v>225</v>
      </c>
      <c r="B237" s="16" t="s">
        <v>295</v>
      </c>
      <c r="C237" s="17" t="s">
        <v>297</v>
      </c>
      <c r="D237" s="16" t="s">
        <v>996</v>
      </c>
      <c r="E237" s="16" t="s">
        <v>8</v>
      </c>
      <c r="F237" s="16">
        <v>300000</v>
      </c>
      <c r="G237" s="16">
        <v>300000</v>
      </c>
      <c r="H237" s="16">
        <v>500000</v>
      </c>
      <c r="I237" s="18" cm="1">
        <f t="array" ref="I237">_xlfn.IFS(F237=H237,1,F237=G237,0,F237&lt;&gt;G237,(F237-G237)/(G237))</f>
        <v>0</v>
      </c>
      <c r="J237" s="17" t="str">
        <f>VLOOKUP($E237,статьи!$G$2:$I$24,2,)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238" spans="1:10" ht="176" x14ac:dyDescent="0.2">
      <c r="A238" s="16">
        <v>226</v>
      </c>
      <c r="B238" s="16" t="s">
        <v>295</v>
      </c>
      <c r="C238" s="17" t="s">
        <v>298</v>
      </c>
      <c r="D238" s="16" t="s">
        <v>996</v>
      </c>
      <c r="E238" s="16" t="s">
        <v>80</v>
      </c>
      <c r="F238" s="16">
        <v>350000</v>
      </c>
      <c r="G238" s="16">
        <v>700000</v>
      </c>
      <c r="H238" s="16">
        <v>1000000</v>
      </c>
      <c r="I238" s="18" cm="1">
        <f t="array" ref="I238">_xlfn.IFS(F238=H238,1,F238=G238,0,F238&lt;&gt;G238,(F238-G238)/(G238))</f>
        <v>-0.5</v>
      </c>
      <c r="J238" s="17" t="str">
        <f>VLOOKUP($E238,статьи!$G$2:$I$24,2,)</f>
        <v>2. Нераскрытие или нарушение эмитентом, профессиональным участником рынка ценных бумаг, клиринговой организацией, акционерным инвестиционным фондом, управляющей компанией акционерного инвестиционного фонда, паевого инвестиционного фонда или негосударственного пенсионного фонда, специализированным депозитарием акционерного инвестиционного фонда, паевого инвестиционного фонда или негосударственного пенсионного фонда либо лицом, оказывающим услуги по публичному представлению раскрываемой информации, порядка и сроков раскрытия информации, предусмотренной федеральными законами и принятыми в соответствии с ними иными нормативными правовыми актами, а равно раскрытие информации не в полном объеме, и (или) недостоверной информации, и (или) вводящей в заблуждение информации</v>
      </c>
    </row>
    <row r="239" spans="1:10" ht="64" x14ac:dyDescent="0.2">
      <c r="A239" s="16">
        <v>227</v>
      </c>
      <c r="B239" s="16" t="s">
        <v>295</v>
      </c>
      <c r="C239" s="17" t="s">
        <v>299</v>
      </c>
      <c r="D239" s="16" t="s">
        <v>996</v>
      </c>
      <c r="E239" s="16" t="s">
        <v>83</v>
      </c>
      <c r="F239" s="16" t="s">
        <v>11</v>
      </c>
      <c r="G239" s="16">
        <v>500000</v>
      </c>
      <c r="H239" s="16">
        <v>700000</v>
      </c>
      <c r="I239" s="18" t="e" cm="1">
        <f t="array" ref="I239">_xlfn.IFS(F239=H239,1,F239=G239,0,F239&lt;&gt;G239,(F239-G239)/(G239))</f>
        <v>#VALUE!</v>
      </c>
      <c r="J239" s="17" t="str">
        <f>VLOOKUP($E239,статьи!$G$2:$I$24,2,)</f>
        <v>Нарушение профессиональным участником рынка ценных бумаг, осуществляющим брокерскую или дилерскую деятельность либо деятельность по управлению ценными бумагами, установленных нормативными правовыми актами Российской Федерации правил ведения учета и составления отчетности</v>
      </c>
    </row>
    <row r="240" spans="1:10" ht="176" x14ac:dyDescent="0.2">
      <c r="A240" s="16">
        <v>228</v>
      </c>
      <c r="B240" s="16" t="s">
        <v>300</v>
      </c>
      <c r="C240" s="17" t="s">
        <v>301</v>
      </c>
      <c r="D240" s="16" t="s">
        <v>996</v>
      </c>
      <c r="E240" s="16" t="s">
        <v>80</v>
      </c>
      <c r="F240" s="16">
        <v>700000</v>
      </c>
      <c r="G240" s="16">
        <v>700000</v>
      </c>
      <c r="H240" s="16">
        <v>1000000</v>
      </c>
      <c r="I240" s="18" cm="1">
        <f t="array" ref="I240">_xlfn.IFS(F240=H240,1,F240=G240,0,F240&lt;&gt;G240,(F240-G240)/(G240))</f>
        <v>0</v>
      </c>
      <c r="J240" s="17" t="str">
        <f>VLOOKUP($E240,статьи!$G$2:$I$24,2,)</f>
        <v>2. Нераскрытие или нарушение эмитентом, профессиональным участником рынка ценных бумаг, клиринговой организацией, акционерным инвестиционным фондом, управляющей компанией акционерного инвестиционного фонда, паевого инвестиционного фонда или негосударственного пенсионного фонда, специализированным депозитарием акционерного инвестиционного фонда, паевого инвестиционного фонда или негосударственного пенсионного фонда либо лицом, оказывающим услуги по публичному представлению раскрываемой информации, порядка и сроков раскрытия информации, предусмотренной федеральными законами и принятыми в соответствии с ними иными нормативными правовыми актами, а равно раскрытие информации не в полном объеме, и (или) недостоверной информации, и (или) вводящей в заблуждение информации</v>
      </c>
    </row>
    <row r="241" spans="1:10" ht="176" x14ac:dyDescent="0.2">
      <c r="A241" s="16">
        <v>229</v>
      </c>
      <c r="B241" s="16" t="s">
        <v>300</v>
      </c>
      <c r="C241" s="17" t="s">
        <v>302</v>
      </c>
      <c r="D241" s="16" t="s">
        <v>996</v>
      </c>
      <c r="E241" s="16" t="s">
        <v>80</v>
      </c>
      <c r="F241" s="16" t="s">
        <v>11</v>
      </c>
      <c r="G241" s="16">
        <v>700000</v>
      </c>
      <c r="H241" s="16">
        <v>1000000</v>
      </c>
      <c r="I241" s="18" t="e" cm="1">
        <f t="array" ref="I241">_xlfn.IFS(F241=H241,1,F241=G241,0,F241&lt;&gt;G241,(F241-G241)/(G241))</f>
        <v>#VALUE!</v>
      </c>
      <c r="J241" s="17" t="str">
        <f>VLOOKUP($E241,статьи!$G$2:$I$24,2,)</f>
        <v>2. Нераскрытие или нарушение эмитентом, профессиональным участником рынка ценных бумаг, клиринговой организацией, акционерным инвестиционным фондом, управляющей компанией акционерного инвестиционного фонда, паевого инвестиционного фонда или негосударственного пенсионного фонда, специализированным депозитарием акционерного инвестиционного фонда, паевого инвестиционного фонда или негосударственного пенсионного фонда либо лицом, оказывающим услуги по публичному представлению раскрываемой информации, порядка и сроков раскрытия информации, предусмотренной федеральными законами и принятыми в соответствии с ними иными нормативными правовыми актами, а равно раскрытие информации не в полном объеме, и (или) недостоверной информации, и (или) вводящей в заблуждение информации</v>
      </c>
    </row>
    <row r="242" spans="1:10" ht="224" x14ac:dyDescent="0.2">
      <c r="A242" s="16">
        <v>230</v>
      </c>
      <c r="B242" s="16" t="s">
        <v>303</v>
      </c>
      <c r="C242" s="17" t="s">
        <v>304</v>
      </c>
      <c r="D242" s="16" t="s">
        <v>996</v>
      </c>
      <c r="E242" s="16" t="s">
        <v>75</v>
      </c>
      <c r="F242" s="16">
        <v>250000</v>
      </c>
      <c r="G242" s="16">
        <v>500000</v>
      </c>
      <c r="H242" s="16">
        <v>700000</v>
      </c>
      <c r="I242" s="18" cm="1">
        <f t="array" ref="I242">_xlfn.IFS(F242=H242,1,F242=G242,0,F242&lt;&gt;G242,(F242-G242)/(G242))</f>
        <v>-0.5</v>
      </c>
      <c r="J242" s="17" t="str">
        <f>VLOOKUP($E242,статьи!$G$2:$I$24,2,)</f>
        <v xml:space="preserve">
1. Непредставление или нарушение порядка либо сроков представления в Банк России отчетов, уведомлений и иной информации, предусмотренной законодательством и (или) необходимой для осуществления этим органом (должностным лицом) его законной деятельности, либо представление информации не в полном объеме и (или) недостоверной информации, за исключением случаев, если в соответствии со страховым законодательством, законодательством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Банком России дается законное предписание об устранении нарушения страхового законодательства, законодательства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и случаев, указанных в части 2 настоящей статьи, если эти действия (бездействие) не содержат признаков уголовно наказуемого деяния</v>
      </c>
    </row>
    <row r="243" spans="1:10" ht="80" x14ac:dyDescent="0.2">
      <c r="A243" s="16">
        <v>231</v>
      </c>
      <c r="B243" s="16" t="s">
        <v>303</v>
      </c>
      <c r="C243" s="17" t="s">
        <v>306</v>
      </c>
      <c r="D243" s="16" t="s">
        <v>996</v>
      </c>
      <c r="E243" s="16" t="s">
        <v>72</v>
      </c>
      <c r="F243" s="16">
        <v>250000</v>
      </c>
      <c r="G243" s="16">
        <v>500000</v>
      </c>
      <c r="H243" s="16">
        <v>700000</v>
      </c>
      <c r="I243" s="18" cm="1">
        <f t="array" ref="I243">_xlfn.IFS(F243=H243,1,F243=G243,0,F243&lt;&gt;G243,(F243-G243)/(G243))</f>
        <v>-0.5</v>
      </c>
      <c r="J243" s="17" t="str">
        <f>VLOOKUP($E243,статьи!$G$2:$I$24,2,)</f>
        <v xml:space="preserve">9. Невыполнение в установленный срок законного предписания Банка России, за исключением случаев, предусмотренных частью 9.1 настоящей статьи, -
</v>
      </c>
    </row>
    <row r="244" spans="1:10" ht="176" x14ac:dyDescent="0.2">
      <c r="A244" s="16">
        <v>232</v>
      </c>
      <c r="B244" s="16" t="s">
        <v>305</v>
      </c>
      <c r="C244" s="17" t="s">
        <v>307</v>
      </c>
      <c r="D244" s="16" t="s">
        <v>996</v>
      </c>
      <c r="E244" s="16" t="s">
        <v>8</v>
      </c>
      <c r="F244" s="16">
        <v>300000</v>
      </c>
      <c r="G244" s="16">
        <v>300000</v>
      </c>
      <c r="H244" s="16">
        <v>500000</v>
      </c>
      <c r="I244" s="18" cm="1">
        <f t="array" ref="I244">_xlfn.IFS(F244=H244,1,F244=G244,0,F244&lt;&gt;G244,(F244-G244)/(G244))</f>
        <v>0</v>
      </c>
      <c r="J244" s="17" t="str">
        <f>VLOOKUP($E244,статьи!$G$2:$I$24,2,)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245" spans="1:10" ht="32" x14ac:dyDescent="0.2">
      <c r="A245" s="16">
        <v>233</v>
      </c>
      <c r="B245" s="16" t="s">
        <v>305</v>
      </c>
      <c r="C245" s="17" t="s">
        <v>308</v>
      </c>
      <c r="D245" s="16" t="s">
        <v>997</v>
      </c>
      <c r="E245" s="16" t="s">
        <v>309</v>
      </c>
      <c r="F245" s="16">
        <v>30000</v>
      </c>
      <c r="G245" s="16">
        <v>3000</v>
      </c>
      <c r="H245" s="16">
        <v>5000</v>
      </c>
      <c r="I245" s="18" cm="1">
        <f t="array" ref="I245">_xlfn.IFS(F245=H245,1,F245=G245,0,F245&lt;&gt;G245,(F245-G245)/(G245))</f>
        <v>9</v>
      </c>
      <c r="J245" s="17" t="str">
        <f>VLOOKUP($E245,статьи!$G$2:$I$24,2,)</f>
        <v>Неправомерное использование инсайдерской информации, если это действие не содержит уголовно наказуемого деяния</v>
      </c>
    </row>
    <row r="246" spans="1:10" ht="16" x14ac:dyDescent="0.2">
      <c r="A246" s="16">
        <v>234</v>
      </c>
      <c r="B246" s="16" t="s">
        <v>305</v>
      </c>
      <c r="C246" s="17" t="s">
        <v>310</v>
      </c>
      <c r="D246" s="16" t="s">
        <v>997</v>
      </c>
      <c r="E246" s="16" t="s">
        <v>23</v>
      </c>
      <c r="F246" s="16">
        <v>3000</v>
      </c>
      <c r="G246" s="16">
        <v>3000</v>
      </c>
      <c r="H246" s="16">
        <v>5000</v>
      </c>
      <c r="I246" s="18" cm="1">
        <f t="array" ref="I246">_xlfn.IFS(F246=H246,1,F246=G246,0,F246&lt;&gt;G246,(F246-G246)/(G246))</f>
        <v>0</v>
      </c>
      <c r="J246" s="17" t="str">
        <f>VLOOKUP($E246,статьи!$G$2:$I$24,2,)</f>
        <v>Манипулирование рынком, если это действие не содержит уголовно наказуемого деяния</v>
      </c>
    </row>
    <row r="247" spans="1:10" ht="176" x14ac:dyDescent="0.2">
      <c r="A247" s="16">
        <v>235</v>
      </c>
      <c r="B247" s="16" t="s">
        <v>305</v>
      </c>
      <c r="C247" s="17" t="s">
        <v>311</v>
      </c>
      <c r="D247" s="16" t="s">
        <v>996</v>
      </c>
      <c r="E247" s="16" t="s">
        <v>8</v>
      </c>
      <c r="F247" s="16">
        <v>150000</v>
      </c>
      <c r="G247" s="16">
        <v>300000</v>
      </c>
      <c r="H247" s="16">
        <v>500000</v>
      </c>
      <c r="I247" s="18" cm="1">
        <f t="array" ref="I247">_xlfn.IFS(F247=H247,1,F247=G247,0,F247&lt;&gt;G247,(F247-G247)/(G247))</f>
        <v>-0.5</v>
      </c>
      <c r="J247" s="17" t="str">
        <f>VLOOKUP($E247,статьи!$G$2:$I$24,2,)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248" spans="1:10" ht="176" x14ac:dyDescent="0.2">
      <c r="A248" s="16">
        <v>236</v>
      </c>
      <c r="B248" s="16" t="s">
        <v>305</v>
      </c>
      <c r="C248" s="17" t="s">
        <v>289</v>
      </c>
      <c r="D248" s="16" t="s">
        <v>996</v>
      </c>
      <c r="E248" s="16" t="s">
        <v>80</v>
      </c>
      <c r="F248" s="16">
        <v>700000</v>
      </c>
      <c r="G248" s="16">
        <v>700000</v>
      </c>
      <c r="H248" s="16">
        <v>1000000</v>
      </c>
      <c r="I248" s="18" cm="1">
        <f t="array" ref="I248">_xlfn.IFS(F248=H248,1,F248=G248,0,F248&lt;&gt;G248,(F248-G248)/(G248))</f>
        <v>0</v>
      </c>
      <c r="J248" s="17" t="str">
        <f>VLOOKUP($E248,статьи!$G$2:$I$24,2,)</f>
        <v>2. Нераскрытие или нарушение эмитентом, профессиональным участником рынка ценных бумаг, клиринговой организацией, акционерным инвестиционным фондом, управляющей компанией акционерного инвестиционного фонда, паевого инвестиционного фонда или негосударственного пенсионного фонда, специализированным депозитарием акционерного инвестиционного фонда, паевого инвестиционного фонда или негосударственного пенсионного фонда либо лицом, оказывающим услуги по публичному представлению раскрываемой информации, порядка и сроков раскрытия информации, предусмотренной федеральными законами и принятыми в соответствии с ними иными нормативными правовыми актами, а равно раскрытие информации не в полном объеме, и (или) недостоверной информации, и (или) вводящей в заблуждение информации</v>
      </c>
    </row>
    <row r="249" spans="1:10" ht="64" x14ac:dyDescent="0.2">
      <c r="A249" s="16">
        <v>237</v>
      </c>
      <c r="B249" s="16" t="s">
        <v>305</v>
      </c>
      <c r="C249" s="17" t="s">
        <v>263</v>
      </c>
      <c r="D249" s="16" t="s">
        <v>996</v>
      </c>
      <c r="E249" s="16" t="s">
        <v>83</v>
      </c>
      <c r="F249" s="16" t="s">
        <v>11</v>
      </c>
      <c r="G249" s="16">
        <v>500000</v>
      </c>
      <c r="H249" s="16">
        <v>700000</v>
      </c>
      <c r="I249" s="18" t="e" cm="1">
        <f t="array" ref="I249">_xlfn.IFS(F249=H249,1,F249=G249,0,F249&lt;&gt;G249,(F249-G249)/(G249))</f>
        <v>#VALUE!</v>
      </c>
      <c r="J249" s="17" t="str">
        <f>VLOOKUP($E249,статьи!$G$2:$I$24,2,)</f>
        <v>Нарушение профессиональным участником рынка ценных бумаг, осуществляющим брокерскую или дилерскую деятельность либо деятельность по управлению ценными бумагами, установленных нормативными правовыми актами Российской Федерации правил ведения учета и составления отчетности</v>
      </c>
    </row>
    <row r="250" spans="1:10" ht="16" x14ac:dyDescent="0.2">
      <c r="A250" s="16">
        <v>238</v>
      </c>
      <c r="B250" s="16" t="s">
        <v>312</v>
      </c>
      <c r="C250" s="17" t="s">
        <v>313</v>
      </c>
      <c r="D250" s="16" t="s">
        <v>997</v>
      </c>
      <c r="E250" s="16" t="s">
        <v>23</v>
      </c>
      <c r="F250" s="16">
        <v>3000</v>
      </c>
      <c r="G250" s="16">
        <v>3000</v>
      </c>
      <c r="H250" s="16">
        <v>5000</v>
      </c>
      <c r="I250" s="18" cm="1">
        <f t="array" ref="I250">_xlfn.IFS(F250=H250,1,F250=G250,0,F250&lt;&gt;G250,(F250-G250)/(G250))</f>
        <v>0</v>
      </c>
      <c r="J250" s="17" t="str">
        <f>VLOOKUP($E250,статьи!$G$2:$I$24,2,)</f>
        <v>Манипулирование рынком, если это действие не содержит уголовно наказуемого деяния</v>
      </c>
    </row>
    <row r="251" spans="1:10" ht="16" x14ac:dyDescent="0.2">
      <c r="A251" s="16">
        <v>239</v>
      </c>
      <c r="B251" s="16" t="s">
        <v>312</v>
      </c>
      <c r="C251" s="17" t="s">
        <v>314</v>
      </c>
      <c r="D251" s="16" t="s">
        <v>997</v>
      </c>
      <c r="E251" s="16" t="s">
        <v>23</v>
      </c>
      <c r="F251" s="16">
        <v>3000</v>
      </c>
      <c r="G251" s="16">
        <v>3000</v>
      </c>
      <c r="H251" s="16">
        <v>5000</v>
      </c>
      <c r="I251" s="18" cm="1">
        <f t="array" ref="I251">_xlfn.IFS(F251=H251,1,F251=G251,0,F251&lt;&gt;G251,(F251-G251)/(G251))</f>
        <v>0</v>
      </c>
      <c r="J251" s="17" t="str">
        <f>VLOOKUP($E251,статьи!$G$2:$I$24,2,)</f>
        <v>Манипулирование рынком, если это действие не содержит уголовно наказуемого деяния</v>
      </c>
    </row>
    <row r="252" spans="1:10" ht="176" x14ac:dyDescent="0.2">
      <c r="A252" s="16">
        <v>240</v>
      </c>
      <c r="B252" s="16" t="s">
        <v>312</v>
      </c>
      <c r="C252" s="17" t="s">
        <v>315</v>
      </c>
      <c r="D252" s="16" t="s">
        <v>996</v>
      </c>
      <c r="E252" s="16" t="s">
        <v>80</v>
      </c>
      <c r="F252" s="16" t="s">
        <v>11</v>
      </c>
      <c r="G252" s="16">
        <v>700000</v>
      </c>
      <c r="H252" s="16">
        <v>1000000</v>
      </c>
      <c r="I252" s="18" t="e" cm="1">
        <f t="array" ref="I252">_xlfn.IFS(F252=H252,1,F252=G252,0,F252&lt;&gt;G252,(F252-G252)/(G252))</f>
        <v>#VALUE!</v>
      </c>
      <c r="J252" s="17" t="str">
        <f>VLOOKUP($E252,статьи!$G$2:$I$24,2,)</f>
        <v>2. Нераскрытие или нарушение эмитентом, профессиональным участником рынка ценных бумаг, клиринговой организацией, акционерным инвестиционным фондом, управляющей компанией акционерного инвестиционного фонда, паевого инвестиционного фонда или негосударственного пенсионного фонда, специализированным депозитарием акционерного инвестиционного фонда, паевого инвестиционного фонда или негосударственного пенсионного фонда либо лицом, оказывающим услуги по публичному представлению раскрываемой информации, порядка и сроков раскрытия информации, предусмотренной федеральными законами и принятыми в соответствии с ними иными нормативными правовыми актами, а равно раскрытие информации не в полном объеме, и (или) недостоверной информации, и (или) вводящей в заблуждение информации</v>
      </c>
    </row>
    <row r="253" spans="1:10" ht="176" x14ac:dyDescent="0.2">
      <c r="A253" s="16">
        <v>241</v>
      </c>
      <c r="B253" s="16" t="s">
        <v>312</v>
      </c>
      <c r="C253" s="17" t="s">
        <v>316</v>
      </c>
      <c r="D253" s="16" t="s">
        <v>996</v>
      </c>
      <c r="E253" s="16" t="s">
        <v>8</v>
      </c>
      <c r="F253" s="16" t="s">
        <v>11</v>
      </c>
      <c r="G253" s="16">
        <v>300000</v>
      </c>
      <c r="H253" s="16">
        <v>500000</v>
      </c>
      <c r="I253" s="18" t="e" cm="1">
        <f t="array" ref="I253">_xlfn.IFS(F253=H253,1,F253=G253,0,F253&lt;&gt;G253,(F253-G253)/(G253))</f>
        <v>#VALUE!</v>
      </c>
      <c r="J253" s="17" t="str">
        <f>VLOOKUP($E253,статьи!$G$2:$I$24,2,)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254" spans="1:10" ht="16" x14ac:dyDescent="0.2">
      <c r="A254" s="16">
        <v>242</v>
      </c>
      <c r="B254" s="16" t="s">
        <v>317</v>
      </c>
      <c r="C254" s="17" t="s">
        <v>318</v>
      </c>
      <c r="D254" s="16" t="s">
        <v>997</v>
      </c>
      <c r="E254" s="16" t="s">
        <v>23</v>
      </c>
      <c r="F254" s="16">
        <v>3000</v>
      </c>
      <c r="G254" s="16">
        <v>3000</v>
      </c>
      <c r="H254" s="16">
        <v>5000</v>
      </c>
      <c r="I254" s="18" cm="1">
        <f t="array" ref="I254">_xlfn.IFS(F254=H254,1,F254=G254,0,F254&lt;&gt;G254,(F254-G254)/(G254))</f>
        <v>0</v>
      </c>
      <c r="J254" s="17" t="str">
        <f>VLOOKUP($E254,статьи!$G$2:$I$24,2,)</f>
        <v>Манипулирование рынком, если это действие не содержит уголовно наказуемого деяния</v>
      </c>
    </row>
    <row r="255" spans="1:10" ht="176" x14ac:dyDescent="0.2">
      <c r="A255" s="16">
        <v>243</v>
      </c>
      <c r="B255" s="16" t="s">
        <v>317</v>
      </c>
      <c r="C255" s="17" t="s">
        <v>319</v>
      </c>
      <c r="D255" s="16" t="s">
        <v>996</v>
      </c>
      <c r="E255" s="16" t="s">
        <v>8</v>
      </c>
      <c r="F255" s="16" t="s">
        <v>11</v>
      </c>
      <c r="G255" s="16">
        <v>300000</v>
      </c>
      <c r="H255" s="16">
        <v>500000</v>
      </c>
      <c r="I255" s="18" t="e" cm="1">
        <f t="array" ref="I255">_xlfn.IFS(F255=H255,1,F255=G255,0,F255&lt;&gt;G255,(F255-G255)/(G255))</f>
        <v>#VALUE!</v>
      </c>
      <c r="J255" s="17" t="str">
        <f>VLOOKUP($E255,статьи!$G$2:$I$24,2,)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256" spans="1:10" ht="64" x14ac:dyDescent="0.2">
      <c r="A256" s="16">
        <v>244</v>
      </c>
      <c r="B256" s="16" t="s">
        <v>317</v>
      </c>
      <c r="C256" s="17" t="s">
        <v>99</v>
      </c>
      <c r="D256" s="16" t="s">
        <v>996</v>
      </c>
      <c r="E256" s="16" t="s">
        <v>7</v>
      </c>
      <c r="F256" s="16">
        <v>700000</v>
      </c>
      <c r="G256" s="16">
        <v>700000</v>
      </c>
      <c r="H256" s="16">
        <v>1000000</v>
      </c>
      <c r="I256" s="18" cm="1">
        <f t="array" ref="I256">_xlfn.IFS(F256=H256,1,F256=G256,0,F256&lt;&gt;G256,(F256-G256)/(G256))</f>
        <v>0</v>
      </c>
      <c r="J256" s="17" t="str">
        <f>VLOOKUP($E256,статьи!$G$2:$I$24,2,)</f>
        <v xml:space="preserve">Нарушение управляющей компанией акционерного инвестиционного фонда или паевого инвестиционного фонда предусмотренных федеральными законами и иными нормативными правовыми актами Российской Федерации ограничений ее деятельности -
</v>
      </c>
    </row>
    <row r="257" spans="1:10" ht="176" x14ac:dyDescent="0.2">
      <c r="A257" s="16">
        <v>244</v>
      </c>
      <c r="B257" s="16" t="s">
        <v>317</v>
      </c>
      <c r="C257" s="17" t="s">
        <v>99</v>
      </c>
      <c r="D257" s="16" t="s">
        <v>996</v>
      </c>
      <c r="E257" s="16" t="s">
        <v>8</v>
      </c>
      <c r="F257" s="16">
        <v>300000</v>
      </c>
      <c r="G257" s="16">
        <v>300000</v>
      </c>
      <c r="H257" s="16">
        <v>500000</v>
      </c>
      <c r="I257" s="18" cm="1">
        <f t="array" ref="I257">_xlfn.IFS(F257=H257,1,F257=G257,0,F257&lt;&gt;G257,(F257-G257)/(G257))</f>
        <v>0</v>
      </c>
      <c r="J257" s="17" t="str">
        <f>VLOOKUP($E257,статьи!$G$2:$I$24,2,)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258" spans="1:10" ht="64" x14ac:dyDescent="0.2">
      <c r="A258" s="16">
        <v>245</v>
      </c>
      <c r="B258" s="16" t="s">
        <v>317</v>
      </c>
      <c r="C258" s="17" t="s">
        <v>320</v>
      </c>
      <c r="D258" s="16" t="s">
        <v>996</v>
      </c>
      <c r="E258" s="16" t="s">
        <v>83</v>
      </c>
      <c r="F258" s="16" t="s">
        <v>11</v>
      </c>
      <c r="G258" s="16">
        <v>500000</v>
      </c>
      <c r="H258" s="16">
        <v>700000</v>
      </c>
      <c r="I258" s="18" t="e" cm="1">
        <f t="array" ref="I258">_xlfn.IFS(F258=H258,1,F258=G258,0,F258&lt;&gt;G258,(F258-G258)/(G258))</f>
        <v>#VALUE!</v>
      </c>
      <c r="J258" s="17" t="str">
        <f>VLOOKUP($E258,статьи!$G$2:$I$24,2,)</f>
        <v>Нарушение профессиональным участником рынка ценных бумаг, осуществляющим брокерскую или дилерскую деятельность либо деятельность по управлению ценными бумагами, установленных нормативными правовыми актами Российской Федерации правил ведения учета и составления отчетности</v>
      </c>
    </row>
    <row r="259" spans="1:10" ht="80" x14ac:dyDescent="0.2">
      <c r="A259" s="16">
        <v>246</v>
      </c>
      <c r="B259" s="16" t="s">
        <v>317</v>
      </c>
      <c r="C259" s="17" t="s">
        <v>285</v>
      </c>
      <c r="D259" s="16" t="s">
        <v>996</v>
      </c>
      <c r="E259" s="16" t="s">
        <v>72</v>
      </c>
      <c r="F259" s="16">
        <v>350000</v>
      </c>
      <c r="G259" s="16">
        <v>500000</v>
      </c>
      <c r="H259" s="16">
        <v>700000</v>
      </c>
      <c r="I259" s="18" cm="1">
        <f t="array" ref="I259">_xlfn.IFS(F259=H259,1,F259=G259,0,F259&lt;&gt;G259,(F259-G259)/(G259))</f>
        <v>-0.3</v>
      </c>
      <c r="J259" s="17" t="str">
        <f>VLOOKUP($E259,статьи!$G$2:$I$24,2,)</f>
        <v xml:space="preserve">9. Невыполнение в установленный срок законного предписания Банка России, за исключением случаев, предусмотренных частью 9.1 настоящей статьи, -
</v>
      </c>
    </row>
    <row r="260" spans="1:10" ht="16" x14ac:dyDescent="0.2">
      <c r="A260" s="16">
        <v>247</v>
      </c>
      <c r="B260" s="16" t="s">
        <v>321</v>
      </c>
      <c r="C260" s="17" t="s">
        <v>322</v>
      </c>
      <c r="D260" s="16" t="s">
        <v>997</v>
      </c>
      <c r="E260" s="16" t="s">
        <v>23</v>
      </c>
      <c r="F260" s="16">
        <v>3000</v>
      </c>
      <c r="G260" s="16">
        <v>3000</v>
      </c>
      <c r="H260" s="16">
        <v>5000</v>
      </c>
      <c r="I260" s="18" cm="1">
        <f t="array" ref="I260">_xlfn.IFS(F260=H260,1,F260=G260,0,F260&lt;&gt;G260,(F260-G260)/(G260))</f>
        <v>0</v>
      </c>
      <c r="J260" s="17" t="str">
        <f>VLOOKUP($E260,статьи!$G$2:$I$24,2,)</f>
        <v>Манипулирование рынком, если это действие не содержит уголовно наказуемого деяния</v>
      </c>
    </row>
    <row r="261" spans="1:10" ht="16" x14ac:dyDescent="0.2">
      <c r="A261" s="16">
        <v>248</v>
      </c>
      <c r="B261" s="16" t="s">
        <v>323</v>
      </c>
      <c r="C261" s="17" t="s">
        <v>324</v>
      </c>
      <c r="D261" s="16" t="s">
        <v>997</v>
      </c>
      <c r="E261" s="16" t="s">
        <v>23</v>
      </c>
      <c r="F261" s="16">
        <v>3000</v>
      </c>
      <c r="G261" s="16">
        <v>3000</v>
      </c>
      <c r="H261" s="16">
        <v>5000</v>
      </c>
      <c r="I261" s="18" cm="1">
        <f t="array" ref="I261">_xlfn.IFS(F261=H261,1,F261=G261,0,F261&lt;&gt;G261,(F261-G261)/(G261))</f>
        <v>0</v>
      </c>
      <c r="J261" s="17" t="str">
        <f>VLOOKUP($E261,статьи!$G$2:$I$24,2,)</f>
        <v>Манипулирование рынком, если это действие не содержит уголовно наказуемого деяния</v>
      </c>
    </row>
    <row r="262" spans="1:10" ht="16" x14ac:dyDescent="0.2">
      <c r="A262" s="16">
        <v>249</v>
      </c>
      <c r="B262" s="16" t="s">
        <v>323</v>
      </c>
      <c r="C262" s="17" t="s">
        <v>325</v>
      </c>
      <c r="D262" s="16" t="s">
        <v>997</v>
      </c>
      <c r="E262" s="16" t="s">
        <v>23</v>
      </c>
      <c r="F262" s="16">
        <v>3000</v>
      </c>
      <c r="G262" s="16">
        <v>3000</v>
      </c>
      <c r="H262" s="16">
        <v>5000</v>
      </c>
      <c r="I262" s="18" cm="1">
        <f t="array" ref="I262">_xlfn.IFS(F262=H262,1,F262=G262,0,F262&lt;&gt;G262,(F262-G262)/(G262))</f>
        <v>0</v>
      </c>
      <c r="J262" s="17" t="str">
        <f>VLOOKUP($E262,статьи!$G$2:$I$24,2,)</f>
        <v>Манипулирование рынком, если это действие не содержит уголовно наказуемого деяния</v>
      </c>
    </row>
    <row r="263" spans="1:10" ht="80" x14ac:dyDescent="0.2">
      <c r="A263" s="16">
        <v>250</v>
      </c>
      <c r="B263" s="16" t="s">
        <v>323</v>
      </c>
      <c r="C263" s="17" t="s">
        <v>326</v>
      </c>
      <c r="D263" s="16" t="s">
        <v>996</v>
      </c>
      <c r="E263" s="16" t="s">
        <v>327</v>
      </c>
      <c r="F263" s="16">
        <v>50000</v>
      </c>
      <c r="G263" s="16">
        <v>20000</v>
      </c>
      <c r="H263" s="16">
        <v>50000</v>
      </c>
      <c r="I263" s="18" cm="1">
        <f t="array" ref="I263">_xlfn.IFS(F263=H263,1,F263=G263,0,F263&lt;&gt;G263,(F263-G263)/(G263))</f>
        <v>1</v>
      </c>
      <c r="J263" s="17" t="str">
        <f>VLOOKUP($E263,статьи!$G$2:$I$24,2,)</f>
        <v>Непредоставление бюро кредитных историй кредитного отчета, предоставление неполного или недостоверного кредитного отчета, а также несвоевременное предоставление кредитного отчета в случаях, если такое предоставление осуществляется или должно осуществляться в соответствии с Федеральным законом "О кредитных историях"</v>
      </c>
    </row>
    <row r="264" spans="1:10" ht="176" x14ac:dyDescent="0.2">
      <c r="A264" s="16">
        <v>251</v>
      </c>
      <c r="B264" s="16" t="s">
        <v>328</v>
      </c>
      <c r="C264" s="17" t="s">
        <v>206</v>
      </c>
      <c r="D264" s="16" t="s">
        <v>996</v>
      </c>
      <c r="E264" s="16" t="s">
        <v>8</v>
      </c>
      <c r="F264" s="16">
        <v>350000</v>
      </c>
      <c r="G264" s="16">
        <v>300000</v>
      </c>
      <c r="H264" s="16">
        <v>500000</v>
      </c>
      <c r="I264" s="18" cm="1">
        <f t="array" ref="I264">_xlfn.IFS(F264=H264,1,F264=G264,0,F264&lt;&gt;G264,(F264-G264)/(G264))</f>
        <v>0.16666666666666666</v>
      </c>
      <c r="J264" s="17" t="str">
        <f>VLOOKUP($E264,статьи!$G$2:$I$24,2,)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265" spans="1:10" ht="32" x14ac:dyDescent="0.2">
      <c r="A265" s="16">
        <v>252</v>
      </c>
      <c r="B265" s="16" t="s">
        <v>329</v>
      </c>
      <c r="C265" s="17" t="s">
        <v>330</v>
      </c>
      <c r="D265" s="16" t="s">
        <v>996</v>
      </c>
      <c r="E265" s="16" t="s">
        <v>129</v>
      </c>
      <c r="F265" s="16">
        <v>10000</v>
      </c>
      <c r="G265" s="16">
        <v>10000</v>
      </c>
      <c r="H265" s="16">
        <v>20000</v>
      </c>
      <c r="I265" s="18" cm="1">
        <f t="array" ref="I265">_xlfn.IFS(F265=H265,1,F265=G265,0,F265&lt;&gt;G265,(F265-G265)/(G265))</f>
        <v>0</v>
      </c>
      <c r="J265" s="17" t="str">
        <f>VLOOKUP($E265,статьи!$G$2:$I$24,2,)</f>
        <v>Нарушение бюро кредитных историй установленного порядка сбора, хранения, защиты и обработки сведений, составляющих кредитную историю</v>
      </c>
    </row>
    <row r="266" spans="1:10" ht="16" x14ac:dyDescent="0.2">
      <c r="A266" s="16">
        <v>253</v>
      </c>
      <c r="B266" s="16" t="s">
        <v>329</v>
      </c>
      <c r="C266" s="17" t="s">
        <v>331</v>
      </c>
      <c r="D266" s="16" t="s">
        <v>997</v>
      </c>
      <c r="E266" s="16" t="s">
        <v>23</v>
      </c>
      <c r="F266" s="16">
        <v>3000</v>
      </c>
      <c r="G266" s="16">
        <v>3000</v>
      </c>
      <c r="H266" s="16">
        <v>5000</v>
      </c>
      <c r="I266" s="18" cm="1">
        <f t="array" ref="I266">_xlfn.IFS(F266=H266,1,F266=G266,0,F266&lt;&gt;G266,(F266-G266)/(G266))</f>
        <v>0</v>
      </c>
      <c r="J266" s="17" t="str">
        <f>VLOOKUP($E266,статьи!$G$2:$I$24,2,)</f>
        <v>Манипулирование рынком, если это действие не содержит уголовно наказуемого деяния</v>
      </c>
    </row>
    <row r="267" spans="1:10" ht="80" x14ac:dyDescent="0.2">
      <c r="A267" s="16">
        <v>254</v>
      </c>
      <c r="B267" s="16" t="s">
        <v>329</v>
      </c>
      <c r="C267" s="17" t="s">
        <v>215</v>
      </c>
      <c r="D267" s="16" t="s">
        <v>996</v>
      </c>
      <c r="E267" s="16" t="s">
        <v>72</v>
      </c>
      <c r="F267" s="16">
        <v>250000</v>
      </c>
      <c r="G267" s="16">
        <v>500000</v>
      </c>
      <c r="H267" s="16">
        <v>700000</v>
      </c>
      <c r="I267" s="18" cm="1">
        <f t="array" ref="I267">_xlfn.IFS(F267=H267,1,F267=G267,0,F267&lt;&gt;G267,(F267-G267)/(G267))</f>
        <v>-0.5</v>
      </c>
      <c r="J267" s="17" t="str">
        <f>VLOOKUP($E267,статьи!$G$2:$I$24,2,)</f>
        <v xml:space="preserve">9. Невыполнение в установленный срок законного предписания Банка России, за исключением случаев, предусмотренных частью 9.1 настоящей статьи, -
</v>
      </c>
    </row>
    <row r="268" spans="1:10" ht="176" x14ac:dyDescent="0.2">
      <c r="A268" s="16">
        <v>255</v>
      </c>
      <c r="B268" s="16" t="s">
        <v>329</v>
      </c>
      <c r="C268" s="17" t="s">
        <v>85</v>
      </c>
      <c r="D268" s="16" t="s">
        <v>996</v>
      </c>
      <c r="E268" s="16" t="s">
        <v>80</v>
      </c>
      <c r="F268" s="16">
        <v>700000</v>
      </c>
      <c r="G268" s="16">
        <v>700000</v>
      </c>
      <c r="H268" s="16">
        <v>1000000</v>
      </c>
      <c r="I268" s="18" cm="1">
        <f t="array" ref="I268">_xlfn.IFS(F268=H268,1,F268=G268,0,F268&lt;&gt;G268,(F268-G268)/(G268))</f>
        <v>0</v>
      </c>
      <c r="J268" s="17" t="str">
        <f>VLOOKUP($E268,статьи!$G$2:$I$24,2,)</f>
        <v>2. Нераскрытие или нарушение эмитентом, профессиональным участником рынка ценных бумаг, клиринговой организацией, акционерным инвестиционным фондом, управляющей компанией акционерного инвестиционного фонда, паевого инвестиционного фонда или негосударственного пенсионного фонда, специализированным депозитарием акционерного инвестиционного фонда, паевого инвестиционного фонда или негосударственного пенсионного фонда либо лицом, оказывающим услуги по публичному представлению раскрываемой информации, порядка и сроков раскрытия информации, предусмотренной федеральными законами и принятыми в соответствии с ними иными нормативными правовыми актами, а равно раскрытие информации не в полном объеме, и (или) недостоверной информации, и (или) вводящей в заблуждение информации</v>
      </c>
    </row>
    <row r="269" spans="1:10" ht="176" x14ac:dyDescent="0.2">
      <c r="A269" s="16">
        <v>256</v>
      </c>
      <c r="B269" s="16" t="s">
        <v>329</v>
      </c>
      <c r="C269" s="17" t="s">
        <v>332</v>
      </c>
      <c r="D269" s="16" t="s">
        <v>996</v>
      </c>
      <c r="E269" s="16" t="s">
        <v>8</v>
      </c>
      <c r="F269" s="16" t="s">
        <v>11</v>
      </c>
      <c r="G269" s="16">
        <v>300000</v>
      </c>
      <c r="H269" s="16">
        <v>500000</v>
      </c>
      <c r="I269" s="18" t="e" cm="1">
        <f t="array" ref="I269">_xlfn.IFS(F269=H269,1,F269=G269,0,F269&lt;&gt;G269,(F269-G269)/(G269))</f>
        <v>#VALUE!</v>
      </c>
      <c r="J269" s="17" t="str">
        <f>VLOOKUP($E269,статьи!$G$2:$I$24,2,)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270" spans="1:10" ht="16" x14ac:dyDescent="0.2">
      <c r="A270" s="16">
        <v>257</v>
      </c>
      <c r="B270" s="16" t="s">
        <v>333</v>
      </c>
      <c r="C270" s="17" t="s">
        <v>334</v>
      </c>
      <c r="D270" s="16" t="s">
        <v>997</v>
      </c>
      <c r="E270" s="16" t="s">
        <v>23</v>
      </c>
      <c r="F270" s="16">
        <v>30000</v>
      </c>
      <c r="G270" s="16">
        <v>3000</v>
      </c>
      <c r="H270" s="16">
        <v>5000</v>
      </c>
      <c r="I270" s="18" cm="1">
        <f t="array" ref="I270">_xlfn.IFS(F270=H270,1,F270=G270,0,F270&lt;&gt;G270,(F270-G270)/(G270))</f>
        <v>9</v>
      </c>
      <c r="J270" s="17" t="str">
        <f>VLOOKUP($E270,статьи!$G$2:$I$24,2,)</f>
        <v>Манипулирование рынком, если это действие не содержит уголовно наказуемого деяния</v>
      </c>
    </row>
    <row r="271" spans="1:10" ht="16" x14ac:dyDescent="0.2">
      <c r="A271" s="16">
        <v>258</v>
      </c>
      <c r="B271" s="16" t="s">
        <v>333</v>
      </c>
      <c r="C271" s="17" t="s">
        <v>335</v>
      </c>
      <c r="D271" s="16" t="s">
        <v>997</v>
      </c>
      <c r="E271" s="16" t="s">
        <v>23</v>
      </c>
      <c r="F271" s="16">
        <v>3000</v>
      </c>
      <c r="G271" s="16">
        <v>3000</v>
      </c>
      <c r="H271" s="16">
        <v>5000</v>
      </c>
      <c r="I271" s="18" cm="1">
        <f t="array" ref="I271">_xlfn.IFS(F271=H271,1,F271=G271,0,F271&lt;&gt;G271,(F271-G271)/(G271))</f>
        <v>0</v>
      </c>
      <c r="J271" s="17" t="str">
        <f>VLOOKUP($E271,статьи!$G$2:$I$24,2,)</f>
        <v>Манипулирование рынком, если это действие не содержит уголовно наказуемого деяния</v>
      </c>
    </row>
    <row r="272" spans="1:10" ht="16" x14ac:dyDescent="0.2">
      <c r="A272" s="16">
        <v>259</v>
      </c>
      <c r="B272" s="16" t="s">
        <v>333</v>
      </c>
      <c r="C272" s="17" t="s">
        <v>336</v>
      </c>
      <c r="D272" s="16" t="s">
        <v>997</v>
      </c>
      <c r="E272" s="16" t="s">
        <v>23</v>
      </c>
      <c r="F272" s="16">
        <v>3000</v>
      </c>
      <c r="G272" s="16">
        <v>3000</v>
      </c>
      <c r="H272" s="16">
        <v>5000</v>
      </c>
      <c r="I272" s="18" cm="1">
        <f t="array" ref="I272">_xlfn.IFS(F272=H272,1,F272=G272,0,F272&lt;&gt;G272,(F272-G272)/(G272))</f>
        <v>0</v>
      </c>
      <c r="J272" s="17" t="str">
        <f>VLOOKUP($E272,статьи!$G$2:$I$24,2,)</f>
        <v>Манипулирование рынком, если это действие не содержит уголовно наказуемого деяния</v>
      </c>
    </row>
    <row r="273" spans="1:10" ht="80" x14ac:dyDescent="0.2">
      <c r="A273" s="16">
        <v>260</v>
      </c>
      <c r="B273" s="16" t="s">
        <v>333</v>
      </c>
      <c r="C273" s="17" t="s">
        <v>285</v>
      </c>
      <c r="D273" s="16" t="s">
        <v>996</v>
      </c>
      <c r="E273" s="16" t="s">
        <v>72</v>
      </c>
      <c r="F273" s="16">
        <v>250000</v>
      </c>
      <c r="G273" s="16">
        <v>500000</v>
      </c>
      <c r="H273" s="16">
        <v>700000</v>
      </c>
      <c r="I273" s="18" cm="1">
        <f t="array" ref="I273">_xlfn.IFS(F273=H273,1,F273=G273,0,F273&lt;&gt;G273,(F273-G273)/(G273))</f>
        <v>-0.5</v>
      </c>
      <c r="J273" s="17" t="str">
        <f>VLOOKUP($E273,статьи!$G$2:$I$24,2,)</f>
        <v xml:space="preserve">9. Невыполнение в установленный срок законного предписания Банка России, за исключением случаев, предусмотренных частью 9.1 настоящей статьи, -
</v>
      </c>
    </row>
    <row r="274" spans="1:10" ht="224" x14ac:dyDescent="0.2">
      <c r="A274" s="16">
        <v>261</v>
      </c>
      <c r="B274" s="16" t="s">
        <v>333</v>
      </c>
      <c r="C274" s="17" t="s">
        <v>337</v>
      </c>
      <c r="D274" s="16" t="s">
        <v>996</v>
      </c>
      <c r="E274" s="16" t="s">
        <v>75</v>
      </c>
      <c r="F274" s="16">
        <v>350000</v>
      </c>
      <c r="G274" s="16">
        <v>500000</v>
      </c>
      <c r="H274" s="16">
        <v>700000</v>
      </c>
      <c r="I274" s="18" cm="1">
        <f t="array" ref="I274">_xlfn.IFS(F274=H274,1,F274=G274,0,F274&lt;&gt;G274,(F274-G274)/(G274))</f>
        <v>-0.3</v>
      </c>
      <c r="J274" s="17" t="str">
        <f>VLOOKUP($E274,статьи!$G$2:$I$24,2,)</f>
        <v xml:space="preserve">
1. Непредставление или нарушение порядка либо сроков представления в Банк России отчетов, уведомлений и иной информации, предусмотренной законодательством и (или) необходимой для осуществления этим органом (должностным лицом) его законной деятельности, либо представление информации не в полном объеме и (или) недостоверной информации, за исключением случаев, если в соответствии со страховым законодательством, законодательством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Банком России дается законное предписание об устранении нарушения страхового законодательства, законодательства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и случаев, указанных в части 2 настоящей статьи, если эти действия (бездействие) не содержат признаков уголовно наказуемого деяния</v>
      </c>
    </row>
    <row r="275" spans="1:10" ht="128" x14ac:dyDescent="0.2">
      <c r="A275" s="16">
        <v>262</v>
      </c>
      <c r="B275" s="16" t="s">
        <v>338</v>
      </c>
      <c r="C275" s="17" t="s">
        <v>339</v>
      </c>
      <c r="D275" s="16" t="s">
        <v>996</v>
      </c>
      <c r="E275" s="16" t="s">
        <v>340</v>
      </c>
      <c r="F275" s="16" t="s">
        <v>11</v>
      </c>
      <c r="G275" s="16">
        <v>500000</v>
      </c>
      <c r="H275" s="16">
        <v>700000</v>
      </c>
      <c r="I275" s="18" t="e" cm="1">
        <f t="array" ref="I275">_xlfn.IFS(F275=H275,1,F275=G275,0,F275&lt;&gt;G275,(F275-G275)/(G275))</f>
        <v>#VALUE!</v>
      </c>
      <c r="J275" s="17" t="str">
        <f>VLOOKUP($E275,статьи!$G$2:$I$24,2,)</f>
        <v xml:space="preserve"> Нарушение негосударственным пенсионным фондом состава активов, в которые размещены пенсионные резервы (инвестированы пенсионные накопления), структуры пенсионных резервов (активов, в которые инвестированы пенсионные накопления) или требований к формированию и использованию страхового резерва негосударственного пенсионного фонда, несоблюдение норматива страхового резерва, нецелевое использование средств пенсионных резервов (средств пенсионных накоплений) либо просрочка выплат пенсий или выплат правопреемникам (в том числе неправильное исчисление выплат)</v>
      </c>
    </row>
    <row r="276" spans="1:10" ht="224" x14ac:dyDescent="0.2">
      <c r="A276" s="16">
        <v>263</v>
      </c>
      <c r="B276" s="16" t="s">
        <v>338</v>
      </c>
      <c r="C276" s="17" t="s">
        <v>341</v>
      </c>
      <c r="D276" s="16" t="s">
        <v>996</v>
      </c>
      <c r="E276" s="16" t="s">
        <v>75</v>
      </c>
      <c r="F276" s="16">
        <v>250000</v>
      </c>
      <c r="G276" s="16">
        <v>500000</v>
      </c>
      <c r="H276" s="16">
        <v>700000</v>
      </c>
      <c r="I276" s="18" cm="1">
        <f t="array" ref="I276">_xlfn.IFS(F276=H276,1,F276=G276,0,F276&lt;&gt;G276,(F276-G276)/(G276))</f>
        <v>-0.5</v>
      </c>
      <c r="J276" s="17" t="str">
        <f>VLOOKUP($E276,статьи!$G$2:$I$24,2,)</f>
        <v xml:space="preserve">
1. Непредставление или нарушение порядка либо сроков представления в Банк России отчетов, уведомлений и иной информации, предусмотренной законодательством и (или) необходимой для осуществления этим органом (должностным лицом) его законной деятельности, либо представление информации не в полном объеме и (или) недостоверной информации, за исключением случаев, если в соответствии со страховым законодательством, законодательством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Банком России дается законное предписание об устранении нарушения страхового законодательства, законодательства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и случаев, указанных в части 2 настоящей статьи, если эти действия (бездействие) не содержат признаков уголовно наказуемого деяния</v>
      </c>
    </row>
    <row r="277" spans="1:10" ht="176" x14ac:dyDescent="0.2">
      <c r="A277" s="16">
        <v>265</v>
      </c>
      <c r="B277" s="16" t="s">
        <v>342</v>
      </c>
      <c r="C277" s="17" t="s">
        <v>343</v>
      </c>
      <c r="D277" s="16" t="s">
        <v>996</v>
      </c>
      <c r="E277" s="16" t="s">
        <v>8</v>
      </c>
      <c r="F277" s="16" t="s">
        <v>11</v>
      </c>
      <c r="G277" s="16">
        <v>300000</v>
      </c>
      <c r="H277" s="16">
        <v>500000</v>
      </c>
      <c r="I277" s="18" t="e" cm="1">
        <f t="array" ref="I277">_xlfn.IFS(F277=H277,1,F277=G277,0,F277&lt;&gt;G277,(F277-G277)/(G277))</f>
        <v>#VALUE!</v>
      </c>
      <c r="J277" s="17" t="str">
        <f>VLOOKUP($E277,статьи!$G$2:$I$24,2,)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278" spans="1:10" ht="16" x14ac:dyDescent="0.2">
      <c r="A278" s="16">
        <v>267</v>
      </c>
      <c r="B278" s="16" t="s">
        <v>344</v>
      </c>
      <c r="C278" s="17" t="s">
        <v>345</v>
      </c>
      <c r="D278" s="16" t="s">
        <v>997</v>
      </c>
      <c r="E278" s="16" t="s">
        <v>23</v>
      </c>
      <c r="F278" s="16">
        <v>3000</v>
      </c>
      <c r="G278" s="16">
        <v>3000</v>
      </c>
      <c r="H278" s="16">
        <v>5000</v>
      </c>
      <c r="I278" s="18" cm="1">
        <f t="array" ref="I278">_xlfn.IFS(F278=H278,1,F278=G278,0,F278&lt;&gt;G278,(F278-G278)/(G278))</f>
        <v>0</v>
      </c>
      <c r="J278" s="17" t="str">
        <f>VLOOKUP($E278,статьи!$G$2:$I$24,2,)</f>
        <v>Манипулирование рынком, если это действие не содержит уголовно наказуемого деяния</v>
      </c>
    </row>
    <row r="279" spans="1:10" ht="16" x14ac:dyDescent="0.2">
      <c r="A279" s="16">
        <v>268</v>
      </c>
      <c r="B279" s="16" t="s">
        <v>344</v>
      </c>
      <c r="C279" s="17" t="s">
        <v>346</v>
      </c>
      <c r="D279" s="16" t="s">
        <v>997</v>
      </c>
      <c r="E279" s="16" t="s">
        <v>23</v>
      </c>
      <c r="F279" s="16">
        <v>3000</v>
      </c>
      <c r="G279" s="16">
        <v>3000</v>
      </c>
      <c r="H279" s="16">
        <v>5000</v>
      </c>
      <c r="I279" s="18" cm="1">
        <f t="array" ref="I279">_xlfn.IFS(F279=H279,1,F279=G279,0,F279&lt;&gt;G279,(F279-G279)/(G279))</f>
        <v>0</v>
      </c>
      <c r="J279" s="17" t="str">
        <f>VLOOKUP($E279,статьи!$G$2:$I$24,2,)</f>
        <v>Манипулирование рынком, если это действие не содержит уголовно наказуемого деяния</v>
      </c>
    </row>
    <row r="280" spans="1:10" ht="16" x14ac:dyDescent="0.2">
      <c r="A280" s="16">
        <v>269</v>
      </c>
      <c r="B280" s="16" t="s">
        <v>344</v>
      </c>
      <c r="C280" s="17" t="s">
        <v>347</v>
      </c>
      <c r="D280" s="16" t="s">
        <v>997</v>
      </c>
      <c r="E280" s="16" t="s">
        <v>23</v>
      </c>
      <c r="F280" s="16">
        <v>3000</v>
      </c>
      <c r="G280" s="16">
        <v>3000</v>
      </c>
      <c r="H280" s="16">
        <v>5000</v>
      </c>
      <c r="I280" s="18" cm="1">
        <f t="array" ref="I280">_xlfn.IFS(F280=H280,1,F280=G280,0,F280&lt;&gt;G280,(F280-G280)/(G280))</f>
        <v>0</v>
      </c>
      <c r="J280" s="17" t="str">
        <f>VLOOKUP($E280,статьи!$G$2:$I$24,2,)</f>
        <v>Манипулирование рынком, если это действие не содержит уголовно наказуемого деяния</v>
      </c>
    </row>
    <row r="281" spans="1:10" ht="16" x14ac:dyDescent="0.2">
      <c r="A281" s="16">
        <v>270</v>
      </c>
      <c r="B281" s="16" t="s">
        <v>344</v>
      </c>
      <c r="C281" s="17" t="s">
        <v>348</v>
      </c>
      <c r="D281" s="16" t="s">
        <v>997</v>
      </c>
      <c r="E281" s="16" t="s">
        <v>23</v>
      </c>
      <c r="F281" s="16">
        <v>3000</v>
      </c>
      <c r="G281" s="16">
        <v>3000</v>
      </c>
      <c r="H281" s="16">
        <v>5000</v>
      </c>
      <c r="I281" s="18" cm="1">
        <f t="array" ref="I281">_xlfn.IFS(F281=H281,1,F281=G281,0,F281&lt;&gt;G281,(F281-G281)/(G281))</f>
        <v>0</v>
      </c>
      <c r="J281" s="17" t="str">
        <f>VLOOKUP($E281,статьи!$G$2:$I$24,2,)</f>
        <v>Манипулирование рынком, если это действие не содержит уголовно наказуемого деяния</v>
      </c>
    </row>
    <row r="282" spans="1:10" ht="16" x14ac:dyDescent="0.2">
      <c r="A282" s="16">
        <v>271</v>
      </c>
      <c r="B282" s="16" t="s">
        <v>344</v>
      </c>
      <c r="C282" s="17" t="s">
        <v>349</v>
      </c>
      <c r="D282" s="16" t="s">
        <v>997</v>
      </c>
      <c r="E282" s="16" t="s">
        <v>23</v>
      </c>
      <c r="F282" s="16">
        <v>3000</v>
      </c>
      <c r="G282" s="16">
        <v>3000</v>
      </c>
      <c r="H282" s="16">
        <v>5000</v>
      </c>
      <c r="I282" s="18" cm="1">
        <f t="array" ref="I282">_xlfn.IFS(F282=H282,1,F282=G282,0,F282&lt;&gt;G282,(F282-G282)/(G282))</f>
        <v>0</v>
      </c>
      <c r="J282" s="17" t="str">
        <f>VLOOKUP($E282,статьи!$G$2:$I$24,2,)</f>
        <v>Манипулирование рынком, если это действие не содержит уголовно наказуемого деяния</v>
      </c>
    </row>
    <row r="283" spans="1:10" ht="16" x14ac:dyDescent="0.2">
      <c r="A283" s="16">
        <v>272</v>
      </c>
      <c r="B283" s="16" t="s">
        <v>344</v>
      </c>
      <c r="C283" s="17" t="s">
        <v>350</v>
      </c>
      <c r="D283" s="16" t="s">
        <v>997</v>
      </c>
      <c r="E283" s="16" t="s">
        <v>23</v>
      </c>
      <c r="F283" s="16">
        <v>3000</v>
      </c>
      <c r="G283" s="16">
        <v>3000</v>
      </c>
      <c r="H283" s="16">
        <v>5000</v>
      </c>
      <c r="I283" s="18" cm="1">
        <f t="array" ref="I283">_xlfn.IFS(F283=H283,1,F283=G283,0,F283&lt;&gt;G283,(F283-G283)/(G283))</f>
        <v>0</v>
      </c>
      <c r="J283" s="17" t="str">
        <f>VLOOKUP($E283,статьи!$G$2:$I$24,2,)</f>
        <v>Манипулирование рынком, если это действие не содержит уголовно наказуемого деяния</v>
      </c>
    </row>
    <row r="284" spans="1:10" ht="224" x14ac:dyDescent="0.2">
      <c r="A284" s="16">
        <v>273</v>
      </c>
      <c r="B284" s="16" t="s">
        <v>344</v>
      </c>
      <c r="C284" s="17" t="s">
        <v>351</v>
      </c>
      <c r="D284" s="16" t="s">
        <v>996</v>
      </c>
      <c r="E284" s="16" t="s">
        <v>75</v>
      </c>
      <c r="F284" s="16">
        <v>250000</v>
      </c>
      <c r="G284" s="16">
        <v>500000</v>
      </c>
      <c r="H284" s="16">
        <v>700000</v>
      </c>
      <c r="I284" s="18" cm="1">
        <f t="array" ref="I284">_xlfn.IFS(F284=H284,1,F284=G284,0,F284&lt;&gt;G284,(F284-G284)/(G284))</f>
        <v>-0.5</v>
      </c>
      <c r="J284" s="17" t="str">
        <f>VLOOKUP($E284,статьи!$G$2:$I$24,2,)</f>
        <v xml:space="preserve">
1. Непредставление или нарушение порядка либо сроков представления в Банк России отчетов, уведомлений и иной информации, предусмотренной законодательством и (или) необходимой для осуществления этим органом (должностным лицом) его законной деятельности, либо представление информации не в полном объеме и (или) недостоверной информации, за исключением случаев, если в соответствии со страховым законодательством, законодательством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Банком России дается законное предписание об устранении нарушения страхового законодательства, законодательства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и случаев, указанных в части 2 настоящей статьи, если эти действия (бездействие) не содержат признаков уголовно наказуемого деяния</v>
      </c>
    </row>
    <row r="285" spans="1:10" ht="64" x14ac:dyDescent="0.2">
      <c r="A285" s="16">
        <v>274</v>
      </c>
      <c r="B285" s="16" t="s">
        <v>344</v>
      </c>
      <c r="C285" s="17" t="s">
        <v>85</v>
      </c>
      <c r="D285" s="16" t="s">
        <v>996</v>
      </c>
      <c r="E285" s="16" t="s">
        <v>7</v>
      </c>
      <c r="F285" s="16">
        <v>700000</v>
      </c>
      <c r="G285" s="16">
        <v>700000</v>
      </c>
      <c r="H285" s="16">
        <v>1000000</v>
      </c>
      <c r="I285" s="18" cm="1">
        <f t="array" ref="I285">_xlfn.IFS(F285=H285,1,F285=G285,0,F285&lt;&gt;G285,(F285-G285)/(G285))</f>
        <v>0</v>
      </c>
      <c r="J285" s="17" t="str">
        <f>VLOOKUP($E285,статьи!$G$2:$I$24,2,)</f>
        <v xml:space="preserve">Нарушение управляющей компанией акционерного инвестиционного фонда или паевого инвестиционного фонда предусмотренных федеральными законами и иными нормативными правовыми актами Российской Федерации ограничений ее деятельности -
</v>
      </c>
    </row>
    <row r="286" spans="1:10" ht="16" x14ac:dyDescent="0.2">
      <c r="A286" s="16">
        <v>278</v>
      </c>
      <c r="B286" s="16" t="s">
        <v>352</v>
      </c>
      <c r="C286" s="17" t="s">
        <v>353</v>
      </c>
      <c r="D286" s="16" t="s">
        <v>997</v>
      </c>
      <c r="E286" s="16" t="s">
        <v>23</v>
      </c>
      <c r="F286" s="16">
        <v>3000</v>
      </c>
      <c r="G286" s="16">
        <v>3000</v>
      </c>
      <c r="H286" s="16">
        <v>5000</v>
      </c>
      <c r="I286" s="18" cm="1">
        <f t="array" ref="I286">_xlfn.IFS(F286=H286,1,F286=G286,0,F286&lt;&gt;G286,(F286-G286)/(G286))</f>
        <v>0</v>
      </c>
      <c r="J286" s="17" t="str">
        <f>VLOOKUP($E286,статьи!$G$2:$I$24,2,)</f>
        <v>Манипулирование рынком, если это действие не содержит уголовно наказуемого деяния</v>
      </c>
    </row>
    <row r="287" spans="1:10" ht="80" x14ac:dyDescent="0.2">
      <c r="A287" s="16">
        <v>279</v>
      </c>
      <c r="B287" s="16" t="s">
        <v>354</v>
      </c>
      <c r="C287" s="17" t="s">
        <v>355</v>
      </c>
      <c r="D287" s="16" t="s">
        <v>996</v>
      </c>
      <c r="E287" s="16" t="s">
        <v>327</v>
      </c>
      <c r="F287" s="16" t="s">
        <v>11</v>
      </c>
      <c r="G287" s="16">
        <v>20000</v>
      </c>
      <c r="H287" s="16">
        <v>50000</v>
      </c>
      <c r="I287" s="18" t="e" cm="1">
        <f t="array" ref="I287">_xlfn.IFS(F287=H287,1,F287=G287,0,F287&lt;&gt;G287,(F287-G287)/(G287))</f>
        <v>#VALUE!</v>
      </c>
      <c r="J287" s="17" t="str">
        <f>VLOOKUP($E287,статьи!$G$2:$I$24,2,)</f>
        <v>Непредоставление бюро кредитных историй кредитного отчета, предоставление неполного или недостоверного кредитного отчета, а также несвоевременное предоставление кредитного отчета в случаях, если такое предоставление осуществляется или должно осуществляться в соответствии с Федеральным законом "О кредитных историях"</v>
      </c>
    </row>
    <row r="288" spans="1:10" ht="224" x14ac:dyDescent="0.2">
      <c r="A288" s="16">
        <v>280</v>
      </c>
      <c r="B288" s="16" t="s">
        <v>354</v>
      </c>
      <c r="C288" s="17" t="s">
        <v>166</v>
      </c>
      <c r="D288" s="16" t="s">
        <v>996</v>
      </c>
      <c r="E288" s="16" t="s">
        <v>75</v>
      </c>
      <c r="F288" s="16">
        <v>700000</v>
      </c>
      <c r="G288" s="16">
        <v>500000</v>
      </c>
      <c r="H288" s="16">
        <v>700000</v>
      </c>
      <c r="I288" s="18" cm="1">
        <f t="array" ref="I288">_xlfn.IFS(F288=H288,1,F288=G288,0,F288&lt;&gt;G288,(F288-G288)/(G288))</f>
        <v>1</v>
      </c>
      <c r="J288" s="17" t="str">
        <f>VLOOKUP($E288,статьи!$G$2:$I$24,2,)</f>
        <v xml:space="preserve">
1. Непредставление или нарушение порядка либо сроков представления в Банк России отчетов, уведомлений и иной информации, предусмотренной законодательством и (или) необходимой для осуществления этим органом (должностным лицом) его законной деятельности, либо представление информации не в полном объеме и (или) недостоверной информации, за исключением случаев, если в соответствии со страховым законодательством, законодательством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Банком России дается законное предписание об устранении нарушения страхового законодательства, законодательства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и случаев, указанных в части 2 настоящей статьи, если эти действия (бездействие) не содержат признаков уголовно наказуемого деяния</v>
      </c>
    </row>
    <row r="289" spans="1:10" ht="16" x14ac:dyDescent="0.2">
      <c r="A289" s="16">
        <v>283</v>
      </c>
      <c r="B289" s="16" t="s">
        <v>354</v>
      </c>
      <c r="C289" s="17" t="s">
        <v>356</v>
      </c>
      <c r="D289" s="16" t="s">
        <v>997</v>
      </c>
      <c r="E289" s="16" t="s">
        <v>23</v>
      </c>
      <c r="F289" s="16">
        <v>30000</v>
      </c>
      <c r="G289" s="16">
        <v>3000</v>
      </c>
      <c r="H289" s="16">
        <v>5000</v>
      </c>
      <c r="I289" s="18" cm="1">
        <f t="array" ref="I289">_xlfn.IFS(F289=H289,1,F289=G289,0,F289&lt;&gt;G289,(F289-G289)/(G289))</f>
        <v>9</v>
      </c>
      <c r="J289" s="17" t="str">
        <f>VLOOKUP($E289,статьи!$G$2:$I$24,2,)</f>
        <v>Манипулирование рынком, если это действие не содержит уголовно наказуемого деяния</v>
      </c>
    </row>
    <row r="290" spans="1:10" ht="80" x14ac:dyDescent="0.2">
      <c r="A290" s="16">
        <v>285</v>
      </c>
      <c r="B290" s="16" t="s">
        <v>357</v>
      </c>
      <c r="C290" s="17" t="s">
        <v>358</v>
      </c>
      <c r="D290" s="16" t="s">
        <v>996</v>
      </c>
      <c r="E290" s="16" t="s">
        <v>72</v>
      </c>
      <c r="F290" s="16">
        <v>250000</v>
      </c>
      <c r="G290" s="16">
        <v>500000</v>
      </c>
      <c r="H290" s="16">
        <v>700000</v>
      </c>
      <c r="I290" s="18" cm="1">
        <f t="array" ref="I290">_xlfn.IFS(F290=H290,1,F290=G290,0,F290&lt;&gt;G290,(F290-G290)/(G290))</f>
        <v>-0.5</v>
      </c>
      <c r="J290" s="17" t="str">
        <f>VLOOKUP($E290,статьи!$G$2:$I$24,2,)</f>
        <v xml:space="preserve">9. Невыполнение в установленный срок законного предписания Банка России, за исключением случаев, предусмотренных частью 9.1 настоящей статьи, -
</v>
      </c>
    </row>
    <row r="291" spans="1:10" ht="176" x14ac:dyDescent="0.2">
      <c r="A291" s="16">
        <v>286</v>
      </c>
      <c r="B291" s="16" t="s">
        <v>357</v>
      </c>
      <c r="C291" s="17" t="s">
        <v>85</v>
      </c>
      <c r="D291" s="16" t="s">
        <v>996</v>
      </c>
      <c r="E291" s="16" t="s">
        <v>80</v>
      </c>
      <c r="F291" s="16">
        <v>700000</v>
      </c>
      <c r="G291" s="16">
        <v>700000</v>
      </c>
      <c r="H291" s="16">
        <v>1000000</v>
      </c>
      <c r="I291" s="18" cm="1">
        <f t="array" ref="I291">_xlfn.IFS(F291=H291,1,F291=G291,0,F291&lt;&gt;G291,(F291-G291)/(G291))</f>
        <v>0</v>
      </c>
      <c r="J291" s="17" t="str">
        <f>VLOOKUP($E291,статьи!$G$2:$I$24,2,)</f>
        <v>2. Нераскрытие или нарушение эмитентом, профессиональным участником рынка ценных бумаг, клиринговой организацией, акционерным инвестиционным фондом, управляющей компанией акционерного инвестиционного фонда, паевого инвестиционного фонда или негосударственного пенсионного фонда, специализированным депозитарием акционерного инвестиционного фонда, паевого инвестиционного фонда или негосударственного пенсионного фонда либо лицом, оказывающим услуги по публичному представлению раскрываемой информации, порядка и сроков раскрытия информации, предусмотренной федеральными законами и принятыми в соответствии с ними иными нормативными правовыми актами, а равно раскрытие информации не в полном объеме, и (или) недостоверной информации, и (или) вводящей в заблуждение информации</v>
      </c>
    </row>
    <row r="292" spans="1:10" ht="16" x14ac:dyDescent="0.2">
      <c r="A292" s="16">
        <v>289</v>
      </c>
      <c r="B292" s="16" t="s">
        <v>359</v>
      </c>
      <c r="C292" s="17" t="s">
        <v>360</v>
      </c>
      <c r="D292" s="16" t="s">
        <v>997</v>
      </c>
      <c r="E292" s="16" t="s">
        <v>23</v>
      </c>
      <c r="F292" s="16">
        <v>3000</v>
      </c>
      <c r="G292" s="16">
        <v>3000</v>
      </c>
      <c r="H292" s="16">
        <v>5000</v>
      </c>
      <c r="I292" s="18" cm="1">
        <f t="array" ref="I292">_xlfn.IFS(F292=H292,1,F292=G292,0,F292&lt;&gt;G292,(F292-G292)/(G292))</f>
        <v>0</v>
      </c>
      <c r="J292" s="17" t="str">
        <f>VLOOKUP($E292,статьи!$G$2:$I$24,2,)</f>
        <v>Манипулирование рынком, если это действие не содержит уголовно наказуемого деяния</v>
      </c>
    </row>
    <row r="293" spans="1:10" ht="16" x14ac:dyDescent="0.2">
      <c r="A293" s="16">
        <v>290</v>
      </c>
      <c r="B293" s="16" t="s">
        <v>361</v>
      </c>
      <c r="C293" s="17" t="s">
        <v>362</v>
      </c>
      <c r="D293" s="16" t="s">
        <v>997</v>
      </c>
      <c r="E293" s="16" t="s">
        <v>23</v>
      </c>
      <c r="F293" s="16">
        <v>30000</v>
      </c>
      <c r="G293" s="16">
        <v>3000</v>
      </c>
      <c r="H293" s="16">
        <v>5000</v>
      </c>
      <c r="I293" s="18" cm="1">
        <f t="array" ref="I293">_xlfn.IFS(F293=H293,1,F293=G293,0,F293&lt;&gt;G293,(F293-G293)/(G293))</f>
        <v>9</v>
      </c>
      <c r="J293" s="17" t="str">
        <f>VLOOKUP($E293,статьи!$G$2:$I$24,2,)</f>
        <v>Манипулирование рынком, если это действие не содержит уголовно наказуемого деяния</v>
      </c>
    </row>
    <row r="294" spans="1:10" ht="224" x14ac:dyDescent="0.2">
      <c r="A294" s="16">
        <v>291</v>
      </c>
      <c r="B294" s="16" t="s">
        <v>216</v>
      </c>
      <c r="C294" s="17" t="s">
        <v>13</v>
      </c>
      <c r="D294" s="16" t="s">
        <v>996</v>
      </c>
      <c r="E294" s="16" t="s">
        <v>75</v>
      </c>
      <c r="F294" s="16">
        <v>500000</v>
      </c>
      <c r="G294" s="16">
        <v>500000</v>
      </c>
      <c r="H294" s="16">
        <v>700000</v>
      </c>
      <c r="I294" s="18" cm="1">
        <f t="array" ref="I294">_xlfn.IFS(F294=H294,1,F294=G294,0,F294&lt;&gt;G294,(F294-G294)/(G294))</f>
        <v>0</v>
      </c>
      <c r="J294" s="17" t="str">
        <f>VLOOKUP($E294,статьи!$G$2:$I$24,2,)</f>
        <v xml:space="preserve">
1. Непредставление или нарушение порядка либо сроков представления в Банк России отчетов, уведомлений и иной информации, предусмотренной законодательством и (или) необходимой для осуществления этим органом (должностным лицом) его законной деятельности, либо представление информации не в полном объеме и (или) недостоверной информации, за исключением случаев, если в соответствии со страховым законодательством, законодательством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Банком России дается законное предписание об устранении нарушения страхового законодательства, законодательства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и случаев, указанных в части 2 настоящей статьи, если эти действия (бездействие) не содержат признаков уголовно наказуемого деяния</v>
      </c>
    </row>
    <row r="295" spans="1:10" ht="80" x14ac:dyDescent="0.2">
      <c r="A295" s="16">
        <v>292</v>
      </c>
      <c r="B295" s="16" t="s">
        <v>216</v>
      </c>
      <c r="C295" s="17" t="s">
        <v>215</v>
      </c>
      <c r="D295" s="16" t="s">
        <v>996</v>
      </c>
      <c r="E295" s="16" t="s">
        <v>72</v>
      </c>
      <c r="F295" s="16">
        <v>250000</v>
      </c>
      <c r="G295" s="16">
        <v>500000</v>
      </c>
      <c r="H295" s="16">
        <v>700000</v>
      </c>
      <c r="I295" s="18" cm="1">
        <f t="array" ref="I295">_xlfn.IFS(F295=H295,1,F295=G295,0,F295&lt;&gt;G295,(F295-G295)/(G295))</f>
        <v>-0.5</v>
      </c>
      <c r="J295" s="17" t="str">
        <f>VLOOKUP($E295,статьи!$G$2:$I$24,2,)</f>
        <v xml:space="preserve">9. Невыполнение в установленный срок законного предписания Банка России, за исключением случаев, предусмотренных частью 9.1 настоящей статьи, -
</v>
      </c>
    </row>
    <row r="296" spans="1:10" ht="16" x14ac:dyDescent="0.2">
      <c r="A296" s="16">
        <v>293</v>
      </c>
      <c r="B296" s="16" t="s">
        <v>216</v>
      </c>
      <c r="C296" s="17" t="s">
        <v>363</v>
      </c>
      <c r="D296" s="16" t="s">
        <v>997</v>
      </c>
      <c r="E296" s="16" t="s">
        <v>23</v>
      </c>
      <c r="F296" s="16">
        <v>3000</v>
      </c>
      <c r="G296" s="16">
        <v>3000</v>
      </c>
      <c r="H296" s="16">
        <v>5000</v>
      </c>
      <c r="I296" s="18" cm="1">
        <f t="array" ref="I296">_xlfn.IFS(F296=H296,1,F296=G296,0,F296&lt;&gt;G296,(F296-G296)/(G296))</f>
        <v>0</v>
      </c>
      <c r="J296" s="17" t="str">
        <f>VLOOKUP($E296,статьи!$G$2:$I$24,2,)</f>
        <v>Манипулирование рынком, если это действие не содержит уголовно наказуемого деяния</v>
      </c>
    </row>
    <row r="297" spans="1:10" ht="16" x14ac:dyDescent="0.2">
      <c r="A297" s="16">
        <v>294</v>
      </c>
      <c r="B297" s="16" t="s">
        <v>216</v>
      </c>
      <c r="C297" s="17" t="s">
        <v>364</v>
      </c>
      <c r="D297" s="16" t="s">
        <v>997</v>
      </c>
      <c r="E297" s="16" t="s">
        <v>23</v>
      </c>
      <c r="F297" s="16">
        <v>3000</v>
      </c>
      <c r="G297" s="16">
        <v>3000</v>
      </c>
      <c r="H297" s="16">
        <v>5000</v>
      </c>
      <c r="I297" s="18" cm="1">
        <f t="array" ref="I297">_xlfn.IFS(F297=H297,1,F297=G297,0,F297&lt;&gt;G297,(F297-G297)/(G297))</f>
        <v>0</v>
      </c>
      <c r="J297" s="17" t="str">
        <f>VLOOKUP($E297,статьи!$G$2:$I$24,2,)</f>
        <v>Манипулирование рынком, если это действие не содержит уголовно наказуемого деяния</v>
      </c>
    </row>
    <row r="298" spans="1:10" ht="16" x14ac:dyDescent="0.2">
      <c r="A298" s="16">
        <v>295</v>
      </c>
      <c r="B298" s="16" t="s">
        <v>216</v>
      </c>
      <c r="C298" s="17" t="s">
        <v>365</v>
      </c>
      <c r="D298" s="16" t="s">
        <v>997</v>
      </c>
      <c r="E298" s="16" t="s">
        <v>23</v>
      </c>
      <c r="F298" s="16">
        <v>3000</v>
      </c>
      <c r="G298" s="16">
        <v>3000</v>
      </c>
      <c r="H298" s="16">
        <v>5000</v>
      </c>
      <c r="I298" s="18" cm="1">
        <f t="array" ref="I298">_xlfn.IFS(F298=H298,1,F298=G298,0,F298&lt;&gt;G298,(F298-G298)/(G298))</f>
        <v>0</v>
      </c>
      <c r="J298" s="17" t="str">
        <f>VLOOKUP($E298,статьи!$G$2:$I$24,2,)</f>
        <v>Манипулирование рынком, если это действие не содержит уголовно наказуемого деяния</v>
      </c>
    </row>
    <row r="299" spans="1:10" ht="224" x14ac:dyDescent="0.2">
      <c r="A299" s="16">
        <v>296</v>
      </c>
      <c r="B299" s="16" t="s">
        <v>216</v>
      </c>
      <c r="C299" s="17" t="s">
        <v>268</v>
      </c>
      <c r="D299" s="16" t="s">
        <v>996</v>
      </c>
      <c r="E299" s="16" t="s">
        <v>75</v>
      </c>
      <c r="F299" s="16">
        <v>350000</v>
      </c>
      <c r="G299" s="16">
        <v>500000</v>
      </c>
      <c r="H299" s="16">
        <v>700000</v>
      </c>
      <c r="I299" s="18" cm="1">
        <f t="array" ref="I299">_xlfn.IFS(F299=H299,1,F299=G299,0,F299&lt;&gt;G299,(F299-G299)/(G299))</f>
        <v>-0.3</v>
      </c>
      <c r="J299" s="17" t="str">
        <f>VLOOKUP($E299,статьи!$G$2:$I$24,2,)</f>
        <v xml:space="preserve">
1. Непредставление или нарушение порядка либо сроков представления в Банк России отчетов, уведомлений и иной информации, предусмотренной законодательством и (или) необходимой для осуществления этим органом (должностным лицом) его законной деятельности, либо представление информации не в полном объеме и (или) недостоверной информации, за исключением случаев, если в соответствии со страховым законодательством, законодательством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Банком России дается законное предписание об устранении нарушения страхового законодательства, законодательства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и случаев, указанных в части 2 настоящей статьи, если эти действия (бездействие) не содержат признаков уголовно наказуемого деяния</v>
      </c>
    </row>
    <row r="300" spans="1:10" ht="64" x14ac:dyDescent="0.2">
      <c r="A300" s="16">
        <v>297</v>
      </c>
      <c r="B300" s="16" t="s">
        <v>216</v>
      </c>
      <c r="C300" s="17" t="s">
        <v>366</v>
      </c>
      <c r="D300" s="16" t="s">
        <v>996</v>
      </c>
      <c r="E300" s="16" t="s">
        <v>83</v>
      </c>
      <c r="F300" s="16">
        <v>250000</v>
      </c>
      <c r="G300" s="16">
        <v>500000</v>
      </c>
      <c r="H300" s="16">
        <v>700000</v>
      </c>
      <c r="I300" s="18" cm="1">
        <f t="array" ref="I300">_xlfn.IFS(F300=H300,1,F300=G300,0,F300&lt;&gt;G300,(F300-G300)/(G300))</f>
        <v>-0.5</v>
      </c>
      <c r="J300" s="17" t="str">
        <f>VLOOKUP($E300,статьи!$G$2:$I$24,2,)</f>
        <v>Нарушение профессиональным участником рынка ценных бумаг, осуществляющим брокерскую или дилерскую деятельность либо деятельность по управлению ценными бумагами, установленных нормативными правовыми актами Российской Федерации правил ведения учета и составления отчетности</v>
      </c>
    </row>
    <row r="301" spans="1:10" ht="144" x14ac:dyDescent="0.2">
      <c r="A301" s="16">
        <v>298</v>
      </c>
      <c r="B301" s="16" t="s">
        <v>367</v>
      </c>
      <c r="C301" s="17" t="s">
        <v>368</v>
      </c>
      <c r="D301" s="16" t="s">
        <v>996</v>
      </c>
      <c r="E301" s="16" t="s">
        <v>5</v>
      </c>
      <c r="F301" s="16">
        <v>700000</v>
      </c>
      <c r="G301" s="16">
        <v>700000</v>
      </c>
      <c r="H301" s="16">
        <v>1000000</v>
      </c>
      <c r="I301" s="18" cm="1">
        <f t="array" ref="I301">_xlfn.IFS(F301=H301,1,F301=G301,0,F301&lt;&gt;G301,(F301-G301)/(G301))</f>
        <v>0</v>
      </c>
      <c r="J301" s="17" t="str">
        <f>VLOOKUP($E301,статьи!$G$2:$I$24,2,)</f>
        <v>Воспрепятствование профессиональным участником рынка ценных бумаг,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проведению Банком России проверок либо неисполнение или ненадлежащее исполнение предписаний Банка России</v>
      </c>
    </row>
    <row r="302" spans="1:10" ht="224" x14ac:dyDescent="0.2">
      <c r="A302" s="16">
        <v>299</v>
      </c>
      <c r="B302" s="16" t="s">
        <v>367</v>
      </c>
      <c r="C302" s="17" t="s">
        <v>369</v>
      </c>
      <c r="D302" s="16" t="s">
        <v>996</v>
      </c>
      <c r="E302" s="16" t="s">
        <v>75</v>
      </c>
      <c r="F302" s="16">
        <v>250000</v>
      </c>
      <c r="G302" s="16">
        <v>500000</v>
      </c>
      <c r="H302" s="16">
        <v>700000</v>
      </c>
      <c r="I302" s="18" cm="1">
        <f t="array" ref="I302">_xlfn.IFS(F302=H302,1,F302=G302,0,F302&lt;&gt;G302,(F302-G302)/(G302))</f>
        <v>-0.5</v>
      </c>
      <c r="J302" s="17" t="str">
        <f>VLOOKUP($E302,статьи!$G$2:$I$24,2,)</f>
        <v xml:space="preserve">
1. Непредставление или нарушение порядка либо сроков представления в Банк России отчетов, уведомлений и иной информации, предусмотренной законодательством и (или) необходимой для осуществления этим органом (должностным лицом) его законной деятельности, либо представление информации не в полном объеме и (или) недостоверной информации, за исключением случаев, если в соответствии со страховым законодательством, законодательством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Банком России дается законное предписание об устранении нарушения страхового законодательства, законодательства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и случаев, указанных в части 2 настоящей статьи, если эти действия (бездействие) не содержат признаков уголовно наказуемого деяния</v>
      </c>
    </row>
    <row r="303" spans="1:10" ht="16" x14ac:dyDescent="0.2">
      <c r="A303" s="16">
        <v>300</v>
      </c>
      <c r="B303" s="16" t="s">
        <v>367</v>
      </c>
      <c r="C303" s="17" t="s">
        <v>370</v>
      </c>
      <c r="D303" s="16" t="s">
        <v>997</v>
      </c>
      <c r="E303" s="16" t="s">
        <v>23</v>
      </c>
      <c r="F303" s="16">
        <v>3000</v>
      </c>
      <c r="G303" s="16">
        <v>3000</v>
      </c>
      <c r="H303" s="16">
        <v>5000</v>
      </c>
      <c r="I303" s="18" cm="1">
        <f t="array" ref="I303">_xlfn.IFS(F303=H303,1,F303=G303,0,F303&lt;&gt;G303,(F303-G303)/(G303))</f>
        <v>0</v>
      </c>
      <c r="J303" s="17" t="str">
        <f>VLOOKUP($E303,статьи!$G$2:$I$24,2,)</f>
        <v>Манипулирование рынком, если это действие не содержит уголовно наказуемого деяния</v>
      </c>
    </row>
    <row r="304" spans="1:10" ht="16" x14ac:dyDescent="0.2">
      <c r="A304" s="16">
        <v>301</v>
      </c>
      <c r="B304" s="16" t="s">
        <v>367</v>
      </c>
      <c r="C304" s="17" t="s">
        <v>371</v>
      </c>
      <c r="D304" s="16" t="s">
        <v>997</v>
      </c>
      <c r="E304" s="16" t="s">
        <v>23</v>
      </c>
      <c r="F304" s="16">
        <v>3000</v>
      </c>
      <c r="G304" s="16">
        <v>3000</v>
      </c>
      <c r="H304" s="16">
        <v>5000</v>
      </c>
      <c r="I304" s="18" cm="1">
        <f t="array" ref="I304">_xlfn.IFS(F304=H304,1,F304=G304,0,F304&lt;&gt;G304,(F304-G304)/(G304))</f>
        <v>0</v>
      </c>
      <c r="J304" s="17" t="str">
        <f>VLOOKUP($E304,статьи!$G$2:$I$24,2,)</f>
        <v>Манипулирование рынком, если это действие не содержит уголовно наказуемого деяния</v>
      </c>
    </row>
    <row r="305" spans="1:10" ht="64" x14ac:dyDescent="0.2">
      <c r="A305" s="16">
        <v>302</v>
      </c>
      <c r="B305" s="16" t="s">
        <v>367</v>
      </c>
      <c r="C305" s="17" t="s">
        <v>372</v>
      </c>
      <c r="D305" s="16" t="s">
        <v>996</v>
      </c>
      <c r="E305" s="16" t="s">
        <v>7</v>
      </c>
      <c r="F305" s="16" t="s">
        <v>11</v>
      </c>
      <c r="G305" s="16">
        <v>700000</v>
      </c>
      <c r="H305" s="16">
        <v>1000000</v>
      </c>
      <c r="I305" s="18" t="e" cm="1">
        <f t="array" ref="I305">_xlfn.IFS(F305=H305,1,F305=G305,0,F305&lt;&gt;G305,(F305-G305)/(G305))</f>
        <v>#VALUE!</v>
      </c>
      <c r="J305" s="17" t="str">
        <f>VLOOKUP($E305,статьи!$G$2:$I$24,2,)</f>
        <v xml:space="preserve">Нарушение управляющей компанией акционерного инвестиционного фонда или паевого инвестиционного фонда предусмотренных федеральными законами и иными нормативными правовыми актами Российской Федерации ограничений ее деятельности -
</v>
      </c>
    </row>
    <row r="306" spans="1:10" ht="64" x14ac:dyDescent="0.2">
      <c r="A306" s="16">
        <v>303</v>
      </c>
      <c r="B306" s="16" t="s">
        <v>373</v>
      </c>
      <c r="C306" s="17" t="s">
        <v>284</v>
      </c>
      <c r="D306" s="16" t="s">
        <v>996</v>
      </c>
      <c r="E306" s="16" t="s">
        <v>83</v>
      </c>
      <c r="F306" s="16">
        <v>500000</v>
      </c>
      <c r="G306" s="16">
        <v>500000</v>
      </c>
      <c r="H306" s="16">
        <v>700000</v>
      </c>
      <c r="I306" s="18" cm="1">
        <f t="array" ref="I306">_xlfn.IFS(F306=H306,1,F306=G306,0,F306&lt;&gt;G306,(F306-G306)/(G306))</f>
        <v>0</v>
      </c>
      <c r="J306" s="17" t="str">
        <f>VLOOKUP($E306,статьи!$G$2:$I$24,2,)</f>
        <v>Нарушение профессиональным участником рынка ценных бумаг, осуществляющим брокерскую или дилерскую деятельность либо деятельность по управлению ценными бумагами, установленных нормативными правовыми актами Российской Федерации правил ведения учета и составления отчетности</v>
      </c>
    </row>
    <row r="307" spans="1:10" ht="80" x14ac:dyDescent="0.2">
      <c r="A307" s="16">
        <v>304</v>
      </c>
      <c r="B307" s="16" t="s">
        <v>373</v>
      </c>
      <c r="C307" s="17" t="s">
        <v>374</v>
      </c>
      <c r="D307" s="16" t="s">
        <v>996</v>
      </c>
      <c r="E307" s="16" t="s">
        <v>327</v>
      </c>
      <c r="F307" s="16" t="s">
        <v>11</v>
      </c>
      <c r="G307" s="16">
        <v>20000</v>
      </c>
      <c r="H307" s="16">
        <v>50000</v>
      </c>
      <c r="I307" s="18" t="e" cm="1">
        <f t="array" ref="I307">_xlfn.IFS(F307=H307,1,F307=G307,0,F307&lt;&gt;G307,(F307-G307)/(G307))</f>
        <v>#VALUE!</v>
      </c>
      <c r="J307" s="17" t="str">
        <f>VLOOKUP($E307,статьи!$G$2:$I$24,2,)</f>
        <v>Непредоставление бюро кредитных историй кредитного отчета, предоставление неполного или недостоверного кредитного отчета, а также несвоевременное предоставление кредитного отчета в случаях, если такое предоставление осуществляется или должно осуществляться в соответствии с Федеральным законом "О кредитных историях"</v>
      </c>
    </row>
    <row r="308" spans="1:10" ht="176" x14ac:dyDescent="0.2">
      <c r="A308" s="16">
        <v>305</v>
      </c>
      <c r="B308" s="16" t="s">
        <v>373</v>
      </c>
      <c r="C308" s="17" t="s">
        <v>375</v>
      </c>
      <c r="D308" s="16" t="s">
        <v>996</v>
      </c>
      <c r="E308" s="16" t="s">
        <v>8</v>
      </c>
      <c r="F308" s="16">
        <v>300000</v>
      </c>
      <c r="G308" s="16">
        <v>300000</v>
      </c>
      <c r="H308" s="16">
        <v>500000</v>
      </c>
      <c r="I308" s="18" cm="1">
        <f t="array" ref="I308">_xlfn.IFS(F308=H308,1,F308=G308,0,F308&lt;&gt;G308,(F308-G308)/(G308))</f>
        <v>0</v>
      </c>
      <c r="J308" s="17" t="str">
        <f>VLOOKUP($E308,статьи!$G$2:$I$24,2,)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309" spans="1:10" ht="64" x14ac:dyDescent="0.2">
      <c r="A309" s="16">
        <v>306</v>
      </c>
      <c r="B309" s="16" t="s">
        <v>376</v>
      </c>
      <c r="C309" s="17" t="s">
        <v>377</v>
      </c>
      <c r="D309" s="16" t="s">
        <v>996</v>
      </c>
      <c r="E309" s="16" t="s">
        <v>83</v>
      </c>
      <c r="F309" s="16">
        <v>500000</v>
      </c>
      <c r="G309" s="16">
        <v>500000</v>
      </c>
      <c r="H309" s="16">
        <v>700000</v>
      </c>
      <c r="I309" s="18" cm="1">
        <f t="array" ref="I309">_xlfn.IFS(F309=H309,1,F309=G309,0,F309&lt;&gt;G309,(F309-G309)/(G309))</f>
        <v>0</v>
      </c>
      <c r="J309" s="17" t="str">
        <f>VLOOKUP($E309,статьи!$G$2:$I$24,2,)</f>
        <v>Нарушение профессиональным участником рынка ценных бумаг, осуществляющим брокерскую или дилерскую деятельность либо деятельность по управлению ценными бумагами, установленных нормативными правовыми актами Российской Федерации правил ведения учета и составления отчетности</v>
      </c>
    </row>
    <row r="310" spans="1:10" ht="96" x14ac:dyDescent="0.2">
      <c r="A310" s="16">
        <v>307</v>
      </c>
      <c r="B310" s="16" t="s">
        <v>378</v>
      </c>
      <c r="C310" s="17" t="s">
        <v>99</v>
      </c>
      <c r="D310" s="16" t="s">
        <v>996</v>
      </c>
      <c r="E310" s="16" t="s">
        <v>18</v>
      </c>
      <c r="F310" s="16">
        <v>500000</v>
      </c>
      <c r="G310" s="16">
        <v>500000</v>
      </c>
      <c r="H310" s="16">
        <v>700000</v>
      </c>
      <c r="I310" s="18" cm="1">
        <f t="array" ref="I310">_xlfn.IFS(F310=H310,1,F310=G310,0,F310&lt;&gt;G310,(F310-G310)/(G310))</f>
        <v>0</v>
      </c>
      <c r="J310" s="17" t="str">
        <f>VLOOKUP($E310,статьи!$G$2:$I$24,2,)</f>
        <v xml:space="preserve">Нарушение установленных нормативными правовыми актами Российской Федерации и инвестиционной декларацией акционерного инвестиционного фонда или паевого инвестиционного фонда требований к составу активов акционерных инвестиционных фондов или паевых инвестиционных фондов либо неустранение нарушений в структуре активов акционерных инвестиционных фондов или паевых инвестиционных фондов -
</v>
      </c>
    </row>
    <row r="311" spans="1:10" ht="176" x14ac:dyDescent="0.2">
      <c r="A311" s="16">
        <v>307</v>
      </c>
      <c r="B311" s="16" t="s">
        <v>378</v>
      </c>
      <c r="C311" s="17" t="s">
        <v>99</v>
      </c>
      <c r="D311" s="16" t="s">
        <v>996</v>
      </c>
      <c r="E311" s="16" t="s">
        <v>8</v>
      </c>
      <c r="F311" s="16">
        <v>300000</v>
      </c>
      <c r="G311" s="16">
        <v>300000</v>
      </c>
      <c r="H311" s="16">
        <v>500000</v>
      </c>
      <c r="I311" s="18" cm="1">
        <f t="array" ref="I311">_xlfn.IFS(F311=H311,1,F311=G311,0,F311&lt;&gt;G311,(F311-G311)/(G311))</f>
        <v>0</v>
      </c>
      <c r="J311" s="17" t="str">
        <f>VLOOKUP($E311,статьи!$G$2:$I$24,2,)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312" spans="1:10" ht="96" x14ac:dyDescent="0.2">
      <c r="A312" s="16">
        <v>309</v>
      </c>
      <c r="B312" s="16" t="s">
        <v>379</v>
      </c>
      <c r="C312" s="17" t="s">
        <v>380</v>
      </c>
      <c r="D312" s="16" t="s">
        <v>996</v>
      </c>
      <c r="E312" s="16" t="s">
        <v>18</v>
      </c>
      <c r="F312" s="16">
        <v>250000</v>
      </c>
      <c r="G312" s="16">
        <v>500000</v>
      </c>
      <c r="H312" s="16">
        <v>700000</v>
      </c>
      <c r="I312" s="18" cm="1">
        <f t="array" ref="I312">_xlfn.IFS(F312=H312,1,F312=G312,0,F312&lt;&gt;G312,(F312-G312)/(G312))</f>
        <v>-0.5</v>
      </c>
      <c r="J312" s="17" t="str">
        <f>VLOOKUP($E312,статьи!$G$2:$I$24,2,)</f>
        <v xml:space="preserve">Нарушение установленных нормативными правовыми актами Российской Федерации и инвестиционной декларацией акционерного инвестиционного фонда или паевого инвестиционного фонда требований к составу активов акционерных инвестиционных фондов или паевых инвестиционных фондов либо неустранение нарушений в структуре активов акционерных инвестиционных фондов или паевых инвестиционных фондов -
</v>
      </c>
    </row>
    <row r="313" spans="1:10" ht="224" x14ac:dyDescent="0.2">
      <c r="A313" s="16">
        <v>310</v>
      </c>
      <c r="B313" s="16" t="s">
        <v>379</v>
      </c>
      <c r="C313" s="17" t="s">
        <v>269</v>
      </c>
      <c r="D313" s="16" t="s">
        <v>996</v>
      </c>
      <c r="E313" s="16" t="s">
        <v>75</v>
      </c>
      <c r="F313" s="16">
        <v>700000</v>
      </c>
      <c r="G313" s="16">
        <v>500000</v>
      </c>
      <c r="H313" s="16">
        <v>700000</v>
      </c>
      <c r="I313" s="18" cm="1">
        <f t="array" ref="I313">_xlfn.IFS(F313=H313,1,F313=G313,0,F313&lt;&gt;G313,(F313-G313)/(G313))</f>
        <v>1</v>
      </c>
      <c r="J313" s="17" t="str">
        <f>VLOOKUP($E313,статьи!$G$2:$I$24,2,)</f>
        <v xml:space="preserve">
1. Непредставление или нарушение порядка либо сроков представления в Банк России отчетов, уведомлений и иной информации, предусмотренной законодательством и (или) необходимой для осуществления этим органом (должностным лицом) его законной деятельности, либо представление информации не в полном объеме и (или) недостоверной информации, за исключением случаев, если в соответствии со страховым законодательством, законодательством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Банком России дается законное предписание об устранении нарушения страхового законодательства, законодательства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и случаев, указанных в части 2 настоящей статьи, если эти действия (бездействие) не содержат признаков уголовно наказуемого деяния</v>
      </c>
    </row>
    <row r="314" spans="1:10" ht="176" x14ac:dyDescent="0.2">
      <c r="A314" s="16">
        <v>311</v>
      </c>
      <c r="B314" s="16" t="s">
        <v>379</v>
      </c>
      <c r="C314" s="17" t="s">
        <v>381</v>
      </c>
      <c r="D314" s="16" t="s">
        <v>996</v>
      </c>
      <c r="E314" s="16" t="s">
        <v>8</v>
      </c>
      <c r="F314" s="16">
        <v>300000</v>
      </c>
      <c r="G314" s="16">
        <v>300000</v>
      </c>
      <c r="H314" s="16">
        <v>500000</v>
      </c>
      <c r="I314" s="18" cm="1">
        <f t="array" ref="I314">_xlfn.IFS(F314=H314,1,F314=G314,0,F314&lt;&gt;G314,(F314-G314)/(G314))</f>
        <v>0</v>
      </c>
      <c r="J314" s="17" t="str">
        <f>VLOOKUP($E314,статьи!$G$2:$I$24,2,)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315" spans="1:10" ht="176" x14ac:dyDescent="0.2">
      <c r="A315" s="16">
        <v>312</v>
      </c>
      <c r="B315" s="16" t="s">
        <v>382</v>
      </c>
      <c r="C315" s="17" t="s">
        <v>383</v>
      </c>
      <c r="D315" s="16" t="s">
        <v>996</v>
      </c>
      <c r="E315" s="16" t="s">
        <v>8</v>
      </c>
      <c r="F315" s="16">
        <v>150000</v>
      </c>
      <c r="G315" s="16">
        <v>300000</v>
      </c>
      <c r="H315" s="16">
        <v>500000</v>
      </c>
      <c r="I315" s="18" cm="1">
        <f t="array" ref="I315">_xlfn.IFS(F315=H315,1,F315=G315,0,F315&lt;&gt;G315,(F315-G315)/(G315))</f>
        <v>-0.5</v>
      </c>
      <c r="J315" s="17" t="str">
        <f>VLOOKUP($E315,статьи!$G$2:$I$24,2,)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316" spans="1:10" ht="176" x14ac:dyDescent="0.2">
      <c r="A316" s="16">
        <v>313</v>
      </c>
      <c r="B316" s="16" t="s">
        <v>382</v>
      </c>
      <c r="C316" s="17" t="s">
        <v>384</v>
      </c>
      <c r="D316" s="16" t="s">
        <v>996</v>
      </c>
      <c r="E316" s="16" t="s">
        <v>8</v>
      </c>
      <c r="F316" s="16" t="s">
        <v>11</v>
      </c>
      <c r="G316" s="16">
        <v>300000</v>
      </c>
      <c r="H316" s="16">
        <v>500000</v>
      </c>
      <c r="I316" s="18" t="e" cm="1">
        <f t="array" ref="I316">_xlfn.IFS(F316=H316,1,F316=G316,0,F316&lt;&gt;G316,(F316-G316)/(G316))</f>
        <v>#VALUE!</v>
      </c>
      <c r="J316" s="17" t="str">
        <f>VLOOKUP($E316,статьи!$G$2:$I$24,2,)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317" spans="1:10" ht="16" x14ac:dyDescent="0.2">
      <c r="A317" s="16">
        <v>314</v>
      </c>
      <c r="B317" s="16" t="s">
        <v>385</v>
      </c>
      <c r="C317" s="17" t="s">
        <v>386</v>
      </c>
      <c r="D317" s="16" t="s">
        <v>997</v>
      </c>
      <c r="E317" s="16" t="s">
        <v>23</v>
      </c>
      <c r="F317" s="16">
        <v>3000</v>
      </c>
      <c r="G317" s="16">
        <v>3000</v>
      </c>
      <c r="H317" s="16">
        <v>5000</v>
      </c>
      <c r="I317" s="18" cm="1">
        <f t="array" ref="I317">_xlfn.IFS(F317=H317,1,F317=G317,0,F317&lt;&gt;G317,(F317-G317)/(G317))</f>
        <v>0</v>
      </c>
      <c r="J317" s="17" t="str">
        <f>VLOOKUP($E317,статьи!$G$2:$I$24,2,)</f>
        <v>Манипулирование рынком, если это действие не содержит уголовно наказуемого деяния</v>
      </c>
    </row>
    <row r="318" spans="1:10" ht="16" x14ac:dyDescent="0.2">
      <c r="A318" s="16">
        <v>315</v>
      </c>
      <c r="B318" s="16" t="s">
        <v>387</v>
      </c>
      <c r="C318" s="17" t="s">
        <v>388</v>
      </c>
      <c r="D318" s="16" t="s">
        <v>997</v>
      </c>
      <c r="E318" s="16" t="s">
        <v>23</v>
      </c>
      <c r="F318" s="16">
        <v>3000</v>
      </c>
      <c r="G318" s="16">
        <v>3000</v>
      </c>
      <c r="H318" s="16">
        <v>5000</v>
      </c>
      <c r="I318" s="18" cm="1">
        <f t="array" ref="I318">_xlfn.IFS(F318=H318,1,F318=G318,0,F318&lt;&gt;G318,(F318-G318)/(G318))</f>
        <v>0</v>
      </c>
      <c r="J318" s="17" t="str">
        <f>VLOOKUP($E318,статьи!$G$2:$I$24,2,)</f>
        <v>Манипулирование рынком, если это действие не содержит уголовно наказуемого деяния</v>
      </c>
    </row>
    <row r="319" spans="1:10" ht="16" x14ac:dyDescent="0.2">
      <c r="A319" s="16">
        <v>316</v>
      </c>
      <c r="B319" s="16" t="s">
        <v>387</v>
      </c>
      <c r="C319" s="17" t="s">
        <v>389</v>
      </c>
      <c r="D319" s="16" t="s">
        <v>997</v>
      </c>
      <c r="E319" s="16" t="s">
        <v>23</v>
      </c>
      <c r="F319" s="16">
        <v>3000</v>
      </c>
      <c r="G319" s="16">
        <v>3000</v>
      </c>
      <c r="H319" s="16">
        <v>5000</v>
      </c>
      <c r="I319" s="18" cm="1">
        <f t="array" ref="I319">_xlfn.IFS(F319=H319,1,F319=G319,0,F319&lt;&gt;G319,(F319-G319)/(G319))</f>
        <v>0</v>
      </c>
      <c r="J319" s="17" t="str">
        <f>VLOOKUP($E319,статьи!$G$2:$I$24,2,)</f>
        <v>Манипулирование рынком, если это действие не содержит уголовно наказуемого деяния</v>
      </c>
    </row>
    <row r="320" spans="1:10" ht="16" x14ac:dyDescent="0.2">
      <c r="A320" s="16">
        <v>317</v>
      </c>
      <c r="B320" s="16" t="s">
        <v>390</v>
      </c>
      <c r="C320" s="17" t="s">
        <v>391</v>
      </c>
      <c r="D320" s="16" t="s">
        <v>997</v>
      </c>
      <c r="E320" s="16" t="s">
        <v>23</v>
      </c>
      <c r="F320" s="16">
        <v>3000</v>
      </c>
      <c r="G320" s="16">
        <v>3000</v>
      </c>
      <c r="H320" s="16">
        <v>5000</v>
      </c>
      <c r="I320" s="18" cm="1">
        <f t="array" ref="I320">_xlfn.IFS(F320=H320,1,F320=G320,0,F320&lt;&gt;G320,(F320-G320)/(G320))</f>
        <v>0</v>
      </c>
      <c r="J320" s="17" t="str">
        <f>VLOOKUP($E320,статьи!$G$2:$I$24,2,)</f>
        <v>Манипулирование рынком, если это действие не содержит уголовно наказуемого деяния</v>
      </c>
    </row>
    <row r="321" spans="1:10" ht="16" x14ac:dyDescent="0.2">
      <c r="A321" s="16">
        <v>318</v>
      </c>
      <c r="B321" s="16" t="s">
        <v>390</v>
      </c>
      <c r="C321" s="17" t="s">
        <v>392</v>
      </c>
      <c r="D321" s="16" t="s">
        <v>997</v>
      </c>
      <c r="E321" s="16" t="s">
        <v>23</v>
      </c>
      <c r="F321" s="16">
        <v>3000</v>
      </c>
      <c r="G321" s="16">
        <v>3000</v>
      </c>
      <c r="H321" s="16">
        <v>5000</v>
      </c>
      <c r="I321" s="18" cm="1">
        <f t="array" ref="I321">_xlfn.IFS(F321=H321,1,F321=G321,0,F321&lt;&gt;G321,(F321-G321)/(G321))</f>
        <v>0</v>
      </c>
      <c r="J321" s="17" t="str">
        <f>VLOOKUP($E321,статьи!$G$2:$I$24,2,)</f>
        <v>Манипулирование рынком, если это действие не содержит уголовно наказуемого деяния</v>
      </c>
    </row>
    <row r="322" spans="1:10" ht="224" x14ac:dyDescent="0.2">
      <c r="A322" s="16">
        <v>319</v>
      </c>
      <c r="B322" s="16" t="s">
        <v>390</v>
      </c>
      <c r="C322" s="17" t="s">
        <v>268</v>
      </c>
      <c r="D322" s="16" t="s">
        <v>996</v>
      </c>
      <c r="E322" s="16" t="s">
        <v>75</v>
      </c>
      <c r="F322" s="16">
        <v>350000</v>
      </c>
      <c r="G322" s="16">
        <v>500000</v>
      </c>
      <c r="H322" s="16">
        <v>700000</v>
      </c>
      <c r="I322" s="18" cm="1">
        <f t="array" ref="I322">_xlfn.IFS(F322=H322,1,F322=G322,0,F322&lt;&gt;G322,(F322-G322)/(G322))</f>
        <v>-0.3</v>
      </c>
      <c r="J322" s="17" t="str">
        <f>VLOOKUP($E322,статьи!$G$2:$I$24,2,)</f>
        <v xml:space="preserve">
1. Непредставление или нарушение порядка либо сроков представления в Банк России отчетов, уведомлений и иной информации, предусмотренной законодательством и (или) необходимой для осуществления этим органом (должностным лицом) его законной деятельности, либо представление информации не в полном объеме и (или) недостоверной информации, за исключением случаев, если в соответствии со страховым законодательством, законодательством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Банком России дается законное предписание об устранении нарушения страхового законодательства, законодательства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и случаев, указанных в части 2 настоящей статьи, если эти действия (бездействие) не содержат признаков уголовно наказуемого деяния</v>
      </c>
    </row>
    <row r="323" spans="1:10" ht="80" x14ac:dyDescent="0.2">
      <c r="A323" s="16">
        <v>319</v>
      </c>
      <c r="B323" s="16" t="s">
        <v>390</v>
      </c>
      <c r="C323" s="17" t="s">
        <v>268</v>
      </c>
      <c r="D323" s="16" t="s">
        <v>996</v>
      </c>
      <c r="E323" s="16" t="s">
        <v>72</v>
      </c>
      <c r="F323" s="16">
        <v>250000</v>
      </c>
      <c r="G323" s="16">
        <v>500000</v>
      </c>
      <c r="H323" s="16">
        <v>700000</v>
      </c>
      <c r="I323" s="18" cm="1">
        <f t="array" ref="I323">_xlfn.IFS(F323=H323,1,F323=G323,0,F323&lt;&gt;G323,(F323-G323)/(G323))</f>
        <v>-0.5</v>
      </c>
      <c r="J323" s="17" t="str">
        <f>VLOOKUP($E323,статьи!$G$2:$I$24,2,)</f>
        <v xml:space="preserve">9. Невыполнение в установленный срок законного предписания Банка России, за исключением случаев, предусмотренных частью 9.1 настоящей статьи, -
</v>
      </c>
    </row>
    <row r="324" spans="1:10" ht="64" x14ac:dyDescent="0.2">
      <c r="A324" s="16">
        <v>320</v>
      </c>
      <c r="B324" s="16" t="s">
        <v>390</v>
      </c>
      <c r="C324" s="17" t="s">
        <v>393</v>
      </c>
      <c r="D324" s="16" t="s">
        <v>996</v>
      </c>
      <c r="E324" s="16" t="s">
        <v>83</v>
      </c>
      <c r="F324" s="16">
        <v>500000</v>
      </c>
      <c r="G324" s="16">
        <v>500000</v>
      </c>
      <c r="H324" s="16">
        <v>700000</v>
      </c>
      <c r="I324" s="18" cm="1">
        <f t="array" ref="I324">_xlfn.IFS(F324=H324,1,F324=G324,0,F324&lt;&gt;G324,(F324-G324)/(G324))</f>
        <v>0</v>
      </c>
      <c r="J324" s="17" t="str">
        <f>VLOOKUP($E324,статьи!$G$2:$I$24,2,)</f>
        <v>Нарушение профессиональным участником рынка ценных бумаг, осуществляющим брокерскую или дилерскую деятельность либо деятельность по управлению ценными бумагами, установленных нормативными правовыми актами Российской Федерации правил ведения учета и составления отчетности</v>
      </c>
    </row>
    <row r="325" spans="1:10" ht="176" x14ac:dyDescent="0.2">
      <c r="A325" s="16">
        <v>321</v>
      </c>
      <c r="B325" s="16" t="s">
        <v>390</v>
      </c>
      <c r="C325" s="17" t="s">
        <v>394</v>
      </c>
      <c r="D325" s="16" t="s">
        <v>996</v>
      </c>
      <c r="E325" s="16" t="s">
        <v>8</v>
      </c>
      <c r="F325" s="16" t="s">
        <v>11</v>
      </c>
      <c r="G325" s="16">
        <v>300000</v>
      </c>
      <c r="H325" s="16">
        <v>500000</v>
      </c>
      <c r="I325" s="18" t="e" cm="1">
        <f t="array" ref="I325">_xlfn.IFS(F325=H325,1,F325=G325,0,F325&lt;&gt;G325,(F325-G325)/(G325))</f>
        <v>#VALUE!</v>
      </c>
      <c r="J325" s="17" t="str">
        <f>VLOOKUP($E325,статьи!$G$2:$I$24,2,)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326" spans="1:10" ht="176" x14ac:dyDescent="0.2">
      <c r="A326" s="16">
        <v>322</v>
      </c>
      <c r="B326" s="16" t="s">
        <v>395</v>
      </c>
      <c r="C326" s="17" t="s">
        <v>396</v>
      </c>
      <c r="D326" s="16" t="s">
        <v>996</v>
      </c>
      <c r="E326" s="16" t="s">
        <v>8</v>
      </c>
      <c r="F326" s="16" t="s">
        <v>11</v>
      </c>
      <c r="G326" s="16">
        <v>300000</v>
      </c>
      <c r="H326" s="16">
        <v>500000</v>
      </c>
      <c r="I326" s="18" t="e" cm="1">
        <f t="array" ref="I326">_xlfn.IFS(F326=H326,1,F326=G326,0,F326&lt;&gt;G326,(F326-G326)/(G326))</f>
        <v>#VALUE!</v>
      </c>
      <c r="J326" s="17" t="str">
        <f>VLOOKUP($E326,статьи!$G$2:$I$24,2,)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327" spans="1:10" ht="48" x14ac:dyDescent="0.2">
      <c r="A327" s="16">
        <v>323</v>
      </c>
      <c r="B327" s="16" t="s">
        <v>397</v>
      </c>
      <c r="C327" s="17" t="s">
        <v>398</v>
      </c>
      <c r="D327" s="16" t="s">
        <v>996</v>
      </c>
      <c r="E327" s="16" t="s">
        <v>274</v>
      </c>
      <c r="F327" s="16" t="s">
        <v>11</v>
      </c>
      <c r="G327" s="16">
        <v>300000</v>
      </c>
      <c r="H327" s="16">
        <v>500000</v>
      </c>
      <c r="I327" s="18" t="e" cm="1">
        <f t="array" ref="I327">_xlfn.IFS(F327=H327,1,F327=G327,0,F327&lt;&gt;G327,(F327-G327)/(G327))</f>
        <v>#VALUE!</v>
      </c>
      <c r="J327" s="17" t="str">
        <f>VLOOKUP($E327,статьи!$G$2:$I$24,2,)</f>
        <v>7. Нарушение организатором торговли правил организованных торгов, зарегистрированных в установленном законодательством об организованных торгах порядке</v>
      </c>
    </row>
    <row r="328" spans="1:10" ht="144" x14ac:dyDescent="0.2">
      <c r="A328" s="16">
        <v>324</v>
      </c>
      <c r="B328" s="16" t="s">
        <v>397</v>
      </c>
      <c r="C328" s="17" t="s">
        <v>4</v>
      </c>
      <c r="D328" s="16" t="s">
        <v>996</v>
      </c>
      <c r="E328" s="16" t="s">
        <v>5</v>
      </c>
      <c r="F328" s="16">
        <v>700000</v>
      </c>
      <c r="G328" s="16">
        <v>700000</v>
      </c>
      <c r="H328" s="16">
        <v>1000000</v>
      </c>
      <c r="I328" s="18" cm="1">
        <f t="array" ref="I328">_xlfn.IFS(F328=H328,1,F328=G328,0,F328&lt;&gt;G328,(F328-G328)/(G328))</f>
        <v>0</v>
      </c>
      <c r="J328" s="17" t="str">
        <f>VLOOKUP($E328,статьи!$G$2:$I$24,2,)</f>
        <v>Воспрепятствование профессиональным участником рынка ценных бумаг,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проведению Банком России проверок либо неисполнение или ненадлежащее исполнение предписаний Банка России</v>
      </c>
    </row>
    <row r="329" spans="1:10" ht="16" x14ac:dyDescent="0.2">
      <c r="A329" s="16">
        <v>325</v>
      </c>
      <c r="B329" s="16" t="s">
        <v>397</v>
      </c>
      <c r="C329" s="17" t="s">
        <v>399</v>
      </c>
      <c r="D329" s="16" t="s">
        <v>997</v>
      </c>
      <c r="E329" s="16" t="s">
        <v>23</v>
      </c>
      <c r="F329" s="16">
        <v>3000</v>
      </c>
      <c r="G329" s="16">
        <v>3000</v>
      </c>
      <c r="H329" s="16">
        <v>5000</v>
      </c>
      <c r="I329" s="18" cm="1">
        <f t="array" ref="I329">_xlfn.IFS(F329=H329,1,F329=G329,0,F329&lt;&gt;G329,(F329-G329)/(G329))</f>
        <v>0</v>
      </c>
      <c r="J329" s="17" t="str">
        <f>VLOOKUP($E329,статьи!$G$2:$I$24,2,)</f>
        <v>Манипулирование рынком, если это действие не содержит уголовно наказуемого деяния</v>
      </c>
    </row>
    <row r="330" spans="1:10" ht="176" x14ac:dyDescent="0.2">
      <c r="A330" s="16">
        <v>326</v>
      </c>
      <c r="B330" s="16" t="s">
        <v>397</v>
      </c>
      <c r="C330" s="17" t="s">
        <v>400</v>
      </c>
      <c r="D330" s="16" t="s">
        <v>996</v>
      </c>
      <c r="E330" s="16" t="s">
        <v>80</v>
      </c>
      <c r="F330" s="16">
        <v>700000</v>
      </c>
      <c r="G330" s="16">
        <v>700000</v>
      </c>
      <c r="H330" s="16">
        <v>1000000</v>
      </c>
      <c r="I330" s="18" cm="1">
        <f t="array" ref="I330">_xlfn.IFS(F330=H330,1,F330=G330,0,F330&lt;&gt;G330,(F330-G330)/(G330))</f>
        <v>0</v>
      </c>
      <c r="J330" s="17" t="str">
        <f>VLOOKUP($E330,статьи!$G$2:$I$24,2,)</f>
        <v>2. Нераскрытие или нарушение эмитентом, профессиональным участником рынка ценных бумаг, клиринговой организацией, акционерным инвестиционным фондом, управляющей компанией акционерного инвестиционного фонда, паевого инвестиционного фонда или негосударственного пенсионного фонда, специализированным депозитарием акционерного инвестиционного фонда, паевого инвестиционного фонда или негосударственного пенсионного фонда либо лицом, оказывающим услуги по публичному представлению раскрываемой информации, порядка и сроков раскрытия информации, предусмотренной федеральными законами и принятыми в соответствии с ними иными нормативными правовыми актами, а равно раскрытие информации не в полном объеме, и (или) недостоверной информации, и (или) вводящей в заблуждение информации</v>
      </c>
    </row>
    <row r="331" spans="1:10" ht="176" x14ac:dyDescent="0.2">
      <c r="A331" s="16">
        <v>326</v>
      </c>
      <c r="B331" s="16" t="s">
        <v>397</v>
      </c>
      <c r="C331" s="17" t="s">
        <v>400</v>
      </c>
      <c r="D331" s="16" t="s">
        <v>996</v>
      </c>
      <c r="E331" s="16" t="s">
        <v>8</v>
      </c>
      <c r="F331" s="16">
        <v>300000</v>
      </c>
      <c r="G331" s="16">
        <v>300000</v>
      </c>
      <c r="H331" s="16">
        <v>500000</v>
      </c>
      <c r="I331" s="18" cm="1">
        <f t="array" ref="I331">_xlfn.IFS(F331=H331,1,F331=G331,0,F331&lt;&gt;G331,(F331-G331)/(G331))</f>
        <v>0</v>
      </c>
      <c r="J331" s="17" t="str">
        <f>VLOOKUP($E331,статьи!$G$2:$I$24,2,)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332" spans="1:10" ht="176" x14ac:dyDescent="0.2">
      <c r="A332" s="16">
        <v>327</v>
      </c>
      <c r="B332" s="16" t="s">
        <v>397</v>
      </c>
      <c r="C332" s="17" t="s">
        <v>401</v>
      </c>
      <c r="D332" s="16" t="s">
        <v>996</v>
      </c>
      <c r="E332" s="16" t="s">
        <v>8</v>
      </c>
      <c r="F332" s="16" t="s">
        <v>11</v>
      </c>
      <c r="G332" s="16">
        <v>300000</v>
      </c>
      <c r="H332" s="16">
        <v>500000</v>
      </c>
      <c r="I332" s="18" t="e" cm="1">
        <f t="array" ref="I332">_xlfn.IFS(F332=H332,1,F332=G332,0,F332&lt;&gt;G332,(F332-G332)/(G332))</f>
        <v>#VALUE!</v>
      </c>
      <c r="J332" s="17" t="str">
        <f>VLOOKUP($E332,статьи!$G$2:$I$24,2,)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333" spans="1:10" ht="16" x14ac:dyDescent="0.2">
      <c r="A333" s="16">
        <v>328</v>
      </c>
      <c r="B333" s="16" t="s">
        <v>402</v>
      </c>
      <c r="C333" s="17" t="s">
        <v>403</v>
      </c>
      <c r="D333" s="16" t="s">
        <v>997</v>
      </c>
      <c r="E333" s="16" t="s">
        <v>23</v>
      </c>
      <c r="F333" s="16">
        <v>3000</v>
      </c>
      <c r="G333" s="16">
        <v>3000</v>
      </c>
      <c r="H333" s="16">
        <v>5000</v>
      </c>
      <c r="I333" s="18" cm="1">
        <f t="array" ref="I333">_xlfn.IFS(F333=H333,1,F333=G333,0,F333&lt;&gt;G333,(F333-G333)/(G333))</f>
        <v>0</v>
      </c>
      <c r="J333" s="17" t="str">
        <f>VLOOKUP($E333,статьи!$G$2:$I$24,2,)</f>
        <v>Манипулирование рынком, если это действие не содержит уголовно наказуемого деяния</v>
      </c>
    </row>
    <row r="334" spans="1:10" ht="16" x14ac:dyDescent="0.2">
      <c r="A334" s="16">
        <v>329</v>
      </c>
      <c r="B334" s="16" t="s">
        <v>402</v>
      </c>
      <c r="C334" s="17" t="s">
        <v>404</v>
      </c>
      <c r="D334" s="16" t="s">
        <v>997</v>
      </c>
      <c r="E334" s="16" t="s">
        <v>23</v>
      </c>
      <c r="F334" s="16">
        <v>3000</v>
      </c>
      <c r="G334" s="16">
        <v>3000</v>
      </c>
      <c r="H334" s="16">
        <v>5000</v>
      </c>
      <c r="I334" s="18" cm="1">
        <f t="array" ref="I334">_xlfn.IFS(F334=H334,1,F334=G334,0,F334&lt;&gt;G334,(F334-G334)/(G334))</f>
        <v>0</v>
      </c>
      <c r="J334" s="17" t="str">
        <f>VLOOKUP($E334,статьи!$G$2:$I$24,2,)</f>
        <v>Манипулирование рынком, если это действие не содержит уголовно наказуемого деяния</v>
      </c>
    </row>
    <row r="335" spans="1:10" ht="16" x14ac:dyDescent="0.2">
      <c r="A335" s="16">
        <v>330</v>
      </c>
      <c r="B335" s="16" t="s">
        <v>405</v>
      </c>
      <c r="C335" s="17" t="s">
        <v>406</v>
      </c>
      <c r="D335" s="16" t="s">
        <v>996</v>
      </c>
      <c r="E335" s="16" t="s">
        <v>23</v>
      </c>
      <c r="F335" s="16">
        <v>350000</v>
      </c>
      <c r="G335" s="16">
        <v>700000</v>
      </c>
      <c r="H335" s="16" t="s">
        <v>1002</v>
      </c>
      <c r="I335" s="18" cm="1">
        <f t="array" ref="I335">_xlfn.IFS(F335=H335,1,F335=G335,0,F335&lt;&gt;G335,(F335-G335)/(G335))</f>
        <v>-0.5</v>
      </c>
      <c r="J335" s="17" t="str">
        <f>VLOOKUP($E335,статьи!$G$2:$I$24,2,)</f>
        <v>Манипулирование рынком, если это действие не содержит уголовно наказуемого деяния</v>
      </c>
    </row>
    <row r="336" spans="1:10" ht="16" x14ac:dyDescent="0.2">
      <c r="A336" s="16">
        <v>331</v>
      </c>
      <c r="B336" s="16" t="s">
        <v>405</v>
      </c>
      <c r="C336" s="17" t="s">
        <v>407</v>
      </c>
      <c r="D336" s="16" t="s">
        <v>997</v>
      </c>
      <c r="E336" s="16" t="s">
        <v>23</v>
      </c>
      <c r="F336" s="16">
        <v>3000</v>
      </c>
      <c r="G336" s="16">
        <v>3000</v>
      </c>
      <c r="H336" s="16">
        <v>5000</v>
      </c>
      <c r="I336" s="18" cm="1">
        <f t="array" ref="I336">_xlfn.IFS(F336=H336,1,F336=G336,0,F336&lt;&gt;G336,(F336-G336)/(G336))</f>
        <v>0</v>
      </c>
      <c r="J336" s="17" t="str">
        <f>VLOOKUP($E336,статьи!$G$2:$I$24,2,)</f>
        <v>Манипулирование рынком, если это действие не содержит уголовно наказуемого деяния</v>
      </c>
    </row>
    <row r="337" spans="1:10" ht="16" x14ac:dyDescent="0.2">
      <c r="A337" s="16">
        <v>332</v>
      </c>
      <c r="B337" s="16" t="s">
        <v>405</v>
      </c>
      <c r="C337" s="17" t="s">
        <v>408</v>
      </c>
      <c r="D337" s="16" t="s">
        <v>997</v>
      </c>
      <c r="E337" s="16" t="s">
        <v>23</v>
      </c>
      <c r="F337" s="16">
        <v>3000</v>
      </c>
      <c r="G337" s="16">
        <v>3000</v>
      </c>
      <c r="H337" s="16">
        <v>5000</v>
      </c>
      <c r="I337" s="18" cm="1">
        <f t="array" ref="I337">_xlfn.IFS(F337=H337,1,F337=G337,0,F337&lt;&gt;G337,(F337-G337)/(G337))</f>
        <v>0</v>
      </c>
      <c r="J337" s="17" t="str">
        <f>VLOOKUP($E337,статьи!$G$2:$I$24,2,)</f>
        <v>Манипулирование рынком, если это действие не содержит уголовно наказуемого деяния</v>
      </c>
    </row>
    <row r="338" spans="1:10" ht="16" x14ac:dyDescent="0.2">
      <c r="A338" s="16">
        <v>333</v>
      </c>
      <c r="B338" s="16" t="s">
        <v>405</v>
      </c>
      <c r="C338" s="17" t="s">
        <v>409</v>
      </c>
      <c r="D338" s="16" t="s">
        <v>997</v>
      </c>
      <c r="E338" s="16" t="s">
        <v>23</v>
      </c>
      <c r="F338" s="16">
        <v>3000</v>
      </c>
      <c r="G338" s="16">
        <v>3000</v>
      </c>
      <c r="H338" s="16">
        <v>5000</v>
      </c>
      <c r="I338" s="18" cm="1">
        <f t="array" ref="I338">_xlfn.IFS(F338=H338,1,F338=G338,0,F338&lt;&gt;G338,(F338-G338)/(G338))</f>
        <v>0</v>
      </c>
      <c r="J338" s="17" t="str">
        <f>VLOOKUP($E338,статьи!$G$2:$I$24,2,)</f>
        <v>Манипулирование рынком, если это действие не содержит уголовно наказуемого деяния</v>
      </c>
    </row>
    <row r="339" spans="1:10" ht="16" x14ac:dyDescent="0.2">
      <c r="A339" s="16">
        <v>334</v>
      </c>
      <c r="B339" s="16" t="s">
        <v>405</v>
      </c>
      <c r="C339" s="17" t="s">
        <v>410</v>
      </c>
      <c r="D339" s="16" t="s">
        <v>997</v>
      </c>
      <c r="E339" s="16" t="s">
        <v>23</v>
      </c>
      <c r="F339" s="16">
        <v>3000</v>
      </c>
      <c r="G339" s="16">
        <v>3000</v>
      </c>
      <c r="H339" s="16">
        <v>5000</v>
      </c>
      <c r="I339" s="18" cm="1">
        <f t="array" ref="I339">_xlfn.IFS(F339=H339,1,F339=G339,0,F339&lt;&gt;G339,(F339-G339)/(G339))</f>
        <v>0</v>
      </c>
      <c r="J339" s="17" t="str">
        <f>VLOOKUP($E339,статьи!$G$2:$I$24,2,)</f>
        <v>Манипулирование рынком, если это действие не содержит уголовно наказуемого деяния</v>
      </c>
    </row>
    <row r="340" spans="1:10" ht="16" x14ac:dyDescent="0.2">
      <c r="A340" s="16">
        <v>335</v>
      </c>
      <c r="B340" s="16" t="s">
        <v>405</v>
      </c>
      <c r="C340" s="17" t="s">
        <v>411</v>
      </c>
      <c r="D340" s="16" t="s">
        <v>997</v>
      </c>
      <c r="E340" s="16" t="s">
        <v>23</v>
      </c>
      <c r="F340" s="16">
        <v>3000</v>
      </c>
      <c r="G340" s="16">
        <v>3000</v>
      </c>
      <c r="H340" s="16">
        <v>5000</v>
      </c>
      <c r="I340" s="18" cm="1">
        <f t="array" ref="I340">_xlfn.IFS(F340=H340,1,F340=G340,0,F340&lt;&gt;G340,(F340-G340)/(G340))</f>
        <v>0</v>
      </c>
      <c r="J340" s="17" t="str">
        <f>VLOOKUP($E340,статьи!$G$2:$I$24,2,)</f>
        <v>Манипулирование рынком, если это действие не содержит уголовно наказуемого деяния</v>
      </c>
    </row>
    <row r="341" spans="1:10" ht="16" x14ac:dyDescent="0.2">
      <c r="A341" s="16">
        <v>336</v>
      </c>
      <c r="B341" s="16" t="s">
        <v>405</v>
      </c>
      <c r="C341" s="17" t="s">
        <v>412</v>
      </c>
      <c r="D341" s="16" t="s">
        <v>997</v>
      </c>
      <c r="E341" s="16" t="s">
        <v>23</v>
      </c>
      <c r="F341" s="16">
        <v>3000</v>
      </c>
      <c r="G341" s="16">
        <v>3000</v>
      </c>
      <c r="H341" s="16">
        <v>5000</v>
      </c>
      <c r="I341" s="18" cm="1">
        <f t="array" ref="I341">_xlfn.IFS(F341=H341,1,F341=G341,0,F341&lt;&gt;G341,(F341-G341)/(G341))</f>
        <v>0</v>
      </c>
      <c r="J341" s="17" t="str">
        <f>VLOOKUP($E341,статьи!$G$2:$I$24,2,)</f>
        <v>Манипулирование рынком, если это действие не содержит уголовно наказуемого деяния</v>
      </c>
    </row>
    <row r="342" spans="1:10" ht="16" x14ac:dyDescent="0.2">
      <c r="A342" s="16">
        <v>337</v>
      </c>
      <c r="B342" s="16" t="s">
        <v>405</v>
      </c>
      <c r="C342" s="17" t="s">
        <v>413</v>
      </c>
      <c r="D342" s="16" t="s">
        <v>997</v>
      </c>
      <c r="E342" s="16" t="s">
        <v>23</v>
      </c>
      <c r="F342" s="16">
        <v>3000</v>
      </c>
      <c r="G342" s="16">
        <v>3000</v>
      </c>
      <c r="H342" s="16">
        <v>5000</v>
      </c>
      <c r="I342" s="18" cm="1">
        <f t="array" ref="I342">_xlfn.IFS(F342=H342,1,F342=G342,0,F342&lt;&gt;G342,(F342-G342)/(G342))</f>
        <v>0</v>
      </c>
      <c r="J342" s="17" t="str">
        <f>VLOOKUP($E342,статьи!$G$2:$I$24,2,)</f>
        <v>Манипулирование рынком, если это действие не содержит уголовно наказуемого деяния</v>
      </c>
    </row>
    <row r="343" spans="1:10" ht="48" x14ac:dyDescent="0.2">
      <c r="A343" s="16">
        <v>338</v>
      </c>
      <c r="B343" s="16" t="s">
        <v>405</v>
      </c>
      <c r="C343" s="17" t="s">
        <v>269</v>
      </c>
      <c r="D343" s="16" t="s">
        <v>996</v>
      </c>
      <c r="E343" s="16" t="s">
        <v>168</v>
      </c>
      <c r="F343" s="16">
        <v>20000</v>
      </c>
      <c r="G343" s="16">
        <v>10000</v>
      </c>
      <c r="H343" s="16">
        <v>20000</v>
      </c>
      <c r="I343" s="18" cm="1">
        <f t="array" ref="I343">_xlfn.IFS(F343=H343,1,F343=G343,0,F343&lt;&gt;G343,(F343-G343)/(G343))</f>
        <v>1</v>
      </c>
      <c r="J343" s="17" t="str">
        <f>VLOOKUP($E343,статьи!$G$2:$I$24,2,)</f>
        <v>1. Непроведение проверки или несвоевременное проведение по требованию субъекта кредитной истории проверки бюро кредитных историй информации, содержащейся в кредитной истории (кредитном отчете)</v>
      </c>
    </row>
    <row r="344" spans="1:10" ht="176" x14ac:dyDescent="0.2">
      <c r="A344" s="16">
        <v>339</v>
      </c>
      <c r="B344" s="16" t="s">
        <v>405</v>
      </c>
      <c r="C344" s="17" t="s">
        <v>414</v>
      </c>
      <c r="D344" s="16" t="s">
        <v>996</v>
      </c>
      <c r="E344" s="16" t="s">
        <v>8</v>
      </c>
      <c r="F344" s="16">
        <v>300000</v>
      </c>
      <c r="G344" s="16">
        <v>300000</v>
      </c>
      <c r="H344" s="16">
        <v>500000</v>
      </c>
      <c r="I344" s="18" cm="1">
        <f t="array" ref="I344">_xlfn.IFS(F344=H344,1,F344=G344,0,F344&lt;&gt;G344,(F344-G344)/(G344))</f>
        <v>0</v>
      </c>
      <c r="J344" s="17" t="str">
        <f>VLOOKUP($E344,статьи!$G$2:$I$24,2,)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345" spans="1:10" ht="64" x14ac:dyDescent="0.2">
      <c r="A345" s="16">
        <v>340</v>
      </c>
      <c r="B345" s="16" t="s">
        <v>405</v>
      </c>
      <c r="C345" s="17" t="s">
        <v>415</v>
      </c>
      <c r="D345" s="16" t="s">
        <v>996</v>
      </c>
      <c r="E345" s="16" t="s">
        <v>7</v>
      </c>
      <c r="F345" s="16" t="s">
        <v>11</v>
      </c>
      <c r="G345" s="16">
        <v>700000</v>
      </c>
      <c r="H345" s="16">
        <v>1000000</v>
      </c>
      <c r="I345" s="18" t="e" cm="1">
        <f t="array" ref="I345">_xlfn.IFS(F345=H345,1,F345=G345,0,F345&lt;&gt;G345,(F345-G345)/(G345))</f>
        <v>#VALUE!</v>
      </c>
      <c r="J345" s="17" t="str">
        <f>VLOOKUP($E345,статьи!$G$2:$I$24,2,)</f>
        <v xml:space="preserve">Нарушение управляющей компанией акционерного инвестиционного фонда или паевого инвестиционного фонда предусмотренных федеральными законами и иными нормативными правовыми актами Российской Федерации ограничений ее деятельности -
</v>
      </c>
    </row>
    <row r="346" spans="1:10" ht="96" x14ac:dyDescent="0.2">
      <c r="A346" s="16">
        <v>340</v>
      </c>
      <c r="B346" s="16" t="s">
        <v>405</v>
      </c>
      <c r="C346" s="17" t="s">
        <v>415</v>
      </c>
      <c r="D346" s="16" t="s">
        <v>996</v>
      </c>
      <c r="E346" s="16" t="s">
        <v>18</v>
      </c>
      <c r="F346" s="16" t="s">
        <v>11</v>
      </c>
      <c r="G346" s="16">
        <v>500000</v>
      </c>
      <c r="H346" s="16">
        <v>700000</v>
      </c>
      <c r="I346" s="18" t="e" cm="1">
        <f t="array" ref="I346">_xlfn.IFS(F346=H346,1,F346=G346,0,F346&lt;&gt;G346,(F346-G346)/(G346))</f>
        <v>#VALUE!</v>
      </c>
      <c r="J346" s="17" t="str">
        <f>VLOOKUP($E346,статьи!$G$2:$I$24,2,)</f>
        <v xml:space="preserve">Нарушение установленных нормативными правовыми актами Российской Федерации и инвестиционной декларацией акционерного инвестиционного фонда или паевого инвестиционного фонда требований к составу активов акционерных инвестиционных фондов или паевых инвестиционных фондов либо неустранение нарушений в структуре активов акционерных инвестиционных фондов или паевых инвестиционных фондов -
</v>
      </c>
    </row>
    <row r="347" spans="1:10" ht="16" x14ac:dyDescent="0.2">
      <c r="A347" s="16">
        <v>341</v>
      </c>
      <c r="B347" s="16" t="s">
        <v>416</v>
      </c>
      <c r="C347" s="17" t="s">
        <v>417</v>
      </c>
      <c r="D347" s="16" t="s">
        <v>997</v>
      </c>
      <c r="E347" s="16" t="s">
        <v>23</v>
      </c>
      <c r="F347" s="16">
        <v>3000</v>
      </c>
      <c r="G347" s="16">
        <v>3000</v>
      </c>
      <c r="H347" s="16">
        <v>5000</v>
      </c>
      <c r="I347" s="18" cm="1">
        <f t="array" ref="I347">_xlfn.IFS(F347=H347,1,F347=G347,0,F347&lt;&gt;G347,(F347-G347)/(G347))</f>
        <v>0</v>
      </c>
      <c r="J347" s="17" t="str">
        <f>VLOOKUP($E347,статьи!$G$2:$I$24,2,)</f>
        <v>Манипулирование рынком, если это действие не содержит уголовно наказуемого деяния</v>
      </c>
    </row>
    <row r="348" spans="1:10" ht="80" x14ac:dyDescent="0.2">
      <c r="A348" s="16">
        <v>342</v>
      </c>
      <c r="B348" s="16" t="s">
        <v>418</v>
      </c>
      <c r="C348" s="17" t="s">
        <v>419</v>
      </c>
      <c r="D348" s="16" t="s">
        <v>996</v>
      </c>
      <c r="E348" s="16" t="s">
        <v>72</v>
      </c>
      <c r="F348" s="16">
        <v>250000</v>
      </c>
      <c r="G348" s="16">
        <v>500000</v>
      </c>
      <c r="H348" s="16">
        <v>700000</v>
      </c>
      <c r="I348" s="18" cm="1">
        <f t="array" ref="I348">_xlfn.IFS(F348=H348,1,F348=G348,0,F348&lt;&gt;G348,(F348-G348)/(G348))</f>
        <v>-0.5</v>
      </c>
      <c r="J348" s="17" t="str">
        <f>VLOOKUP($E348,статьи!$G$2:$I$24,2,)</f>
        <v xml:space="preserve">9. Невыполнение в установленный срок законного предписания Банка России, за исключением случаев, предусмотренных частью 9.1 настоящей статьи, -
</v>
      </c>
    </row>
    <row r="349" spans="1:10" ht="32" x14ac:dyDescent="0.2">
      <c r="A349" s="16">
        <v>343</v>
      </c>
      <c r="B349" s="16" t="s">
        <v>418</v>
      </c>
      <c r="C349" s="17" t="s">
        <v>420</v>
      </c>
      <c r="D349" s="16" t="s">
        <v>997</v>
      </c>
      <c r="E349" s="16" t="s">
        <v>309</v>
      </c>
      <c r="F349" s="16">
        <v>3000</v>
      </c>
      <c r="G349" s="16">
        <v>3000</v>
      </c>
      <c r="H349" s="16">
        <v>5000</v>
      </c>
      <c r="I349" s="18" cm="1">
        <f t="array" ref="I349">_xlfn.IFS(F349=H349,1,F349=G349,0,F349&lt;&gt;G349,(F349-G349)/(G349))</f>
        <v>0</v>
      </c>
      <c r="J349" s="17" t="str">
        <f>VLOOKUP($E349,статьи!$G$2:$I$24,2,)</f>
        <v>Неправомерное использование инсайдерской информации, если это действие не содержит уголовно наказуемого деяния</v>
      </c>
    </row>
    <row r="350" spans="1:10" ht="16" x14ac:dyDescent="0.2">
      <c r="A350" s="16">
        <v>344</v>
      </c>
      <c r="B350" s="16" t="s">
        <v>418</v>
      </c>
      <c r="C350" s="17" t="s">
        <v>421</v>
      </c>
      <c r="D350" s="16" t="s">
        <v>997</v>
      </c>
      <c r="E350" s="16" t="s">
        <v>23</v>
      </c>
      <c r="F350" s="16">
        <v>3000</v>
      </c>
      <c r="G350" s="16">
        <v>3000</v>
      </c>
      <c r="H350" s="16">
        <v>5000</v>
      </c>
      <c r="I350" s="18" cm="1">
        <f t="array" ref="I350">_xlfn.IFS(F350=H350,1,F350=G350,0,F350&lt;&gt;G350,(F350-G350)/(G350))</f>
        <v>0</v>
      </c>
      <c r="J350" s="17" t="str">
        <f>VLOOKUP($E350,статьи!$G$2:$I$24,2,)</f>
        <v>Манипулирование рынком, если это действие не содержит уголовно наказуемого деяния</v>
      </c>
    </row>
    <row r="351" spans="1:10" ht="16" x14ac:dyDescent="0.2">
      <c r="A351" s="16">
        <v>345</v>
      </c>
      <c r="B351" s="16" t="s">
        <v>422</v>
      </c>
      <c r="C351" s="17" t="s">
        <v>423</v>
      </c>
      <c r="D351" s="16" t="s">
        <v>997</v>
      </c>
      <c r="E351" s="16" t="s">
        <v>23</v>
      </c>
      <c r="F351" s="16">
        <v>3000</v>
      </c>
      <c r="G351" s="16">
        <v>3000</v>
      </c>
      <c r="H351" s="16">
        <v>5000</v>
      </c>
      <c r="I351" s="18" cm="1">
        <f t="array" ref="I351">_xlfn.IFS(F351=H351,1,F351=G351,0,F351&lt;&gt;G351,(F351-G351)/(G351))</f>
        <v>0</v>
      </c>
      <c r="J351" s="17" t="str">
        <f>VLOOKUP($E351,статьи!$G$2:$I$24,2,)</f>
        <v>Манипулирование рынком, если это действие не содержит уголовно наказуемого деяния</v>
      </c>
    </row>
    <row r="352" spans="1:10" ht="16" x14ac:dyDescent="0.2">
      <c r="A352" s="16">
        <v>346</v>
      </c>
      <c r="B352" s="16" t="s">
        <v>422</v>
      </c>
      <c r="C352" s="17" t="s">
        <v>424</v>
      </c>
      <c r="D352" s="16" t="s">
        <v>997</v>
      </c>
      <c r="E352" s="16" t="s">
        <v>23</v>
      </c>
      <c r="F352" s="16">
        <v>3000</v>
      </c>
      <c r="G352" s="16">
        <v>3000</v>
      </c>
      <c r="H352" s="16">
        <v>5000</v>
      </c>
      <c r="I352" s="18" cm="1">
        <f t="array" ref="I352">_xlfn.IFS(F352=H352,1,F352=G352,0,F352&lt;&gt;G352,(F352-G352)/(G352))</f>
        <v>0</v>
      </c>
      <c r="J352" s="17" t="str">
        <f>VLOOKUP($E352,статьи!$G$2:$I$24,2,)</f>
        <v>Манипулирование рынком, если это действие не содержит уголовно наказуемого деяния</v>
      </c>
    </row>
    <row r="353" spans="1:10" ht="144" x14ac:dyDescent="0.2">
      <c r="A353" s="16">
        <v>347</v>
      </c>
      <c r="B353" s="16" t="s">
        <v>422</v>
      </c>
      <c r="C353" s="17" t="s">
        <v>82</v>
      </c>
      <c r="D353" s="16" t="s">
        <v>996</v>
      </c>
      <c r="E353" s="16" t="s">
        <v>5</v>
      </c>
      <c r="F353" s="16">
        <v>700000</v>
      </c>
      <c r="G353" s="16">
        <v>700000</v>
      </c>
      <c r="H353" s="16">
        <v>1000000</v>
      </c>
      <c r="I353" s="18" cm="1">
        <f t="array" ref="I353">_xlfn.IFS(F353=H353,1,F353=G353,0,F353&lt;&gt;G353,(F353-G353)/(G353))</f>
        <v>0</v>
      </c>
      <c r="J353" s="17" t="str">
        <f>VLOOKUP($E353,статьи!$G$2:$I$24,2,)</f>
        <v>Воспрепятствование профессиональным участником рынка ценных бумаг,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проведению Банком России проверок либо неисполнение или ненадлежащее исполнение предписаний Банка России</v>
      </c>
    </row>
    <row r="354" spans="1:10" ht="16" x14ac:dyDescent="0.2">
      <c r="A354" s="16">
        <v>348</v>
      </c>
      <c r="B354" s="16" t="s">
        <v>425</v>
      </c>
      <c r="C354" s="17" t="s">
        <v>426</v>
      </c>
      <c r="D354" s="16" t="s">
        <v>996</v>
      </c>
      <c r="E354" s="16" t="s">
        <v>23</v>
      </c>
      <c r="F354" s="16">
        <v>700000</v>
      </c>
      <c r="G354" s="16">
        <v>700000</v>
      </c>
      <c r="H354" s="16" t="s">
        <v>1002</v>
      </c>
      <c r="I354" s="18" cm="1">
        <f t="array" ref="I354">_xlfn.IFS(F354=H354,1,F354=G354,0,F354&lt;&gt;G354,(F354-G354)/(G354))</f>
        <v>0</v>
      </c>
      <c r="J354" s="17" t="str">
        <f>VLOOKUP($E354,статьи!$G$2:$I$24,2,)</f>
        <v>Манипулирование рынком, если это действие не содержит уголовно наказуемого деяния</v>
      </c>
    </row>
    <row r="355" spans="1:10" ht="80" x14ac:dyDescent="0.2">
      <c r="A355" s="16">
        <v>349</v>
      </c>
      <c r="B355" s="16" t="s">
        <v>425</v>
      </c>
      <c r="C355" s="17" t="s">
        <v>212</v>
      </c>
      <c r="D355" s="16" t="s">
        <v>996</v>
      </c>
      <c r="E355" s="16" t="s">
        <v>72</v>
      </c>
      <c r="F355" s="16">
        <v>250000</v>
      </c>
      <c r="G355" s="16">
        <v>500000</v>
      </c>
      <c r="H355" s="16">
        <v>700000</v>
      </c>
      <c r="I355" s="18" cm="1">
        <f t="array" ref="I355">_xlfn.IFS(F355=H355,1,F355=G355,0,F355&lt;&gt;G355,(F355-G355)/(G355))</f>
        <v>-0.5</v>
      </c>
      <c r="J355" s="17" t="str">
        <f>VLOOKUP($E355,статьи!$G$2:$I$24,2,)</f>
        <v xml:space="preserve">9. Невыполнение в установленный срок законного предписания Банка России, за исключением случаев, предусмотренных частью 9.1 настоящей статьи, -
</v>
      </c>
    </row>
    <row r="356" spans="1:10" ht="80" x14ac:dyDescent="0.2">
      <c r="A356" s="16">
        <v>350</v>
      </c>
      <c r="B356" s="16" t="s">
        <v>425</v>
      </c>
      <c r="C356" s="17" t="s">
        <v>304</v>
      </c>
      <c r="D356" s="16" t="s">
        <v>996</v>
      </c>
      <c r="E356" s="16" t="s">
        <v>72</v>
      </c>
      <c r="F356" s="16">
        <v>250000</v>
      </c>
      <c r="G356" s="16">
        <v>500000</v>
      </c>
      <c r="H356" s="16">
        <v>700000</v>
      </c>
      <c r="I356" s="18" cm="1">
        <f t="array" ref="I356">_xlfn.IFS(F356=H356,1,F356=G356,0,F356&lt;&gt;G356,(F356-G356)/(G356))</f>
        <v>-0.5</v>
      </c>
      <c r="J356" s="17" t="str">
        <f>VLOOKUP($E356,статьи!$G$2:$I$24,2,)</f>
        <v xml:space="preserve">9. Невыполнение в установленный срок законного предписания Банка России, за исключением случаев, предусмотренных частью 9.1 настоящей статьи, -
</v>
      </c>
    </row>
    <row r="357" spans="1:10" ht="16" x14ac:dyDescent="0.2">
      <c r="A357" s="16">
        <v>351</v>
      </c>
      <c r="B357" s="16" t="s">
        <v>427</v>
      </c>
      <c r="C357" s="17" t="s">
        <v>428</v>
      </c>
      <c r="D357" s="16" t="s">
        <v>997</v>
      </c>
      <c r="E357" s="16" t="s">
        <v>23</v>
      </c>
      <c r="F357" s="16">
        <v>3000</v>
      </c>
      <c r="G357" s="16">
        <v>3000</v>
      </c>
      <c r="H357" s="16">
        <v>5000</v>
      </c>
      <c r="I357" s="18" cm="1">
        <f t="array" ref="I357">_xlfn.IFS(F357=H357,1,F357=G357,0,F357&lt;&gt;G357,(F357-G357)/(G357))</f>
        <v>0</v>
      </c>
      <c r="J357" s="17" t="str">
        <f>VLOOKUP($E357,статьи!$G$2:$I$24,2,)</f>
        <v>Манипулирование рынком, если это действие не содержит уголовно наказуемого деяния</v>
      </c>
    </row>
    <row r="358" spans="1:10" ht="176" x14ac:dyDescent="0.2">
      <c r="A358" s="16">
        <v>352</v>
      </c>
      <c r="B358" s="16" t="s">
        <v>429</v>
      </c>
      <c r="C358" s="17" t="s">
        <v>85</v>
      </c>
      <c r="D358" s="16" t="s">
        <v>996</v>
      </c>
      <c r="E358" s="16" t="s">
        <v>80</v>
      </c>
      <c r="F358" s="16">
        <v>700000</v>
      </c>
      <c r="G358" s="16">
        <v>700000</v>
      </c>
      <c r="H358" s="16">
        <v>1000000</v>
      </c>
      <c r="I358" s="18" cm="1">
        <f t="array" ref="I358">_xlfn.IFS(F358=H358,1,F358=G358,0,F358&lt;&gt;G358,(F358-G358)/(G358))</f>
        <v>0</v>
      </c>
      <c r="J358" s="17" t="str">
        <f>VLOOKUP($E358,статьи!$G$2:$I$24,2,)</f>
        <v>2. Нераскрытие или нарушение эмитентом, профессиональным участником рынка ценных бумаг, клиринговой организацией, акционерным инвестиционным фондом, управляющей компанией акционерного инвестиционного фонда, паевого инвестиционного фонда или негосударственного пенсионного фонда, специализированным депозитарием акционерного инвестиционного фонда, паевого инвестиционного фонда или негосударственного пенсионного фонда либо лицом, оказывающим услуги по публичному представлению раскрываемой информации, порядка и сроков раскрытия информации, предусмотренной федеральными законами и принятыми в соответствии с ними иными нормативными правовыми актами, а равно раскрытие информации не в полном объеме, и (или) недостоверной информации, и (или) вводящей в заблуждение информации</v>
      </c>
    </row>
    <row r="359" spans="1:10" ht="16" x14ac:dyDescent="0.2">
      <c r="A359" s="16">
        <v>353</v>
      </c>
      <c r="B359" s="16" t="s">
        <v>429</v>
      </c>
      <c r="C359" s="17" t="s">
        <v>430</v>
      </c>
      <c r="D359" s="16" t="s">
        <v>997</v>
      </c>
      <c r="E359" s="16" t="s">
        <v>23</v>
      </c>
      <c r="F359" s="16">
        <v>3000</v>
      </c>
      <c r="G359" s="16">
        <v>3000</v>
      </c>
      <c r="H359" s="16">
        <v>5000</v>
      </c>
      <c r="I359" s="18" cm="1">
        <f t="array" ref="I359">_xlfn.IFS(F359=H359,1,F359=G359,0,F359&lt;&gt;G359,(F359-G359)/(G359))</f>
        <v>0</v>
      </c>
      <c r="J359" s="17" t="str">
        <f>VLOOKUP($E359,статьи!$G$2:$I$24,2,)</f>
        <v>Манипулирование рынком, если это действие не содержит уголовно наказуемого деяния</v>
      </c>
    </row>
    <row r="360" spans="1:10" ht="16" x14ac:dyDescent="0.2">
      <c r="A360" s="16">
        <v>354</v>
      </c>
      <c r="B360" s="16" t="s">
        <v>431</v>
      </c>
      <c r="C360" s="17" t="s">
        <v>432</v>
      </c>
      <c r="D360" s="16" t="s">
        <v>997</v>
      </c>
      <c r="E360" s="16" t="s">
        <v>23</v>
      </c>
      <c r="F360" s="16">
        <v>3000</v>
      </c>
      <c r="G360" s="16">
        <v>3000</v>
      </c>
      <c r="H360" s="16">
        <v>5000</v>
      </c>
      <c r="I360" s="18" cm="1">
        <f t="array" ref="I360">_xlfn.IFS(F360=H360,1,F360=G360,0,F360&lt;&gt;G360,(F360-G360)/(G360))</f>
        <v>0</v>
      </c>
      <c r="J360" s="17" t="str">
        <f>VLOOKUP($E360,статьи!$G$2:$I$24,2,)</f>
        <v>Манипулирование рынком, если это действие не содержит уголовно наказуемого деяния</v>
      </c>
    </row>
    <row r="361" spans="1:10" ht="16" x14ac:dyDescent="0.2">
      <c r="A361" s="16">
        <v>355</v>
      </c>
      <c r="B361" s="16" t="s">
        <v>433</v>
      </c>
      <c r="C361" s="17" t="s">
        <v>434</v>
      </c>
      <c r="D361" s="16" t="s">
        <v>997</v>
      </c>
      <c r="E361" s="16" t="s">
        <v>23</v>
      </c>
      <c r="F361" s="16">
        <v>3000</v>
      </c>
      <c r="G361" s="16">
        <v>3000</v>
      </c>
      <c r="H361" s="16">
        <v>5000</v>
      </c>
      <c r="I361" s="18" cm="1">
        <f t="array" ref="I361">_xlfn.IFS(F361=H361,1,F361=G361,0,F361&lt;&gt;G361,(F361-G361)/(G361))</f>
        <v>0</v>
      </c>
      <c r="J361" s="17" t="str">
        <f>VLOOKUP($E361,статьи!$G$2:$I$24,2,)</f>
        <v>Манипулирование рынком, если это действие не содержит уголовно наказуемого деяния</v>
      </c>
    </row>
    <row r="362" spans="1:10" ht="80" x14ac:dyDescent="0.2">
      <c r="A362" s="16">
        <v>356</v>
      </c>
      <c r="B362" s="16" t="s">
        <v>433</v>
      </c>
      <c r="C362" s="17" t="s">
        <v>304</v>
      </c>
      <c r="D362" s="16" t="s">
        <v>996</v>
      </c>
      <c r="E362" s="16" t="s">
        <v>72</v>
      </c>
      <c r="F362" s="16">
        <v>250000</v>
      </c>
      <c r="G362" s="16">
        <v>500000</v>
      </c>
      <c r="H362" s="16">
        <v>700000</v>
      </c>
      <c r="I362" s="18" cm="1">
        <f t="array" ref="I362">_xlfn.IFS(F362=H362,1,F362=G362,0,F362&lt;&gt;G362,(F362-G362)/(G362))</f>
        <v>-0.5</v>
      </c>
      <c r="J362" s="17" t="str">
        <f>VLOOKUP($E362,статьи!$G$2:$I$24,2,)</f>
        <v xml:space="preserve">9. Невыполнение в установленный срок законного предписания Банка России, за исключением случаев, предусмотренных частью 9.1 настоящей статьи, -
</v>
      </c>
    </row>
    <row r="363" spans="1:10" ht="176" x14ac:dyDescent="0.2">
      <c r="A363" s="16">
        <v>357</v>
      </c>
      <c r="B363" s="16" t="s">
        <v>433</v>
      </c>
      <c r="C363" s="17" t="s">
        <v>435</v>
      </c>
      <c r="D363" s="16" t="s">
        <v>996</v>
      </c>
      <c r="E363" s="16" t="s">
        <v>8</v>
      </c>
      <c r="F363" s="16">
        <v>300000</v>
      </c>
      <c r="G363" s="16">
        <v>300000</v>
      </c>
      <c r="H363" s="16">
        <v>500000</v>
      </c>
      <c r="I363" s="18" cm="1">
        <f t="array" ref="I363">_xlfn.IFS(F363=H363,1,F363=G363,0,F363&lt;&gt;G363,(F363-G363)/(G363))</f>
        <v>0</v>
      </c>
      <c r="J363" s="17" t="str">
        <f>VLOOKUP($E363,статьи!$G$2:$I$24,2,)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364" spans="1:10" ht="176" x14ac:dyDescent="0.2">
      <c r="A364" s="16">
        <v>358</v>
      </c>
      <c r="B364" s="16" t="s">
        <v>433</v>
      </c>
      <c r="C364" s="17" t="s">
        <v>436</v>
      </c>
      <c r="D364" s="16" t="s">
        <v>996</v>
      </c>
      <c r="E364" s="16" t="s">
        <v>8</v>
      </c>
      <c r="F364" s="16" t="s">
        <v>11</v>
      </c>
      <c r="G364" s="16">
        <v>300000</v>
      </c>
      <c r="H364" s="16">
        <v>500000</v>
      </c>
      <c r="I364" s="18" t="e" cm="1">
        <f t="array" ref="I364">_xlfn.IFS(F364=H364,1,F364=G364,0,F364&lt;&gt;G364,(F364-G364)/(G364))</f>
        <v>#VALUE!</v>
      </c>
      <c r="J364" s="17" t="str">
        <f>VLOOKUP($E364,статьи!$G$2:$I$24,2,)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365" spans="1:10" ht="176" x14ac:dyDescent="0.2">
      <c r="A365" s="16">
        <v>359</v>
      </c>
      <c r="B365" s="16" t="s">
        <v>433</v>
      </c>
      <c r="C365" s="17" t="s">
        <v>437</v>
      </c>
      <c r="D365" s="16" t="s">
        <v>996</v>
      </c>
      <c r="E365" s="16" t="s">
        <v>8</v>
      </c>
      <c r="F365" s="16" t="s">
        <v>11</v>
      </c>
      <c r="G365" s="16">
        <v>300000</v>
      </c>
      <c r="H365" s="16">
        <v>500000</v>
      </c>
      <c r="I365" s="18" t="e" cm="1">
        <f t="array" ref="I365">_xlfn.IFS(F365=H365,1,F365=G365,0,F365&lt;&gt;G365,(F365-G365)/(G365))</f>
        <v>#VALUE!</v>
      </c>
      <c r="J365" s="17" t="str">
        <f>VLOOKUP($E365,статьи!$G$2:$I$24,2,)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366" spans="1:10" ht="176" x14ac:dyDescent="0.2">
      <c r="A366" s="16">
        <v>359</v>
      </c>
      <c r="B366" s="16" t="s">
        <v>433</v>
      </c>
      <c r="C366" s="17" t="s">
        <v>437</v>
      </c>
      <c r="D366" s="16" t="s">
        <v>996</v>
      </c>
      <c r="E366" s="16" t="s">
        <v>8</v>
      </c>
      <c r="F366" s="16" t="s">
        <v>11</v>
      </c>
      <c r="G366" s="16">
        <v>300000</v>
      </c>
      <c r="H366" s="16">
        <v>500000</v>
      </c>
      <c r="I366" s="18" t="e" cm="1">
        <f t="array" ref="I366">_xlfn.IFS(F366=H366,1,F366=G366,0,F366&lt;&gt;G366,(F366-G366)/(G366))</f>
        <v>#VALUE!</v>
      </c>
      <c r="J366" s="17" t="str">
        <f>VLOOKUP($E366,статьи!$G$2:$I$24,2,)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367" spans="1:10" ht="176" x14ac:dyDescent="0.2">
      <c r="A367" s="16">
        <v>360</v>
      </c>
      <c r="B367" s="16" t="s">
        <v>438</v>
      </c>
      <c r="C367" s="17" t="s">
        <v>14</v>
      </c>
      <c r="D367" s="16" t="s">
        <v>996</v>
      </c>
      <c r="E367" s="16" t="s">
        <v>8</v>
      </c>
      <c r="F367" s="16">
        <v>300000</v>
      </c>
      <c r="G367" s="16">
        <v>300000</v>
      </c>
      <c r="H367" s="16">
        <v>500000</v>
      </c>
      <c r="I367" s="18" cm="1">
        <f t="array" ref="I367">_xlfn.IFS(F367=H367,1,F367=G367,0,F367&lt;&gt;G367,(F367-G367)/(G367))</f>
        <v>0</v>
      </c>
      <c r="J367" s="17" t="str">
        <f>VLOOKUP($E367,статьи!$G$2:$I$24,2,)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368" spans="1:10" ht="16" x14ac:dyDescent="0.2">
      <c r="A368" s="16">
        <v>361</v>
      </c>
      <c r="B368" s="16" t="s">
        <v>438</v>
      </c>
      <c r="C368" s="17" t="s">
        <v>439</v>
      </c>
      <c r="D368" s="16" t="s">
        <v>997</v>
      </c>
      <c r="E368" s="16" t="s">
        <v>23</v>
      </c>
      <c r="F368" s="16">
        <v>3000</v>
      </c>
      <c r="G368" s="16">
        <v>3000</v>
      </c>
      <c r="H368" s="16">
        <v>5000</v>
      </c>
      <c r="I368" s="18" cm="1">
        <f t="array" ref="I368">_xlfn.IFS(F368=H368,1,F368=G368,0,F368&lt;&gt;G368,(F368-G368)/(G368))</f>
        <v>0</v>
      </c>
      <c r="J368" s="17" t="str">
        <f>VLOOKUP($E368,статьи!$G$2:$I$24,2,)</f>
        <v>Манипулирование рынком, если это действие не содержит уголовно наказуемого деяния</v>
      </c>
    </row>
    <row r="369" spans="1:10" ht="16" x14ac:dyDescent="0.2">
      <c r="A369" s="16">
        <v>362</v>
      </c>
      <c r="B369" s="16" t="s">
        <v>438</v>
      </c>
      <c r="C369" s="17" t="s">
        <v>440</v>
      </c>
      <c r="D369" s="16" t="s">
        <v>997</v>
      </c>
      <c r="E369" s="16" t="s">
        <v>23</v>
      </c>
      <c r="F369" s="16">
        <v>3000</v>
      </c>
      <c r="G369" s="16">
        <v>3000</v>
      </c>
      <c r="H369" s="16">
        <v>5000</v>
      </c>
      <c r="I369" s="18" cm="1">
        <f t="array" ref="I369">_xlfn.IFS(F369=H369,1,F369=G369,0,F369&lt;&gt;G369,(F369-G369)/(G369))</f>
        <v>0</v>
      </c>
      <c r="J369" s="17" t="str">
        <f>VLOOKUP($E369,статьи!$G$2:$I$24,2,)</f>
        <v>Манипулирование рынком, если это действие не содержит уголовно наказуемого деяния</v>
      </c>
    </row>
    <row r="370" spans="1:10" ht="176" x14ac:dyDescent="0.2">
      <c r="A370" s="16">
        <v>363</v>
      </c>
      <c r="B370" s="16" t="s">
        <v>441</v>
      </c>
      <c r="C370" s="17" t="s">
        <v>275</v>
      </c>
      <c r="D370" s="16" t="s">
        <v>996</v>
      </c>
      <c r="E370" s="16" t="s">
        <v>8</v>
      </c>
      <c r="F370" s="16">
        <v>300000</v>
      </c>
      <c r="G370" s="16">
        <v>300000</v>
      </c>
      <c r="H370" s="16">
        <v>500000</v>
      </c>
      <c r="I370" s="18" cm="1">
        <f t="array" ref="I370">_xlfn.IFS(F370=H370,1,F370=G370,0,F370&lt;&gt;G370,(F370-G370)/(G370))</f>
        <v>0</v>
      </c>
      <c r="J370" s="17" t="str">
        <f>VLOOKUP($E370,статьи!$G$2:$I$24,2,)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371" spans="1:10" ht="16" x14ac:dyDescent="0.2">
      <c r="A371" s="16">
        <v>364</v>
      </c>
      <c r="B371" s="16" t="s">
        <v>441</v>
      </c>
      <c r="C371" s="17" t="s">
        <v>442</v>
      </c>
      <c r="D371" s="16" t="s">
        <v>997</v>
      </c>
      <c r="E371" s="16" t="s">
        <v>23</v>
      </c>
      <c r="F371" s="16">
        <v>3000</v>
      </c>
      <c r="G371" s="16">
        <v>3000</v>
      </c>
      <c r="H371" s="16">
        <v>5000</v>
      </c>
      <c r="I371" s="18" cm="1">
        <f t="array" ref="I371">_xlfn.IFS(F371=H371,1,F371=G371,0,F371&lt;&gt;G371,(F371-G371)/(G371))</f>
        <v>0</v>
      </c>
      <c r="J371" s="17" t="str">
        <f>VLOOKUP($E371,статьи!$G$2:$I$24,2,)</f>
        <v>Манипулирование рынком, если это действие не содержит уголовно наказуемого деяния</v>
      </c>
    </row>
    <row r="372" spans="1:10" ht="176" x14ac:dyDescent="0.2">
      <c r="A372" s="16">
        <v>365</v>
      </c>
      <c r="B372" s="16" t="s">
        <v>443</v>
      </c>
      <c r="C372" s="17" t="s">
        <v>444</v>
      </c>
      <c r="D372" s="16" t="s">
        <v>996</v>
      </c>
      <c r="E372" s="16" t="s">
        <v>8</v>
      </c>
      <c r="F372" s="16">
        <v>300000</v>
      </c>
      <c r="G372" s="16">
        <v>300000</v>
      </c>
      <c r="H372" s="16">
        <v>500000</v>
      </c>
      <c r="I372" s="18" cm="1">
        <f t="array" ref="I372">_xlfn.IFS(F372=H372,1,F372=G372,0,F372&lt;&gt;G372,(F372-G372)/(G372))</f>
        <v>0</v>
      </c>
      <c r="J372" s="17" t="str">
        <f>VLOOKUP($E372,статьи!$G$2:$I$24,2,)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373" spans="1:10" ht="224" x14ac:dyDescent="0.2">
      <c r="A373" s="16">
        <v>366</v>
      </c>
      <c r="B373" s="16" t="s">
        <v>443</v>
      </c>
      <c r="C373" s="17" t="s">
        <v>13</v>
      </c>
      <c r="D373" s="16" t="s">
        <v>996</v>
      </c>
      <c r="E373" s="16" t="s">
        <v>75</v>
      </c>
      <c r="F373" s="16">
        <v>500000</v>
      </c>
      <c r="G373" s="16">
        <v>500000</v>
      </c>
      <c r="H373" s="16">
        <v>700000</v>
      </c>
      <c r="I373" s="18" cm="1">
        <f t="array" ref="I373">_xlfn.IFS(F373=H373,1,F373=G373,0,F373&lt;&gt;G373,(F373-G373)/(G373))</f>
        <v>0</v>
      </c>
      <c r="J373" s="17" t="str">
        <f>VLOOKUP($E373,статьи!$G$2:$I$24,2,)</f>
        <v xml:space="preserve">
1. Непредставление или нарушение порядка либо сроков представления в Банк России отчетов, уведомлений и иной информации, предусмотренной законодательством и (или) необходимой для осуществления этим органом (должностным лицом) его законной деятельности, либо представление информации не в полном объеме и (или) недостоверной информации, за исключением случаев, если в соответствии со страховым законодательством, законодательством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Банком России дается законное предписание об устранении нарушения страхового законодательства, законодательства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и случаев, указанных в части 2 настоящей статьи, если эти действия (бездействие) не содержат признаков уголовно наказуемого деяния</v>
      </c>
    </row>
    <row r="374" spans="1:10" ht="16" x14ac:dyDescent="0.2">
      <c r="A374" s="16">
        <v>367</v>
      </c>
      <c r="B374" s="16" t="s">
        <v>443</v>
      </c>
      <c r="C374" s="17" t="s">
        <v>445</v>
      </c>
      <c r="D374" s="16" t="s">
        <v>997</v>
      </c>
      <c r="E374" s="16" t="s">
        <v>23</v>
      </c>
      <c r="F374" s="16">
        <v>3000</v>
      </c>
      <c r="G374" s="16">
        <v>3000</v>
      </c>
      <c r="H374" s="16">
        <v>5000</v>
      </c>
      <c r="I374" s="18" cm="1">
        <f t="array" ref="I374">_xlfn.IFS(F374=H374,1,F374=G374,0,F374&lt;&gt;G374,(F374-G374)/(G374))</f>
        <v>0</v>
      </c>
      <c r="J374" s="17" t="str">
        <f>VLOOKUP($E374,статьи!$G$2:$I$24,2,)</f>
        <v>Манипулирование рынком, если это действие не содержит уголовно наказуемого деяния</v>
      </c>
    </row>
    <row r="375" spans="1:10" ht="16" x14ac:dyDescent="0.2">
      <c r="A375" s="16">
        <v>368</v>
      </c>
      <c r="B375" s="16" t="s">
        <v>443</v>
      </c>
      <c r="C375" s="17" t="s">
        <v>446</v>
      </c>
      <c r="D375" s="16" t="s">
        <v>997</v>
      </c>
      <c r="E375" s="16" t="s">
        <v>23</v>
      </c>
      <c r="F375" s="16">
        <v>3000</v>
      </c>
      <c r="G375" s="16">
        <v>3000</v>
      </c>
      <c r="H375" s="16">
        <v>5000</v>
      </c>
      <c r="I375" s="18" cm="1">
        <f t="array" ref="I375">_xlfn.IFS(F375=H375,1,F375=G375,0,F375&lt;&gt;G375,(F375-G375)/(G375))</f>
        <v>0</v>
      </c>
      <c r="J375" s="17" t="str">
        <f>VLOOKUP($E375,статьи!$G$2:$I$24,2,)</f>
        <v>Манипулирование рынком, если это действие не содержит уголовно наказуемого деяния</v>
      </c>
    </row>
    <row r="376" spans="1:10" ht="16" x14ac:dyDescent="0.2">
      <c r="A376" s="16">
        <v>369</v>
      </c>
      <c r="B376" s="16" t="s">
        <v>443</v>
      </c>
      <c r="C376" s="17" t="s">
        <v>447</v>
      </c>
      <c r="D376" s="16" t="s">
        <v>997</v>
      </c>
      <c r="E376" s="16" t="s">
        <v>23</v>
      </c>
      <c r="F376" s="16">
        <v>3000</v>
      </c>
      <c r="G376" s="16">
        <v>3000</v>
      </c>
      <c r="H376" s="16">
        <v>5000</v>
      </c>
      <c r="I376" s="18" cm="1">
        <f t="array" ref="I376">_xlfn.IFS(F376=H376,1,F376=G376,0,F376&lt;&gt;G376,(F376-G376)/(G376))</f>
        <v>0</v>
      </c>
      <c r="J376" s="17" t="str">
        <f>VLOOKUP($E376,статьи!$G$2:$I$24,2,)</f>
        <v>Манипулирование рынком, если это действие не содержит уголовно наказуемого деяния</v>
      </c>
    </row>
    <row r="377" spans="1:10" ht="176" x14ac:dyDescent="0.2">
      <c r="A377" s="16">
        <v>370</v>
      </c>
      <c r="B377" s="16" t="s">
        <v>443</v>
      </c>
      <c r="C377" s="17" t="s">
        <v>292</v>
      </c>
      <c r="D377" s="16" t="s">
        <v>996</v>
      </c>
      <c r="E377" s="16" t="s">
        <v>80</v>
      </c>
      <c r="F377" s="16">
        <v>700000</v>
      </c>
      <c r="G377" s="16">
        <v>700000</v>
      </c>
      <c r="H377" s="16">
        <v>1000000</v>
      </c>
      <c r="I377" s="18" cm="1">
        <f t="array" ref="I377">_xlfn.IFS(F377=H377,1,F377=G377,0,F377&lt;&gt;G377,(F377-G377)/(G377))</f>
        <v>0</v>
      </c>
      <c r="J377" s="17" t="str">
        <f>VLOOKUP($E377,статьи!$G$2:$I$24,2,)</f>
        <v>2. Нераскрытие или нарушение эмитентом, профессиональным участником рынка ценных бумаг, клиринговой организацией, акционерным инвестиционным фондом, управляющей компанией акционерного инвестиционного фонда, паевого инвестиционного фонда или негосударственного пенсионного фонда, специализированным депозитарием акционерного инвестиционного фонда, паевого инвестиционного фонда или негосударственного пенсионного фонда либо лицом, оказывающим услуги по публичному представлению раскрываемой информации, порядка и сроков раскрытия информации, предусмотренной федеральными законами и принятыми в соответствии с ними иными нормативными правовыми актами, а равно раскрытие информации не в полном объеме, и (или) недостоверной информации, и (или) вводящей в заблуждение информации</v>
      </c>
    </row>
    <row r="378" spans="1:10" ht="176" x14ac:dyDescent="0.2">
      <c r="A378" s="16">
        <v>371</v>
      </c>
      <c r="B378" s="16" t="s">
        <v>443</v>
      </c>
      <c r="C378" s="17" t="s">
        <v>448</v>
      </c>
      <c r="D378" s="16" t="s">
        <v>996</v>
      </c>
      <c r="E378" s="16" t="s">
        <v>8</v>
      </c>
      <c r="F378" s="16" t="s">
        <v>11</v>
      </c>
      <c r="G378" s="16">
        <v>300000</v>
      </c>
      <c r="H378" s="16">
        <v>500000</v>
      </c>
      <c r="I378" s="18" t="e" cm="1">
        <f t="array" ref="I378">_xlfn.IFS(F378=H378,1,F378=G378,0,F378&lt;&gt;G378,(F378-G378)/(G378))</f>
        <v>#VALUE!</v>
      </c>
      <c r="J378" s="17" t="str">
        <f>VLOOKUP($E378,статьи!$G$2:$I$24,2,)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379" spans="1:10" ht="16" x14ac:dyDescent="0.2">
      <c r="A379" s="16">
        <v>372</v>
      </c>
      <c r="B379" s="16" t="s">
        <v>449</v>
      </c>
      <c r="C379" s="17" t="s">
        <v>450</v>
      </c>
      <c r="D379" s="16" t="s">
        <v>997</v>
      </c>
      <c r="E379" s="16" t="s">
        <v>23</v>
      </c>
      <c r="F379" s="16">
        <v>3000</v>
      </c>
      <c r="G379" s="16">
        <v>3000</v>
      </c>
      <c r="H379" s="16">
        <v>5000</v>
      </c>
      <c r="I379" s="18" cm="1">
        <f t="array" ref="I379">_xlfn.IFS(F379=H379,1,F379=G379,0,F379&lt;&gt;G379,(F379-G379)/(G379))</f>
        <v>0</v>
      </c>
      <c r="J379" s="17" t="str">
        <f>VLOOKUP($E379,статьи!$G$2:$I$24,2,)</f>
        <v>Манипулирование рынком, если это действие не содержит уголовно наказуемого деяния</v>
      </c>
    </row>
    <row r="380" spans="1:10" ht="16" x14ac:dyDescent="0.2">
      <c r="A380" s="16">
        <v>373</v>
      </c>
      <c r="B380" s="16" t="s">
        <v>451</v>
      </c>
      <c r="C380" s="17" t="s">
        <v>452</v>
      </c>
      <c r="D380" s="16" t="s">
        <v>997</v>
      </c>
      <c r="E380" s="16" t="s">
        <v>23</v>
      </c>
      <c r="F380" s="16">
        <v>3000</v>
      </c>
      <c r="G380" s="16">
        <v>3000</v>
      </c>
      <c r="H380" s="16">
        <v>5000</v>
      </c>
      <c r="I380" s="18" cm="1">
        <f t="array" ref="I380">_xlfn.IFS(F380=H380,1,F380=G380,0,F380&lt;&gt;G380,(F380-G380)/(G380))</f>
        <v>0</v>
      </c>
      <c r="J380" s="17" t="str">
        <f>VLOOKUP($E380,статьи!$G$2:$I$24,2,)</f>
        <v>Манипулирование рынком, если это действие не содержит уголовно наказуемого деяния</v>
      </c>
    </row>
    <row r="381" spans="1:10" ht="48" x14ac:dyDescent="0.2">
      <c r="A381" s="16">
        <v>374</v>
      </c>
      <c r="B381" s="16" t="s">
        <v>453</v>
      </c>
      <c r="C381" s="17" t="s">
        <v>330</v>
      </c>
      <c r="D381" s="16" t="s">
        <v>996</v>
      </c>
      <c r="E381" s="16" t="s">
        <v>454</v>
      </c>
      <c r="F381" s="16">
        <v>30000</v>
      </c>
      <c r="G381" s="16">
        <v>30000</v>
      </c>
      <c r="H381" s="16">
        <v>50000</v>
      </c>
      <c r="I381" s="18" cm="1">
        <f t="array" ref="I381">_xlfn.IFS(F381=H381,1,F381=G381,0,F381&lt;&gt;G381,(F381-G381)/(G381))</f>
        <v>0</v>
      </c>
      <c r="J381" s="17" t="str">
        <f>VLOOKUP($E381,статьи!$G$2:$I$24,2,)</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row>
    <row r="382" spans="1:10" ht="16" x14ac:dyDescent="0.2">
      <c r="A382" s="16">
        <v>375</v>
      </c>
      <c r="B382" s="16" t="s">
        <v>453</v>
      </c>
      <c r="C382" s="17" t="s">
        <v>455</v>
      </c>
      <c r="D382" s="16" t="s">
        <v>997</v>
      </c>
      <c r="E382" s="16" t="s">
        <v>23</v>
      </c>
      <c r="F382" s="16">
        <v>3000</v>
      </c>
      <c r="G382" s="16">
        <v>3000</v>
      </c>
      <c r="H382" s="16">
        <v>5000</v>
      </c>
      <c r="I382" s="18" cm="1">
        <f t="array" ref="I382">_xlfn.IFS(F382=H382,1,F382=G382,0,F382&lt;&gt;G382,(F382-G382)/(G382))</f>
        <v>0</v>
      </c>
      <c r="J382" s="17" t="str">
        <f>VLOOKUP($E382,статьи!$G$2:$I$24,2,)</f>
        <v>Манипулирование рынком, если это действие не содержит уголовно наказуемого деяния</v>
      </c>
    </row>
    <row r="383" spans="1:10" ht="16" x14ac:dyDescent="0.2">
      <c r="A383" s="16">
        <v>376</v>
      </c>
      <c r="B383" s="16" t="s">
        <v>456</v>
      </c>
      <c r="C383" s="17" t="s">
        <v>457</v>
      </c>
      <c r="D383" s="16" t="s">
        <v>997</v>
      </c>
      <c r="E383" s="16" t="s">
        <v>23</v>
      </c>
      <c r="F383" s="16">
        <v>3000</v>
      </c>
      <c r="G383" s="16">
        <v>3000</v>
      </c>
      <c r="H383" s="16">
        <v>5000</v>
      </c>
      <c r="I383" s="18" cm="1">
        <f t="array" ref="I383">_xlfn.IFS(F383=H383,1,F383=G383,0,F383&lt;&gt;G383,(F383-G383)/(G383))</f>
        <v>0</v>
      </c>
      <c r="J383" s="17" t="str">
        <f>VLOOKUP($E383,статьи!$G$2:$I$24,2,)</f>
        <v>Манипулирование рынком, если это действие не содержит уголовно наказуемого деяния</v>
      </c>
    </row>
    <row r="384" spans="1:10" ht="16" x14ac:dyDescent="0.2">
      <c r="A384" s="16">
        <v>377</v>
      </c>
      <c r="B384" s="16" t="s">
        <v>456</v>
      </c>
      <c r="C384" s="17" t="s">
        <v>458</v>
      </c>
      <c r="D384" s="16" t="s">
        <v>997</v>
      </c>
      <c r="E384" s="16" t="s">
        <v>23</v>
      </c>
      <c r="F384" s="16">
        <v>3000</v>
      </c>
      <c r="G384" s="16">
        <v>3000</v>
      </c>
      <c r="H384" s="16">
        <v>5000</v>
      </c>
      <c r="I384" s="18" cm="1">
        <f t="array" ref="I384">_xlfn.IFS(F384=H384,1,F384=G384,0,F384&lt;&gt;G384,(F384-G384)/(G384))</f>
        <v>0</v>
      </c>
      <c r="J384" s="17" t="str">
        <f>VLOOKUP($E384,статьи!$G$2:$I$24,2,)</f>
        <v>Манипулирование рынком, если это действие не содержит уголовно наказуемого деяния</v>
      </c>
    </row>
    <row r="385" spans="1:10" ht="16" x14ac:dyDescent="0.2">
      <c r="A385" s="16">
        <v>378</v>
      </c>
      <c r="B385" s="16" t="s">
        <v>456</v>
      </c>
      <c r="C385" s="17" t="s">
        <v>459</v>
      </c>
      <c r="D385" s="16" t="s">
        <v>997</v>
      </c>
      <c r="E385" s="16" t="s">
        <v>23</v>
      </c>
      <c r="F385" s="16">
        <v>3000</v>
      </c>
      <c r="G385" s="16">
        <v>3000</v>
      </c>
      <c r="H385" s="16">
        <v>5000</v>
      </c>
      <c r="I385" s="18" cm="1">
        <f t="array" ref="I385">_xlfn.IFS(F385=H385,1,F385=G385,0,F385&lt;&gt;G385,(F385-G385)/(G385))</f>
        <v>0</v>
      </c>
      <c r="J385" s="17" t="str">
        <f>VLOOKUP($E385,статьи!$G$2:$I$24,2,)</f>
        <v>Манипулирование рынком, если это действие не содержит уголовно наказуемого деяния</v>
      </c>
    </row>
    <row r="386" spans="1:10" ht="16" x14ac:dyDescent="0.2">
      <c r="A386" s="16">
        <v>379</v>
      </c>
      <c r="B386" s="16" t="s">
        <v>456</v>
      </c>
      <c r="C386" s="17" t="s">
        <v>460</v>
      </c>
      <c r="D386" s="16" t="s">
        <v>997</v>
      </c>
      <c r="E386" s="16" t="s">
        <v>23</v>
      </c>
      <c r="F386" s="16">
        <v>3000</v>
      </c>
      <c r="G386" s="16">
        <v>3000</v>
      </c>
      <c r="H386" s="16">
        <v>5000</v>
      </c>
      <c r="I386" s="18" cm="1">
        <f t="array" ref="I386">_xlfn.IFS(F386=H386,1,F386=G386,0,F386&lt;&gt;G386,(F386-G386)/(G386))</f>
        <v>0</v>
      </c>
      <c r="J386" s="17" t="str">
        <f>VLOOKUP($E386,статьи!$G$2:$I$24,2,)</f>
        <v>Манипулирование рынком, если это действие не содержит уголовно наказуемого деяния</v>
      </c>
    </row>
    <row r="387" spans="1:10" ht="176" x14ac:dyDescent="0.2">
      <c r="A387" s="16">
        <v>380</v>
      </c>
      <c r="B387" s="16" t="s">
        <v>456</v>
      </c>
      <c r="C387" s="17" t="s">
        <v>99</v>
      </c>
      <c r="D387" s="16" t="s">
        <v>996</v>
      </c>
      <c r="E387" s="16" t="s">
        <v>8</v>
      </c>
      <c r="F387" s="16">
        <v>300000</v>
      </c>
      <c r="G387" s="16">
        <v>300000</v>
      </c>
      <c r="H387" s="16">
        <v>500000</v>
      </c>
      <c r="I387" s="18" cm="1">
        <f t="array" ref="I387">_xlfn.IFS(F387=H387,1,F387=G387,0,F387&lt;&gt;G387,(F387-G387)/(G387))</f>
        <v>0</v>
      </c>
      <c r="J387" s="17" t="str">
        <f>VLOOKUP($E387,статьи!$G$2:$I$24,2,)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388" spans="1:10" ht="64" x14ac:dyDescent="0.2">
      <c r="A388" s="16">
        <v>381</v>
      </c>
      <c r="B388" s="16" t="s">
        <v>456</v>
      </c>
      <c r="C388" s="17" t="s">
        <v>461</v>
      </c>
      <c r="D388" s="16" t="s">
        <v>996</v>
      </c>
      <c r="E388" s="16" t="s">
        <v>83</v>
      </c>
      <c r="F388" s="16" t="s">
        <v>11</v>
      </c>
      <c r="G388" s="16">
        <v>500000</v>
      </c>
      <c r="H388" s="16">
        <v>700000</v>
      </c>
      <c r="I388" s="18" t="e" cm="1">
        <f t="array" ref="I388">_xlfn.IFS(F388=H388,1,F388=G388,0,F388&lt;&gt;G388,(F388-G388)/(G388))</f>
        <v>#VALUE!</v>
      </c>
      <c r="J388" s="17" t="str">
        <f>VLOOKUP($E388,статьи!$G$2:$I$24,2,)</f>
        <v>Нарушение профессиональным участником рынка ценных бумаг, осуществляющим брокерскую или дилерскую деятельность либо деятельность по управлению ценными бумагами, установленных нормативными правовыми актами Российской Федерации правил ведения учета и составления отчетности</v>
      </c>
    </row>
    <row r="389" spans="1:10" ht="112" x14ac:dyDescent="0.2">
      <c r="A389" s="16">
        <v>381</v>
      </c>
      <c r="B389" s="16" t="s">
        <v>456</v>
      </c>
      <c r="C389" s="17" t="s">
        <v>461</v>
      </c>
      <c r="D389" s="16" t="s">
        <v>996</v>
      </c>
      <c r="E389" s="16" t="s">
        <v>462</v>
      </c>
      <c r="F389" s="16" t="s">
        <v>11</v>
      </c>
      <c r="G389" s="16">
        <v>300000</v>
      </c>
      <c r="H389" s="16">
        <v>500000</v>
      </c>
      <c r="I389" s="18" t="e" cm="1">
        <f t="array" ref="I389">_xlfn.IFS(F389=H389,1,F389=G389,0,F389&lt;&gt;G389,(F389-G389)/(G389))</f>
        <v>#VALUE!</v>
      </c>
      <c r="J389" s="17" t="str">
        <f>VLOOKUP($E389,статьи!$G$2:$I$24,2,)</f>
        <v>4. Нарушение стороной заключенного не на организованных торгах договора репо, договора, являющегося производным финансовым инструментом, договора иного вида, предусмотренного нормативными актами Банка России, установленных федеральным законом и (или) нормативными актами Банка России порядка и (или) сроков предоставления информации об указанных договорах и (или) генеральном соглашении (едином договоре) в репозитарий или Банк России либо предоставление неполной и (или) недостоверной информации</v>
      </c>
    </row>
    <row r="390" spans="1:10" ht="224" x14ac:dyDescent="0.2">
      <c r="A390" s="16">
        <v>382</v>
      </c>
      <c r="B390" s="16" t="s">
        <v>463</v>
      </c>
      <c r="C390" s="17" t="s">
        <v>464</v>
      </c>
      <c r="D390" s="16" t="s">
        <v>996</v>
      </c>
      <c r="E390" s="16" t="s">
        <v>75</v>
      </c>
      <c r="F390" s="16">
        <v>250000</v>
      </c>
      <c r="G390" s="16">
        <v>500000</v>
      </c>
      <c r="H390" s="16">
        <v>700000</v>
      </c>
      <c r="I390" s="18" cm="1">
        <f t="array" ref="I390">_xlfn.IFS(F390=H390,1,F390=G390,0,F390&lt;&gt;G390,(F390-G390)/(G390))</f>
        <v>-0.5</v>
      </c>
      <c r="J390" s="17" t="str">
        <f>VLOOKUP($E390,статьи!$G$2:$I$24,2,)</f>
        <v xml:space="preserve">
1. Непредставление или нарушение порядка либо сроков представления в Банк России отчетов, уведомлений и иной информации, предусмотренной законодательством и (или) необходимой для осуществления этим органом (должностным лицом) его законной деятельности, либо представление информации не в полном объеме и (или) недостоверной информации, за исключением случаев, если в соответствии со страховым законодательством, законодательством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Банком России дается законное предписание об устранении нарушения страхового законодательства, законодательства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и случаев, указанных в части 2 настоящей статьи, если эти действия (бездействие) не содержат признаков уголовно наказуемого деяния</v>
      </c>
    </row>
    <row r="391" spans="1:10" ht="16" x14ac:dyDescent="0.2">
      <c r="A391" s="16">
        <v>383</v>
      </c>
      <c r="B391" s="16" t="s">
        <v>463</v>
      </c>
      <c r="C391" s="17" t="s">
        <v>465</v>
      </c>
      <c r="D391" s="16" t="s">
        <v>997</v>
      </c>
      <c r="E391" s="16" t="s">
        <v>23</v>
      </c>
      <c r="F391" s="16">
        <v>3000</v>
      </c>
      <c r="G391" s="16">
        <v>3000</v>
      </c>
      <c r="H391" s="16">
        <v>5000</v>
      </c>
      <c r="I391" s="18" cm="1">
        <f t="array" ref="I391">_xlfn.IFS(F391=H391,1,F391=G391,0,F391&lt;&gt;G391,(F391-G391)/(G391))</f>
        <v>0</v>
      </c>
      <c r="J391" s="17" t="str">
        <f>VLOOKUP($E391,статьи!$G$2:$I$24,2,)</f>
        <v>Манипулирование рынком, если это действие не содержит уголовно наказуемого деяния</v>
      </c>
    </row>
    <row r="392" spans="1:10" ht="16" x14ac:dyDescent="0.2">
      <c r="A392" s="16">
        <v>384</v>
      </c>
      <c r="B392" s="16" t="s">
        <v>463</v>
      </c>
      <c r="C392" s="17" t="s">
        <v>466</v>
      </c>
      <c r="D392" s="16" t="s">
        <v>997</v>
      </c>
      <c r="E392" s="16" t="s">
        <v>23</v>
      </c>
      <c r="F392" s="16">
        <v>3000</v>
      </c>
      <c r="G392" s="16">
        <v>3000</v>
      </c>
      <c r="H392" s="16">
        <v>5000</v>
      </c>
      <c r="I392" s="18" cm="1">
        <f t="array" ref="I392">_xlfn.IFS(F392=H392,1,F392=G392,0,F392&lt;&gt;G392,(F392-G392)/(G392))</f>
        <v>0</v>
      </c>
      <c r="J392" s="17" t="str">
        <f>VLOOKUP($E392,статьи!$G$2:$I$24,2,)</f>
        <v>Манипулирование рынком, если это действие не содержит уголовно наказуемого деяния</v>
      </c>
    </row>
    <row r="393" spans="1:10" ht="16" x14ac:dyDescent="0.2">
      <c r="A393" s="16">
        <v>385</v>
      </c>
      <c r="B393" s="16" t="s">
        <v>463</v>
      </c>
      <c r="C393" s="17" t="s">
        <v>467</v>
      </c>
      <c r="D393" s="16" t="s">
        <v>997</v>
      </c>
      <c r="E393" s="16" t="s">
        <v>23</v>
      </c>
      <c r="F393" s="16">
        <v>3000</v>
      </c>
      <c r="G393" s="16">
        <v>3000</v>
      </c>
      <c r="H393" s="16">
        <v>5000</v>
      </c>
      <c r="I393" s="18" cm="1">
        <f t="array" ref="I393">_xlfn.IFS(F393=H393,1,F393=G393,0,F393&lt;&gt;G393,(F393-G393)/(G393))</f>
        <v>0</v>
      </c>
      <c r="J393" s="17" t="str">
        <f>VLOOKUP($E393,статьи!$G$2:$I$24,2,)</f>
        <v>Манипулирование рынком, если это действие не содержит уголовно наказуемого деяния</v>
      </c>
    </row>
    <row r="394" spans="1:10" ht="176" x14ac:dyDescent="0.2">
      <c r="A394" s="16">
        <v>387</v>
      </c>
      <c r="B394" s="16" t="s">
        <v>468</v>
      </c>
      <c r="C394" s="17" t="s">
        <v>469</v>
      </c>
      <c r="D394" s="16" t="s">
        <v>996</v>
      </c>
      <c r="E394" s="16" t="s">
        <v>8</v>
      </c>
      <c r="F394" s="16">
        <v>300000</v>
      </c>
      <c r="G394" s="16">
        <v>300000</v>
      </c>
      <c r="H394" s="16">
        <v>500000</v>
      </c>
      <c r="I394" s="18" cm="1">
        <f t="array" ref="I394">_xlfn.IFS(F394=H394,1,F394=G394,0,F394&lt;&gt;G394,(F394-G394)/(G394))</f>
        <v>0</v>
      </c>
      <c r="J394" s="17" t="str">
        <f>VLOOKUP($E394,статьи!$G$2:$I$24,2,)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395" spans="1:10" ht="144" x14ac:dyDescent="0.2">
      <c r="A395" s="16">
        <v>388</v>
      </c>
      <c r="B395" s="16" t="s">
        <v>468</v>
      </c>
      <c r="C395" s="17" t="s">
        <v>470</v>
      </c>
      <c r="D395" s="16" t="s">
        <v>996</v>
      </c>
      <c r="E395" s="16" t="s">
        <v>5</v>
      </c>
      <c r="F395" s="16">
        <v>700000</v>
      </c>
      <c r="G395" s="16">
        <v>700000</v>
      </c>
      <c r="H395" s="16">
        <v>1000000</v>
      </c>
      <c r="I395" s="18" cm="1">
        <f t="array" ref="I395">_xlfn.IFS(F395=H395,1,F395=G395,0,F395&lt;&gt;G395,(F395-G395)/(G395))</f>
        <v>0</v>
      </c>
      <c r="J395" s="17" t="str">
        <f>VLOOKUP($E395,статьи!$G$2:$I$24,2,)</f>
        <v>Воспрепятствование профессиональным участником рынка ценных бумаг,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проведению Банком России проверок либо неисполнение или ненадлежащее исполнение предписаний Банка России</v>
      </c>
    </row>
    <row r="396" spans="1:10" ht="144" x14ac:dyDescent="0.2">
      <c r="A396" s="16">
        <v>388</v>
      </c>
      <c r="B396" s="16" t="s">
        <v>468</v>
      </c>
      <c r="C396" s="17" t="s">
        <v>470</v>
      </c>
      <c r="D396" s="16" t="s">
        <v>996</v>
      </c>
      <c r="E396" s="16" t="s">
        <v>5</v>
      </c>
      <c r="F396" s="16">
        <v>700000</v>
      </c>
      <c r="G396" s="16">
        <v>700000</v>
      </c>
      <c r="H396" s="16">
        <v>1000000</v>
      </c>
      <c r="I396" s="18" cm="1">
        <f t="array" ref="I396">_xlfn.IFS(F396=H396,1,F396=G396,0,F396&lt;&gt;G396,(F396-G396)/(G396))</f>
        <v>0</v>
      </c>
      <c r="J396" s="17" t="str">
        <f>VLOOKUP($E396,статьи!$G$2:$I$24,2,)</f>
        <v>Воспрепятствование профессиональным участником рынка ценных бумаг,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проведению Банком России проверок либо неисполнение или ненадлежащее исполнение предписаний Банка России</v>
      </c>
    </row>
    <row r="397" spans="1:10" ht="64" x14ac:dyDescent="0.2">
      <c r="A397" s="16">
        <v>389</v>
      </c>
      <c r="B397" s="16" t="s">
        <v>468</v>
      </c>
      <c r="C397" s="17" t="s">
        <v>471</v>
      </c>
      <c r="D397" s="16" t="s">
        <v>996</v>
      </c>
      <c r="E397" s="16" t="s">
        <v>83</v>
      </c>
      <c r="F397" s="16" t="s">
        <v>11</v>
      </c>
      <c r="G397" s="16">
        <v>500000</v>
      </c>
      <c r="H397" s="16">
        <v>700000</v>
      </c>
      <c r="I397" s="18" t="e" cm="1">
        <f t="array" ref="I397">_xlfn.IFS(F397=H397,1,F397=G397,0,F397&lt;&gt;G397,(F397-G397)/(G397))</f>
        <v>#VALUE!</v>
      </c>
      <c r="J397" s="17" t="str">
        <f>VLOOKUP($E397,статьи!$G$2:$I$24,2,)</f>
        <v>Нарушение профессиональным участником рынка ценных бумаг, осуществляющим брокерскую или дилерскую деятельность либо деятельность по управлению ценными бумагами, установленных нормативными правовыми актами Российской Федерации правил ведения учета и составления отчетности</v>
      </c>
    </row>
    <row r="398" spans="1:10" ht="176" x14ac:dyDescent="0.2">
      <c r="A398" s="16">
        <v>390</v>
      </c>
      <c r="B398" s="16" t="s">
        <v>468</v>
      </c>
      <c r="C398" s="17" t="s">
        <v>472</v>
      </c>
      <c r="D398" s="16" t="s">
        <v>996</v>
      </c>
      <c r="E398" s="16" t="s">
        <v>8</v>
      </c>
      <c r="F398" s="16" t="s">
        <v>11</v>
      </c>
      <c r="G398" s="16">
        <v>300000</v>
      </c>
      <c r="H398" s="16">
        <v>500000</v>
      </c>
      <c r="I398" s="18" t="e" cm="1">
        <f t="array" ref="I398">_xlfn.IFS(F398=H398,1,F398=G398,0,F398&lt;&gt;G398,(F398-G398)/(G398))</f>
        <v>#VALUE!</v>
      </c>
      <c r="J398" s="17" t="str">
        <f>VLOOKUP($E398,статьи!$G$2:$I$24,2,)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399" spans="1:10" ht="176" x14ac:dyDescent="0.2">
      <c r="A399" s="16">
        <v>391</v>
      </c>
      <c r="B399" s="16" t="s">
        <v>468</v>
      </c>
      <c r="C399" s="17" t="s">
        <v>473</v>
      </c>
      <c r="D399" s="16" t="s">
        <v>996</v>
      </c>
      <c r="E399" s="16" t="s">
        <v>8</v>
      </c>
      <c r="F399" s="16">
        <v>300000</v>
      </c>
      <c r="G399" s="16">
        <v>300000</v>
      </c>
      <c r="H399" s="16">
        <v>500000</v>
      </c>
      <c r="I399" s="18" cm="1">
        <f t="array" ref="I399">_xlfn.IFS(F399=H399,1,F399=G399,0,F399&lt;&gt;G399,(F399-G399)/(G399))</f>
        <v>0</v>
      </c>
      <c r="J399" s="17" t="str">
        <f>VLOOKUP($E399,статьи!$G$2:$I$24,2,)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400" spans="1:10" ht="64" x14ac:dyDescent="0.2">
      <c r="A400" s="16">
        <v>392</v>
      </c>
      <c r="B400" s="16" t="s">
        <v>474</v>
      </c>
      <c r="C400" s="17" t="s">
        <v>301</v>
      </c>
      <c r="D400" s="16" t="s">
        <v>996</v>
      </c>
      <c r="E400" s="16" t="s">
        <v>83</v>
      </c>
      <c r="F400" s="16">
        <v>500000</v>
      </c>
      <c r="G400" s="16">
        <v>500000</v>
      </c>
      <c r="H400" s="16">
        <v>700000</v>
      </c>
      <c r="I400" s="18" cm="1">
        <f t="array" ref="I400">_xlfn.IFS(F400=H400,1,F400=G400,0,F400&lt;&gt;G400,(F400-G400)/(G400))</f>
        <v>0</v>
      </c>
      <c r="J400" s="17" t="str">
        <f>VLOOKUP($E400,статьи!$G$2:$I$24,2,)</f>
        <v>Нарушение профессиональным участником рынка ценных бумаг, осуществляющим брокерскую или дилерскую деятельность либо деятельность по управлению ценными бумагами, установленных нормативными правовыми актами Российской Федерации правил ведения учета и составления отчетности</v>
      </c>
    </row>
    <row r="401" spans="1:10" ht="176" x14ac:dyDescent="0.2">
      <c r="A401" s="16">
        <v>392</v>
      </c>
      <c r="B401" s="16" t="s">
        <v>474</v>
      </c>
      <c r="C401" s="17" t="s">
        <v>301</v>
      </c>
      <c r="D401" s="16" t="s">
        <v>996</v>
      </c>
      <c r="E401" s="16" t="s">
        <v>8</v>
      </c>
      <c r="F401" s="16">
        <v>300000</v>
      </c>
      <c r="G401" s="16">
        <v>300000</v>
      </c>
      <c r="H401" s="16">
        <v>500000</v>
      </c>
      <c r="I401" s="18" cm="1">
        <f t="array" ref="I401">_xlfn.IFS(F401=H401,1,F401=G401,0,F401&lt;&gt;G401,(F401-G401)/(G401))</f>
        <v>0</v>
      </c>
      <c r="J401" s="17" t="str">
        <f>VLOOKUP($E401,статьи!$G$2:$I$24,2,)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402" spans="1:10" ht="16" x14ac:dyDescent="0.2">
      <c r="A402" s="16">
        <v>393</v>
      </c>
      <c r="B402" s="16" t="s">
        <v>475</v>
      </c>
      <c r="C402" s="17" t="s">
        <v>476</v>
      </c>
      <c r="D402" s="16" t="s">
        <v>997</v>
      </c>
      <c r="E402" s="16" t="s">
        <v>23</v>
      </c>
      <c r="F402" s="16">
        <v>3000</v>
      </c>
      <c r="G402" s="16">
        <v>3000</v>
      </c>
      <c r="H402" s="16">
        <v>5000</v>
      </c>
      <c r="I402" s="18" cm="1">
        <f t="array" ref="I402">_xlfn.IFS(F402=H402,1,F402=G402,0,F402&lt;&gt;G402,(F402-G402)/(G402))</f>
        <v>0</v>
      </c>
      <c r="J402" s="17" t="str">
        <f>VLOOKUP($E402,статьи!$G$2:$I$24,2,)</f>
        <v>Манипулирование рынком, если это действие не содержит уголовно наказуемого деяния</v>
      </c>
    </row>
    <row r="403" spans="1:10" ht="16" x14ac:dyDescent="0.2">
      <c r="A403" s="16">
        <v>394</v>
      </c>
      <c r="B403" s="16" t="s">
        <v>475</v>
      </c>
      <c r="C403" s="17" t="s">
        <v>477</v>
      </c>
      <c r="D403" s="16" t="s">
        <v>997</v>
      </c>
      <c r="E403" s="16" t="s">
        <v>23</v>
      </c>
      <c r="F403" s="16">
        <v>3000</v>
      </c>
      <c r="G403" s="16">
        <v>3000</v>
      </c>
      <c r="H403" s="16">
        <v>5000</v>
      </c>
      <c r="I403" s="18" cm="1">
        <f t="array" ref="I403">_xlfn.IFS(F403=H403,1,F403=G403,0,F403&lt;&gt;G403,(F403-G403)/(G403))</f>
        <v>0</v>
      </c>
      <c r="J403" s="17" t="str">
        <f>VLOOKUP($E403,статьи!$G$2:$I$24,2,)</f>
        <v>Манипулирование рынком, если это действие не содержит уголовно наказуемого деяния</v>
      </c>
    </row>
    <row r="404" spans="1:10" ht="16" x14ac:dyDescent="0.2">
      <c r="A404" s="16">
        <v>395</v>
      </c>
      <c r="B404" s="16" t="s">
        <v>475</v>
      </c>
      <c r="C404" s="17" t="s">
        <v>478</v>
      </c>
      <c r="D404" s="16" t="s">
        <v>997</v>
      </c>
      <c r="E404" s="16" t="s">
        <v>23</v>
      </c>
      <c r="F404" s="16">
        <v>3000</v>
      </c>
      <c r="G404" s="16">
        <v>3000</v>
      </c>
      <c r="H404" s="16">
        <v>5000</v>
      </c>
      <c r="I404" s="18" cm="1">
        <f t="array" ref="I404">_xlfn.IFS(F404=H404,1,F404=G404,0,F404&lt;&gt;G404,(F404-G404)/(G404))</f>
        <v>0</v>
      </c>
      <c r="J404" s="17" t="str">
        <f>VLOOKUP($E404,статьи!$G$2:$I$24,2,)</f>
        <v>Манипулирование рынком, если это действие не содержит уголовно наказуемого деяния</v>
      </c>
    </row>
    <row r="405" spans="1:10" ht="144" x14ac:dyDescent="0.2">
      <c r="A405" s="16">
        <v>396</v>
      </c>
      <c r="B405" s="16" t="s">
        <v>475</v>
      </c>
      <c r="C405" s="17" t="s">
        <v>126</v>
      </c>
      <c r="D405" s="16" t="s">
        <v>996</v>
      </c>
      <c r="E405" s="16" t="s">
        <v>5</v>
      </c>
      <c r="F405" s="16" t="s">
        <v>11</v>
      </c>
      <c r="G405" s="16">
        <v>700000</v>
      </c>
      <c r="H405" s="16">
        <v>1000000</v>
      </c>
      <c r="I405" s="18" t="e" cm="1">
        <f t="array" ref="I405">_xlfn.IFS(F405=H405,1,F405=G405,0,F405&lt;&gt;G405,(F405-G405)/(G405))</f>
        <v>#VALUE!</v>
      </c>
      <c r="J405" s="17" t="str">
        <f>VLOOKUP($E405,статьи!$G$2:$I$24,2,)</f>
        <v>Воспрепятствование профессиональным участником рынка ценных бумаг,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проведению Банком России проверок либо неисполнение или ненадлежащее исполнение предписаний Банка России</v>
      </c>
    </row>
    <row r="406" spans="1:10" ht="16" x14ac:dyDescent="0.2">
      <c r="A406" s="16">
        <v>397</v>
      </c>
      <c r="B406" s="16" t="s">
        <v>479</v>
      </c>
      <c r="C406" s="17" t="s">
        <v>480</v>
      </c>
      <c r="D406" s="16" t="s">
        <v>997</v>
      </c>
      <c r="E406" s="16" t="s">
        <v>23</v>
      </c>
      <c r="F406" s="16">
        <v>3000</v>
      </c>
      <c r="G406" s="16">
        <v>3000</v>
      </c>
      <c r="H406" s="16">
        <v>5000</v>
      </c>
      <c r="I406" s="18" cm="1">
        <f t="array" ref="I406">_xlfn.IFS(F406=H406,1,F406=G406,0,F406&lt;&gt;G406,(F406-G406)/(G406))</f>
        <v>0</v>
      </c>
      <c r="J406" s="17" t="str">
        <f>VLOOKUP($E406,статьи!$G$2:$I$24,2,)</f>
        <v>Манипулирование рынком, если это действие не содержит уголовно наказуемого деяния</v>
      </c>
    </row>
    <row r="407" spans="1:10" ht="16" x14ac:dyDescent="0.2">
      <c r="A407" s="16">
        <v>398</v>
      </c>
      <c r="B407" s="16" t="s">
        <v>479</v>
      </c>
      <c r="C407" s="17" t="s">
        <v>481</v>
      </c>
      <c r="D407" s="16" t="s">
        <v>997</v>
      </c>
      <c r="E407" s="16" t="s">
        <v>23</v>
      </c>
      <c r="F407" s="16">
        <v>3000</v>
      </c>
      <c r="G407" s="16">
        <v>3000</v>
      </c>
      <c r="H407" s="16">
        <v>5000</v>
      </c>
      <c r="I407" s="18" cm="1">
        <f t="array" ref="I407">_xlfn.IFS(F407=H407,1,F407=G407,0,F407&lt;&gt;G407,(F407-G407)/(G407))</f>
        <v>0</v>
      </c>
      <c r="J407" s="17" t="str">
        <f>VLOOKUP($E407,статьи!$G$2:$I$24,2,)</f>
        <v>Манипулирование рынком, если это действие не содержит уголовно наказуемого деяния</v>
      </c>
    </row>
    <row r="408" spans="1:10" ht="16" x14ac:dyDescent="0.2">
      <c r="A408" s="16">
        <v>399</v>
      </c>
      <c r="B408" s="16" t="s">
        <v>479</v>
      </c>
      <c r="C408" s="17" t="s">
        <v>482</v>
      </c>
      <c r="D408" s="16" t="s">
        <v>997</v>
      </c>
      <c r="E408" s="16" t="s">
        <v>23</v>
      </c>
      <c r="F408" s="16">
        <v>3000</v>
      </c>
      <c r="G408" s="16">
        <v>3000</v>
      </c>
      <c r="H408" s="16">
        <v>5000</v>
      </c>
      <c r="I408" s="18" cm="1">
        <f t="array" ref="I408">_xlfn.IFS(F408=H408,1,F408=G408,0,F408&lt;&gt;G408,(F408-G408)/(G408))</f>
        <v>0</v>
      </c>
      <c r="J408" s="17" t="str">
        <f>VLOOKUP($E408,статьи!$G$2:$I$24,2,)</f>
        <v>Манипулирование рынком, если это действие не содержит уголовно наказуемого деяния</v>
      </c>
    </row>
    <row r="409" spans="1:10" ht="16" x14ac:dyDescent="0.2">
      <c r="A409" s="16">
        <v>400</v>
      </c>
      <c r="B409" s="16" t="s">
        <v>483</v>
      </c>
      <c r="C409" s="17" t="s">
        <v>484</v>
      </c>
      <c r="D409" s="16" t="s">
        <v>997</v>
      </c>
      <c r="E409" s="16" t="s">
        <v>23</v>
      </c>
      <c r="F409" s="16">
        <v>3000</v>
      </c>
      <c r="G409" s="16">
        <v>3000</v>
      </c>
      <c r="H409" s="16">
        <v>5000</v>
      </c>
      <c r="I409" s="18" cm="1">
        <f t="array" ref="I409">_xlfn.IFS(F409=H409,1,F409=G409,0,F409&lt;&gt;G409,(F409-G409)/(G409))</f>
        <v>0</v>
      </c>
      <c r="J409" s="17" t="str">
        <f>VLOOKUP($E409,статьи!$G$2:$I$24,2,)</f>
        <v>Манипулирование рынком, если это действие не содержит уголовно наказуемого деяния</v>
      </c>
    </row>
    <row r="410" spans="1:10" ht="176" x14ac:dyDescent="0.2">
      <c r="A410" s="16">
        <v>401</v>
      </c>
      <c r="B410" s="16" t="s">
        <v>483</v>
      </c>
      <c r="C410" s="17" t="s">
        <v>485</v>
      </c>
      <c r="D410" s="16" t="s">
        <v>996</v>
      </c>
      <c r="E410" s="16" t="s">
        <v>8</v>
      </c>
      <c r="F410" s="16" t="s">
        <v>11</v>
      </c>
      <c r="G410" s="16">
        <v>300000</v>
      </c>
      <c r="H410" s="16">
        <v>500000</v>
      </c>
      <c r="I410" s="18" t="e" cm="1">
        <f t="array" ref="I410">_xlfn.IFS(F410=H410,1,F410=G410,0,F410&lt;&gt;G410,(F410-G410)/(G410))</f>
        <v>#VALUE!</v>
      </c>
      <c r="J410" s="17" t="str">
        <f>VLOOKUP($E410,статьи!$G$2:$I$24,2,)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411" spans="1:10" ht="160" x14ac:dyDescent="0.2">
      <c r="A411" s="16">
        <v>402</v>
      </c>
      <c r="B411" s="16" t="s">
        <v>483</v>
      </c>
      <c r="C411" s="17" t="s">
        <v>486</v>
      </c>
      <c r="D411" s="16" t="s">
        <v>996</v>
      </c>
      <c r="E411" s="16" t="s">
        <v>487</v>
      </c>
      <c r="F411" s="16">
        <v>100000</v>
      </c>
      <c r="G411" s="16">
        <v>200000</v>
      </c>
      <c r="H411" s="16">
        <v>300000</v>
      </c>
      <c r="I411" s="18" cm="1">
        <f t="array" ref="I411">_xlfn.IFS(F411=H411,1,F411=G411,0,F411&lt;&gt;G411,(F411-G411)/(G411))</f>
        <v>-0.5</v>
      </c>
      <c r="J411" s="17" t="str">
        <f>VLOOKUP($E411,статьи!$G$2:$I$24,2,)</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row>
    <row r="412" spans="1:10" ht="144" x14ac:dyDescent="0.2">
      <c r="A412" s="16">
        <v>403</v>
      </c>
      <c r="B412" s="16" t="s">
        <v>488</v>
      </c>
      <c r="C412" s="17" t="s">
        <v>489</v>
      </c>
      <c r="D412" s="16" t="s">
        <v>996</v>
      </c>
      <c r="E412" s="16" t="s">
        <v>5</v>
      </c>
      <c r="F412" s="16" t="s">
        <v>11</v>
      </c>
      <c r="G412" s="16">
        <v>700000</v>
      </c>
      <c r="H412" s="16">
        <v>1000000</v>
      </c>
      <c r="I412" s="18" t="e" cm="1">
        <f t="array" ref="I412">_xlfn.IFS(F412=H412,1,F412=G412,0,F412&lt;&gt;G412,(F412-G412)/(G412))</f>
        <v>#VALUE!</v>
      </c>
      <c r="J412" s="17" t="str">
        <f>VLOOKUP($E412,статьи!$G$2:$I$24,2,)</f>
        <v>Воспрепятствование профессиональным участником рынка ценных бумаг,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проведению Банком России проверок либо неисполнение или ненадлежащее исполнение предписаний Банка России</v>
      </c>
    </row>
    <row r="413" spans="1:10" ht="16" x14ac:dyDescent="0.2">
      <c r="A413" s="16">
        <v>404</v>
      </c>
      <c r="B413" s="16" t="s">
        <v>490</v>
      </c>
      <c r="C413" s="17" t="s">
        <v>491</v>
      </c>
      <c r="D413" s="16" t="s">
        <v>997</v>
      </c>
      <c r="E413" s="16" t="s">
        <v>23</v>
      </c>
      <c r="F413" s="16">
        <v>3000</v>
      </c>
      <c r="G413" s="16">
        <v>3000</v>
      </c>
      <c r="H413" s="16">
        <v>5000</v>
      </c>
      <c r="I413" s="18" cm="1">
        <f t="array" ref="I413">_xlfn.IFS(F413=H413,1,F413=G413,0,F413&lt;&gt;G413,(F413-G413)/(G413))</f>
        <v>0</v>
      </c>
      <c r="J413" s="17" t="str">
        <f>VLOOKUP($E413,статьи!$G$2:$I$24,2,)</f>
        <v>Манипулирование рынком, если это действие не содержит уголовно наказуемого деяния</v>
      </c>
    </row>
    <row r="414" spans="1:10" ht="176" x14ac:dyDescent="0.2">
      <c r="A414" s="16">
        <v>405</v>
      </c>
      <c r="B414" s="16" t="s">
        <v>492</v>
      </c>
      <c r="C414" s="17" t="s">
        <v>85</v>
      </c>
      <c r="D414" s="16" t="s">
        <v>996</v>
      </c>
      <c r="E414" s="16" t="s">
        <v>80</v>
      </c>
      <c r="F414" s="16">
        <v>700000</v>
      </c>
      <c r="G414" s="16">
        <v>700000</v>
      </c>
      <c r="H414" s="16">
        <v>1000000</v>
      </c>
      <c r="I414" s="18" cm="1">
        <f t="array" ref="I414">_xlfn.IFS(F414=H414,1,F414=G414,0,F414&lt;&gt;G414,(F414-G414)/(G414))</f>
        <v>0</v>
      </c>
      <c r="J414" s="17" t="str">
        <f>VLOOKUP($E414,статьи!$G$2:$I$24,2,)</f>
        <v>2. Нераскрытие или нарушение эмитентом, профессиональным участником рынка ценных бумаг, клиринговой организацией, акционерным инвестиционным фондом, управляющей компанией акционерного инвестиционного фонда, паевого инвестиционного фонда или негосударственного пенсионного фонда, специализированным депозитарием акционерного инвестиционного фонда, паевого инвестиционного фонда или негосударственного пенсионного фонда либо лицом, оказывающим услуги по публичному представлению раскрываемой информации, порядка и сроков раскрытия информации, предусмотренной федеральными законами и принятыми в соответствии с ними иными нормативными правовыми актами, а равно раскрытие информации не в полном объеме, и (или) недостоверной информации, и (или) вводящей в заблуждение информации</v>
      </c>
    </row>
    <row r="415" spans="1:10" ht="16" x14ac:dyDescent="0.2">
      <c r="A415" s="16">
        <v>406</v>
      </c>
      <c r="B415" s="16" t="s">
        <v>492</v>
      </c>
      <c r="C415" s="17" t="s">
        <v>493</v>
      </c>
      <c r="D415" s="16" t="s">
        <v>997</v>
      </c>
      <c r="E415" s="16" t="s">
        <v>23</v>
      </c>
      <c r="F415" s="16">
        <v>3000</v>
      </c>
      <c r="G415" s="16">
        <v>3000</v>
      </c>
      <c r="H415" s="16">
        <v>5000</v>
      </c>
      <c r="I415" s="18" cm="1">
        <f t="array" ref="I415">_xlfn.IFS(F415=H415,1,F415=G415,0,F415&lt;&gt;G415,(F415-G415)/(G415))</f>
        <v>0</v>
      </c>
      <c r="J415" s="17" t="str">
        <f>VLOOKUP($E415,статьи!$G$2:$I$24,2,)</f>
        <v>Манипулирование рынком, если это действие не содержит уголовно наказуемого деяния</v>
      </c>
    </row>
    <row r="416" spans="1:10" ht="224" x14ac:dyDescent="0.2">
      <c r="A416" s="16">
        <v>407</v>
      </c>
      <c r="B416" s="16" t="s">
        <v>202</v>
      </c>
      <c r="C416" s="17" t="s">
        <v>464</v>
      </c>
      <c r="D416" s="16" t="s">
        <v>996</v>
      </c>
      <c r="E416" s="16" t="s">
        <v>75</v>
      </c>
      <c r="F416" s="16">
        <v>250000</v>
      </c>
      <c r="G416" s="16">
        <v>500000</v>
      </c>
      <c r="H416" s="16">
        <v>700000</v>
      </c>
      <c r="I416" s="18" cm="1">
        <f t="array" ref="I416">_xlfn.IFS(F416=H416,1,F416=G416,0,F416&lt;&gt;G416,(F416-G416)/(G416))</f>
        <v>-0.5</v>
      </c>
      <c r="J416" s="17" t="str">
        <f>VLOOKUP($E416,статьи!$G$2:$I$24,2,)</f>
        <v xml:space="preserve">
1. Непредставление или нарушение порядка либо сроков представления в Банк России отчетов, уведомлений и иной информации, предусмотренной законодательством и (или) необходимой для осуществления этим органом (должностным лицом) его законной деятельности, либо представление информации не в полном объеме и (или) недостоверной информации, за исключением случаев, если в соответствии со страховым законодательством, законодательством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Банком России дается законное предписание об устранении нарушения страхового законодательства, законодательства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и случаев, указанных в части 2 настоящей статьи, если эти действия (бездействие) не содержат признаков уголовно наказуемого деяния</v>
      </c>
    </row>
    <row r="417" spans="1:10" ht="64" x14ac:dyDescent="0.2">
      <c r="A417" s="16">
        <v>408</v>
      </c>
      <c r="B417" s="16" t="s">
        <v>202</v>
      </c>
      <c r="C417" s="17" t="s">
        <v>494</v>
      </c>
      <c r="D417" s="16" t="s">
        <v>996</v>
      </c>
      <c r="E417" s="16" t="s">
        <v>83</v>
      </c>
      <c r="F417" s="16" t="s">
        <v>11</v>
      </c>
      <c r="G417" s="16">
        <v>500000</v>
      </c>
      <c r="H417" s="16">
        <v>700000</v>
      </c>
      <c r="I417" s="18" t="e" cm="1">
        <f t="array" ref="I417">_xlfn.IFS(F417=H417,1,F417=G417,0,F417&lt;&gt;G417,(F417-G417)/(G417))</f>
        <v>#VALUE!</v>
      </c>
      <c r="J417" s="17" t="str">
        <f>VLOOKUP($E417,статьи!$G$2:$I$24,2,)</f>
        <v>Нарушение профессиональным участником рынка ценных бумаг, осуществляющим брокерскую или дилерскую деятельность либо деятельность по управлению ценными бумагами, установленных нормативными правовыми актами Российской Федерации правил ведения учета и составления отчетности</v>
      </c>
    </row>
    <row r="418" spans="1:10" ht="16" x14ac:dyDescent="0.2">
      <c r="A418" s="16">
        <v>409</v>
      </c>
      <c r="B418" s="16" t="s">
        <v>202</v>
      </c>
      <c r="C418" s="17" t="s">
        <v>495</v>
      </c>
      <c r="D418" s="16" t="s">
        <v>997</v>
      </c>
      <c r="E418" s="16" t="s">
        <v>23</v>
      </c>
      <c r="F418" s="16">
        <v>3000</v>
      </c>
      <c r="G418" s="16">
        <v>3000</v>
      </c>
      <c r="H418" s="16">
        <v>5000</v>
      </c>
      <c r="I418" s="18" cm="1">
        <f t="array" ref="I418">_xlfn.IFS(F418=H418,1,F418=G418,0,F418&lt;&gt;G418,(F418-G418)/(G418))</f>
        <v>0</v>
      </c>
      <c r="J418" s="17" t="str">
        <f>VLOOKUP($E418,статьи!$G$2:$I$24,2,)</f>
        <v>Манипулирование рынком, если это действие не содержит уголовно наказуемого деяния</v>
      </c>
    </row>
    <row r="419" spans="1:10" ht="176" x14ac:dyDescent="0.2">
      <c r="A419" s="16">
        <v>410</v>
      </c>
      <c r="B419" s="16" t="s">
        <v>202</v>
      </c>
      <c r="C419" s="17" t="s">
        <v>414</v>
      </c>
      <c r="D419" s="16" t="s">
        <v>996</v>
      </c>
      <c r="E419" s="16" t="s">
        <v>8</v>
      </c>
      <c r="F419" s="16">
        <v>300000</v>
      </c>
      <c r="G419" s="16">
        <v>300000</v>
      </c>
      <c r="H419" s="16">
        <v>500000</v>
      </c>
      <c r="I419" s="18" cm="1">
        <f t="array" ref="I419">_xlfn.IFS(F419=H419,1,F419=G419,0,F419&lt;&gt;G419,(F419-G419)/(G419))</f>
        <v>0</v>
      </c>
      <c r="J419" s="17" t="str">
        <f>VLOOKUP($E419,статьи!$G$2:$I$24,2,)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420" spans="1:10" ht="176" x14ac:dyDescent="0.2">
      <c r="A420" s="16">
        <v>411</v>
      </c>
      <c r="B420" s="16" t="s">
        <v>496</v>
      </c>
      <c r="C420" s="17" t="s">
        <v>84</v>
      </c>
      <c r="D420" s="16" t="s">
        <v>996</v>
      </c>
      <c r="E420" s="16" t="s">
        <v>80</v>
      </c>
      <c r="F420" s="16">
        <v>700000</v>
      </c>
      <c r="G420" s="16">
        <v>700000</v>
      </c>
      <c r="H420" s="16">
        <v>1000000</v>
      </c>
      <c r="I420" s="18" cm="1">
        <f t="array" ref="I420">_xlfn.IFS(F420=H420,1,F420=G420,0,F420&lt;&gt;G420,(F420-G420)/(G420))</f>
        <v>0</v>
      </c>
      <c r="J420" s="17" t="str">
        <f>VLOOKUP($E420,статьи!$G$2:$I$24,2,)</f>
        <v>2. Нераскрытие или нарушение эмитентом, профессиональным участником рынка ценных бумаг, клиринговой организацией, акционерным инвестиционным фондом, управляющей компанией акционерного инвестиционного фонда, паевого инвестиционного фонда или негосударственного пенсионного фонда, специализированным депозитарием акционерного инвестиционного фонда, паевого инвестиционного фонда или негосударственного пенсионного фонда либо лицом, оказывающим услуги по публичному представлению раскрываемой информации, порядка и сроков раскрытия информации, предусмотренной федеральными законами и принятыми в соответствии с ними иными нормативными правовыми актами, а равно раскрытие информации не в полном объеме, и (или) недостоверной информации, и (или) вводящей в заблуждение информации</v>
      </c>
    </row>
    <row r="421" spans="1:10" ht="176" x14ac:dyDescent="0.2">
      <c r="A421" s="16">
        <v>412</v>
      </c>
      <c r="B421" s="16" t="s">
        <v>496</v>
      </c>
      <c r="C421" s="17" t="s">
        <v>435</v>
      </c>
      <c r="D421" s="16" t="s">
        <v>996</v>
      </c>
      <c r="E421" s="16" t="s">
        <v>8</v>
      </c>
      <c r="F421" s="16">
        <v>300000</v>
      </c>
      <c r="G421" s="16">
        <v>300000</v>
      </c>
      <c r="H421" s="16">
        <v>500000</v>
      </c>
      <c r="I421" s="18" cm="1">
        <f t="array" ref="I421">_xlfn.IFS(F421=H421,1,F421=G421,0,F421&lt;&gt;G421,(F421-G421)/(G421))</f>
        <v>0</v>
      </c>
      <c r="J421" s="17" t="str">
        <f>VLOOKUP($E421,статьи!$G$2:$I$24,2,)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422" spans="1:10" ht="80" x14ac:dyDescent="0.2">
      <c r="A422" s="16">
        <v>413</v>
      </c>
      <c r="B422" s="16" t="s">
        <v>497</v>
      </c>
      <c r="C422" s="17" t="s">
        <v>369</v>
      </c>
      <c r="D422" s="16" t="s">
        <v>996</v>
      </c>
      <c r="E422" s="16" t="s">
        <v>72</v>
      </c>
      <c r="F422" s="16">
        <v>250000</v>
      </c>
      <c r="G422" s="16">
        <v>500000</v>
      </c>
      <c r="H422" s="16">
        <v>700000</v>
      </c>
      <c r="I422" s="18" cm="1">
        <f t="array" ref="I422">_xlfn.IFS(F422=H422,1,F422=G422,0,F422&lt;&gt;G422,(F422-G422)/(G422))</f>
        <v>-0.5</v>
      </c>
      <c r="J422" s="17" t="str">
        <f>VLOOKUP($E422,статьи!$G$2:$I$24,2,)</f>
        <v xml:space="preserve">9. Невыполнение в установленный срок законного предписания Банка России, за исключением случаев, предусмотренных частью 9.1 настоящей статьи, -
</v>
      </c>
    </row>
    <row r="423" spans="1:10" ht="16" x14ac:dyDescent="0.2">
      <c r="A423" s="16">
        <v>414</v>
      </c>
      <c r="B423" s="16" t="s">
        <v>497</v>
      </c>
      <c r="C423" s="17" t="s">
        <v>498</v>
      </c>
      <c r="D423" s="16" t="s">
        <v>997</v>
      </c>
      <c r="E423" s="16" t="s">
        <v>23</v>
      </c>
      <c r="F423" s="16">
        <v>3000</v>
      </c>
      <c r="G423" s="16">
        <v>3000</v>
      </c>
      <c r="H423" s="16">
        <v>5000</v>
      </c>
      <c r="I423" s="18" cm="1">
        <f t="array" ref="I423">_xlfn.IFS(F423=H423,1,F423=G423,0,F423&lt;&gt;G423,(F423-G423)/(G423))</f>
        <v>0</v>
      </c>
      <c r="J423" s="17" t="str">
        <f>VLOOKUP($E423,статьи!$G$2:$I$24,2,)</f>
        <v>Манипулирование рынком, если это действие не содержит уголовно наказуемого деяния</v>
      </c>
    </row>
    <row r="424" spans="1:10" ht="96" x14ac:dyDescent="0.2">
      <c r="A424" s="16">
        <v>415</v>
      </c>
      <c r="B424" s="16" t="s">
        <v>499</v>
      </c>
      <c r="C424" s="17" t="s">
        <v>307</v>
      </c>
      <c r="D424" s="16" t="s">
        <v>996</v>
      </c>
      <c r="E424" s="16" t="s">
        <v>108</v>
      </c>
      <c r="F424" s="16">
        <v>500000</v>
      </c>
      <c r="G424" s="16">
        <v>500000</v>
      </c>
      <c r="H424" s="16">
        <v>700000</v>
      </c>
      <c r="I424" s="18" cm="1">
        <f t="array" ref="I424">_xlfn.IFS(F424=H424,1,F424=G424,0,F424&lt;&gt;G424,(F424-G424)/(G424))</f>
        <v>0</v>
      </c>
      <c r="J424" s="17" t="str">
        <f>VLOOKUP($E424,статьи!$G$2:$I$24,2,)</f>
        <v xml:space="preserve"> Неисполнение или ненадлежащее исполнение специализированным депозитарием акционерного инвестиционного фонда, паевого инвестиционного фонда или негосударственного пенсионного фонда установленных федеральными законами и иными нормативными правовыми актами Российской Федерации обязанностей по учету и хранению имущества, а также по осуществлению контроля за распоряжением имуществом, за исключением случая, предусмотренного частью 8 настоящей статьи</v>
      </c>
    </row>
    <row r="425" spans="1:10" ht="96" x14ac:dyDescent="0.2">
      <c r="A425" s="16">
        <v>416</v>
      </c>
      <c r="B425" s="16" t="s">
        <v>499</v>
      </c>
      <c r="C425" s="17" t="s">
        <v>85</v>
      </c>
      <c r="D425" s="16" t="s">
        <v>996</v>
      </c>
      <c r="E425" s="16" t="s">
        <v>18</v>
      </c>
      <c r="F425" s="16">
        <v>500000</v>
      </c>
      <c r="G425" s="16">
        <v>500000</v>
      </c>
      <c r="H425" s="16">
        <v>700000</v>
      </c>
      <c r="I425" s="18" cm="1">
        <f t="array" ref="I425">_xlfn.IFS(F425=H425,1,F425=G425,0,F425&lt;&gt;G425,(F425-G425)/(G425))</f>
        <v>0</v>
      </c>
      <c r="J425" s="17" t="str">
        <f>VLOOKUP($E425,статьи!$G$2:$I$24,2,)</f>
        <v xml:space="preserve">Нарушение установленных нормативными правовыми актами Российской Федерации и инвестиционной декларацией акционерного инвестиционного фонда или паевого инвестиционного фонда требований к составу активов акционерных инвестиционных фондов или паевых инвестиционных фондов либо неустранение нарушений в структуре активов акционерных инвестиционных фондов или паевых инвестиционных фондов -
</v>
      </c>
    </row>
    <row r="426" spans="1:10" ht="144" x14ac:dyDescent="0.2">
      <c r="A426" s="16">
        <v>416</v>
      </c>
      <c r="B426" s="16" t="s">
        <v>499</v>
      </c>
      <c r="C426" s="17" t="s">
        <v>85</v>
      </c>
      <c r="D426" s="16" t="s">
        <v>996</v>
      </c>
      <c r="E426" s="16" t="s">
        <v>5</v>
      </c>
      <c r="F426" s="16">
        <v>700000</v>
      </c>
      <c r="G426" s="16">
        <v>700000</v>
      </c>
      <c r="H426" s="16">
        <v>1000000</v>
      </c>
      <c r="I426" s="18" cm="1">
        <f t="array" ref="I426">_xlfn.IFS(F426=H426,1,F426=G426,0,F426&lt;&gt;G426,(F426-G426)/(G426))</f>
        <v>0</v>
      </c>
      <c r="J426" s="17" t="str">
        <f>VLOOKUP($E426,статьи!$G$2:$I$24,2,)</f>
        <v>Воспрепятствование профессиональным участником рынка ценных бумаг,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проведению Банком России проверок либо неисполнение или ненадлежащее исполнение предписаний Банка России</v>
      </c>
    </row>
    <row r="427" spans="1:10" ht="176" x14ac:dyDescent="0.2">
      <c r="A427" s="16">
        <v>417</v>
      </c>
      <c r="B427" s="16" t="s">
        <v>499</v>
      </c>
      <c r="C427" s="17" t="s">
        <v>500</v>
      </c>
      <c r="D427" s="16" t="s">
        <v>996</v>
      </c>
      <c r="E427" s="16" t="s">
        <v>8</v>
      </c>
      <c r="F427" s="16">
        <v>300000</v>
      </c>
      <c r="G427" s="16">
        <v>300000</v>
      </c>
      <c r="H427" s="16">
        <v>500000</v>
      </c>
      <c r="I427" s="18" cm="1">
        <f t="array" ref="I427">_xlfn.IFS(F427=H427,1,F427=G427,0,F427&lt;&gt;G427,(F427-G427)/(G427))</f>
        <v>0</v>
      </c>
      <c r="J427" s="17" t="str">
        <f>VLOOKUP($E427,статьи!$G$2:$I$24,2,)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428" spans="1:10" ht="176" x14ac:dyDescent="0.2">
      <c r="A428" s="16">
        <v>418</v>
      </c>
      <c r="B428" s="16" t="s">
        <v>501</v>
      </c>
      <c r="C428" s="17" t="s">
        <v>502</v>
      </c>
      <c r="D428" s="16" t="s">
        <v>996</v>
      </c>
      <c r="E428" s="16" t="s">
        <v>8</v>
      </c>
      <c r="F428" s="16">
        <v>300000</v>
      </c>
      <c r="G428" s="16">
        <v>300000</v>
      </c>
      <c r="H428" s="16">
        <v>500000</v>
      </c>
      <c r="I428" s="18" cm="1">
        <f t="array" ref="I428">_xlfn.IFS(F428=H428,1,F428=G428,0,F428&lt;&gt;G428,(F428-G428)/(G428))</f>
        <v>0</v>
      </c>
      <c r="J428" s="17" t="str">
        <f>VLOOKUP($E428,статьи!$G$2:$I$24,2,)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429" spans="1:10" ht="16" x14ac:dyDescent="0.2">
      <c r="A429" s="16">
        <v>419</v>
      </c>
      <c r="B429" s="16" t="s">
        <v>503</v>
      </c>
      <c r="C429" s="17" t="s">
        <v>504</v>
      </c>
      <c r="D429" s="16" t="s">
        <v>997</v>
      </c>
      <c r="E429" s="16" t="s">
        <v>23</v>
      </c>
      <c r="F429" s="16">
        <v>3000</v>
      </c>
      <c r="G429" s="16">
        <v>3000</v>
      </c>
      <c r="H429" s="16">
        <v>5000</v>
      </c>
      <c r="I429" s="18" cm="1">
        <f t="array" ref="I429">_xlfn.IFS(F429=H429,1,F429=G429,0,F429&lt;&gt;G429,(F429-G429)/(G429))</f>
        <v>0</v>
      </c>
      <c r="J429" s="17" t="str">
        <f>VLOOKUP($E429,статьи!$G$2:$I$24,2,)</f>
        <v>Манипулирование рынком, если это действие не содержит уголовно наказуемого деяния</v>
      </c>
    </row>
    <row r="430" spans="1:10" ht="16" x14ac:dyDescent="0.2">
      <c r="A430" s="16">
        <v>420</v>
      </c>
      <c r="B430" s="16" t="s">
        <v>505</v>
      </c>
      <c r="C430" s="17" t="s">
        <v>506</v>
      </c>
      <c r="D430" s="16" t="s">
        <v>997</v>
      </c>
      <c r="E430" s="16" t="s">
        <v>23</v>
      </c>
      <c r="F430" s="16">
        <v>3000</v>
      </c>
      <c r="G430" s="16">
        <v>3000</v>
      </c>
      <c r="H430" s="16">
        <v>5000</v>
      </c>
      <c r="I430" s="18" cm="1">
        <f t="array" ref="I430">_xlfn.IFS(F430=H430,1,F430=G430,0,F430&lt;&gt;G430,(F430-G430)/(G430))</f>
        <v>0</v>
      </c>
      <c r="J430" s="17" t="str">
        <f>VLOOKUP($E430,статьи!$G$2:$I$24,2,)</f>
        <v>Манипулирование рынком, если это действие не содержит уголовно наказуемого деяния</v>
      </c>
    </row>
    <row r="431" spans="1:10" ht="176" x14ac:dyDescent="0.2">
      <c r="A431" s="16">
        <v>421</v>
      </c>
      <c r="B431" s="16" t="s">
        <v>505</v>
      </c>
      <c r="C431" s="17" t="s">
        <v>298</v>
      </c>
      <c r="D431" s="16" t="s">
        <v>996</v>
      </c>
      <c r="E431" s="16" t="s">
        <v>80</v>
      </c>
      <c r="F431" s="16">
        <v>350000</v>
      </c>
      <c r="G431" s="16">
        <v>700000</v>
      </c>
      <c r="H431" s="16">
        <v>1000000</v>
      </c>
      <c r="I431" s="18" cm="1">
        <f t="array" ref="I431">_xlfn.IFS(F431=H431,1,F431=G431,0,F431&lt;&gt;G431,(F431-G431)/(G431))</f>
        <v>-0.5</v>
      </c>
      <c r="J431" s="17" t="str">
        <f>VLOOKUP($E431,статьи!$G$2:$I$24,2,)</f>
        <v>2. Нераскрытие или нарушение эмитентом, профессиональным участником рынка ценных бумаг, клиринговой организацией, акционерным инвестиционным фондом, управляющей компанией акционерного инвестиционного фонда, паевого инвестиционного фонда или негосударственного пенсионного фонда, специализированным депозитарием акционерного инвестиционного фонда, паевого инвестиционного фонда или негосударственного пенсионного фонда либо лицом, оказывающим услуги по публичному представлению раскрываемой информации, порядка и сроков раскрытия информации, предусмотренной федеральными законами и принятыми в соответствии с ними иными нормативными правовыми актами, а равно раскрытие информации не в полном объеме, и (или) недостоверной информации, и (или) вводящей в заблуждение информации</v>
      </c>
    </row>
    <row r="432" spans="1:10" ht="16" x14ac:dyDescent="0.2">
      <c r="A432" s="16">
        <v>422</v>
      </c>
      <c r="B432" s="16" t="s">
        <v>507</v>
      </c>
      <c r="C432" s="17" t="s">
        <v>508</v>
      </c>
      <c r="D432" s="16" t="s">
        <v>997</v>
      </c>
      <c r="E432" s="16" t="s">
        <v>23</v>
      </c>
      <c r="F432" s="16">
        <v>3000</v>
      </c>
      <c r="G432" s="16">
        <v>3000</v>
      </c>
      <c r="H432" s="16">
        <v>5000</v>
      </c>
      <c r="I432" s="18" cm="1">
        <f t="array" ref="I432">_xlfn.IFS(F432=H432,1,F432=G432,0,F432&lt;&gt;G432,(F432-G432)/(G432))</f>
        <v>0</v>
      </c>
      <c r="J432" s="17" t="str">
        <f>VLOOKUP($E432,статьи!$G$2:$I$24,2,)</f>
        <v>Манипулирование рынком, если это действие не содержит уголовно наказуемого деяния</v>
      </c>
    </row>
    <row r="433" spans="1:10" ht="64" x14ac:dyDescent="0.2">
      <c r="A433" s="16">
        <v>423</v>
      </c>
      <c r="B433" s="16" t="s">
        <v>507</v>
      </c>
      <c r="C433" s="17" t="s">
        <v>509</v>
      </c>
      <c r="D433" s="16" t="s">
        <v>996</v>
      </c>
      <c r="E433" s="16" t="s">
        <v>83</v>
      </c>
      <c r="F433" s="16" t="s">
        <v>11</v>
      </c>
      <c r="G433" s="16">
        <v>500000</v>
      </c>
      <c r="H433" s="16">
        <v>700000</v>
      </c>
      <c r="I433" s="18" t="e" cm="1">
        <f t="array" ref="I433">_xlfn.IFS(F433=H433,1,F433=G433,0,F433&lt;&gt;G433,(F433-G433)/(G433))</f>
        <v>#VALUE!</v>
      </c>
      <c r="J433" s="17" t="str">
        <f>VLOOKUP($E433,статьи!$G$2:$I$24,2,)</f>
        <v>Нарушение профессиональным участником рынка ценных бумаг, осуществляющим брокерскую или дилерскую деятельность либо деятельность по управлению ценными бумагами, установленных нормативными правовыми актами Российской Федерации правил ведения учета и составления отчетности</v>
      </c>
    </row>
    <row r="434" spans="1:10" ht="16" x14ac:dyDescent="0.2">
      <c r="A434" s="16">
        <v>424</v>
      </c>
      <c r="B434" s="16" t="s">
        <v>510</v>
      </c>
      <c r="C434" s="17" t="s">
        <v>511</v>
      </c>
      <c r="D434" s="16" t="s">
        <v>997</v>
      </c>
      <c r="E434" s="16" t="s">
        <v>23</v>
      </c>
      <c r="F434" s="16">
        <v>3000</v>
      </c>
      <c r="G434" s="16">
        <v>3000</v>
      </c>
      <c r="H434" s="16">
        <v>5000</v>
      </c>
      <c r="I434" s="18" cm="1">
        <f t="array" ref="I434">_xlfn.IFS(F434=H434,1,F434=G434,0,F434&lt;&gt;G434,(F434-G434)/(G434))</f>
        <v>0</v>
      </c>
      <c r="J434" s="17" t="str">
        <f>VLOOKUP($E434,статьи!$G$2:$I$24,2,)</f>
        <v>Манипулирование рынком, если это действие не содержит уголовно наказуемого деяния</v>
      </c>
    </row>
    <row r="435" spans="1:10" ht="176" x14ac:dyDescent="0.2">
      <c r="A435" s="16">
        <v>425</v>
      </c>
      <c r="B435" s="16" t="s">
        <v>512</v>
      </c>
      <c r="C435" s="17" t="s">
        <v>513</v>
      </c>
      <c r="D435" s="16" t="s">
        <v>997</v>
      </c>
      <c r="E435" s="16" t="s">
        <v>8</v>
      </c>
      <c r="F435" s="16" t="s">
        <v>11</v>
      </c>
      <c r="G435" s="16">
        <v>1000</v>
      </c>
      <c r="H435" s="16">
        <v>3000</v>
      </c>
      <c r="I435" s="18" t="e" cm="1">
        <f t="array" ref="I435">_xlfn.IFS(F435=H435,1,F435=G435,0,F435&lt;&gt;G435,(F435-G435)/(G435))</f>
        <v>#VALUE!</v>
      </c>
      <c r="J435" s="17" t="str">
        <f>VLOOKUP($E435,статьи!$G$2:$I$24,2,)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436" spans="1:10" ht="176" x14ac:dyDescent="0.2">
      <c r="A436" s="16">
        <v>426</v>
      </c>
      <c r="B436" s="16" t="s">
        <v>512</v>
      </c>
      <c r="C436" s="17" t="s">
        <v>514</v>
      </c>
      <c r="D436" s="16" t="s">
        <v>996</v>
      </c>
      <c r="E436" s="16" t="s">
        <v>8</v>
      </c>
      <c r="F436" s="16">
        <v>150000</v>
      </c>
      <c r="G436" s="16">
        <v>300000</v>
      </c>
      <c r="H436" s="16">
        <v>500000</v>
      </c>
      <c r="I436" s="18" cm="1">
        <f t="array" ref="I436">_xlfn.IFS(F436=H436,1,F436=G436,0,F436&lt;&gt;G436,(F436-G436)/(G436))</f>
        <v>-0.5</v>
      </c>
      <c r="J436" s="17" t="str">
        <f>VLOOKUP($E436,статьи!$G$2:$I$24,2,)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437" spans="1:10" ht="16" x14ac:dyDescent="0.2">
      <c r="A437" s="16">
        <v>427</v>
      </c>
      <c r="B437" s="16" t="s">
        <v>515</v>
      </c>
      <c r="C437" s="17" t="s">
        <v>516</v>
      </c>
      <c r="D437" s="16" t="s">
        <v>997</v>
      </c>
      <c r="E437" s="16" t="s">
        <v>23</v>
      </c>
      <c r="F437" s="16">
        <v>3000</v>
      </c>
      <c r="G437" s="16">
        <v>3000</v>
      </c>
      <c r="H437" s="16">
        <v>5000</v>
      </c>
      <c r="I437" s="18" cm="1">
        <f t="array" ref="I437">_xlfn.IFS(F437=H437,1,F437=G437,0,F437&lt;&gt;G437,(F437-G437)/(G437))</f>
        <v>0</v>
      </c>
      <c r="J437" s="17" t="str">
        <f>VLOOKUP($E437,статьи!$G$2:$I$24,2,)</f>
        <v>Манипулирование рынком, если это действие не содержит уголовно наказуемого деяния</v>
      </c>
    </row>
    <row r="438" spans="1:10" ht="144" x14ac:dyDescent="0.2">
      <c r="A438" s="16">
        <v>428</v>
      </c>
      <c r="B438" s="16" t="s">
        <v>517</v>
      </c>
      <c r="C438" s="17" t="s">
        <v>82</v>
      </c>
      <c r="D438" s="16" t="s">
        <v>996</v>
      </c>
      <c r="E438" s="16" t="s">
        <v>5</v>
      </c>
      <c r="F438" s="16">
        <v>700000</v>
      </c>
      <c r="G438" s="16">
        <v>700000</v>
      </c>
      <c r="H438" s="16">
        <v>1000000</v>
      </c>
      <c r="I438" s="18" cm="1">
        <f t="array" ref="I438">_xlfn.IFS(F438=H438,1,F438=G438,0,F438&lt;&gt;G438,(F438-G438)/(G438))</f>
        <v>0</v>
      </c>
      <c r="J438" s="17" t="str">
        <f>VLOOKUP($E438,статьи!$G$2:$I$24,2,)</f>
        <v>Воспрепятствование профессиональным участником рынка ценных бумаг,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проведению Банком России проверок либо неисполнение или ненадлежащее исполнение предписаний Банка России</v>
      </c>
    </row>
    <row r="439" spans="1:10" ht="144" x14ac:dyDescent="0.2">
      <c r="A439" s="16">
        <v>428</v>
      </c>
      <c r="B439" s="16" t="s">
        <v>517</v>
      </c>
      <c r="C439" s="17" t="s">
        <v>82</v>
      </c>
      <c r="D439" s="16" t="s">
        <v>996</v>
      </c>
      <c r="E439" s="16" t="s">
        <v>5</v>
      </c>
      <c r="F439" s="16">
        <v>700000</v>
      </c>
      <c r="G439" s="16">
        <v>700000</v>
      </c>
      <c r="H439" s="16">
        <v>1000000</v>
      </c>
      <c r="I439" s="18" cm="1">
        <f t="array" ref="I439">_xlfn.IFS(F439=H439,1,F439=G439,0,F439&lt;&gt;G439,(F439-G439)/(G439))</f>
        <v>0</v>
      </c>
      <c r="J439" s="17" t="str">
        <f>VLOOKUP($E439,статьи!$G$2:$I$24,2,)</f>
        <v>Воспрепятствование профессиональным участником рынка ценных бумаг,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проведению Банком России проверок либо неисполнение или ненадлежащее исполнение предписаний Банка России</v>
      </c>
    </row>
    <row r="440" spans="1:10" ht="176" x14ac:dyDescent="0.2">
      <c r="A440" s="16">
        <v>429</v>
      </c>
      <c r="B440" s="16" t="s">
        <v>517</v>
      </c>
      <c r="C440" s="17" t="s">
        <v>99</v>
      </c>
      <c r="D440" s="16" t="s">
        <v>996</v>
      </c>
      <c r="E440" s="16" t="s">
        <v>80</v>
      </c>
      <c r="F440" s="16">
        <v>700000</v>
      </c>
      <c r="G440" s="16">
        <v>700000</v>
      </c>
      <c r="H440" s="16">
        <v>1000000</v>
      </c>
      <c r="I440" s="18" cm="1">
        <f t="array" ref="I440">_xlfn.IFS(F440=H440,1,F440=G440,0,F440&lt;&gt;G440,(F440-G440)/(G440))</f>
        <v>0</v>
      </c>
      <c r="J440" s="17" t="str">
        <f>VLOOKUP($E440,статьи!$G$2:$I$24,2,)</f>
        <v>2. Нераскрытие или нарушение эмитентом, профессиональным участником рынка ценных бумаг, клиринговой организацией, акционерным инвестиционным фондом, управляющей компанией акционерного инвестиционного фонда, паевого инвестиционного фонда или негосударственного пенсионного фонда, специализированным депозитарием акционерного инвестиционного фонда, паевого инвестиционного фонда или негосударственного пенсионного фонда либо лицом, оказывающим услуги по публичному представлению раскрываемой информации, порядка и сроков раскрытия информации, предусмотренной федеральными законами и принятыми в соответствии с ними иными нормативными правовыми актами, а равно раскрытие информации не в полном объеме, и (или) недостоверной информации, и (или) вводящей в заблуждение информации</v>
      </c>
    </row>
    <row r="441" spans="1:10" ht="64" x14ac:dyDescent="0.2">
      <c r="A441" s="16">
        <v>430</v>
      </c>
      <c r="B441" s="16" t="s">
        <v>517</v>
      </c>
      <c r="C441" s="17" t="s">
        <v>85</v>
      </c>
      <c r="D441" s="16" t="s">
        <v>996</v>
      </c>
      <c r="E441" s="16" t="s">
        <v>7</v>
      </c>
      <c r="F441" s="16">
        <v>700000</v>
      </c>
      <c r="G441" s="16">
        <v>700000</v>
      </c>
      <c r="H441" s="16">
        <v>1000000</v>
      </c>
      <c r="I441" s="18" cm="1">
        <f t="array" ref="I441">_xlfn.IFS(F441=H441,1,F441=G441,0,F441&lt;&gt;G441,(F441-G441)/(G441))</f>
        <v>0</v>
      </c>
      <c r="J441" s="17" t="str">
        <f>VLOOKUP($E441,статьи!$G$2:$I$24,2,)</f>
        <v xml:space="preserve">Нарушение управляющей компанией акционерного инвестиционного фонда или паевого инвестиционного фонда предусмотренных федеральными законами и иными нормативными правовыми актами Российской Федерации ограничений ее деятельности -
</v>
      </c>
    </row>
    <row r="442" spans="1:10" ht="176" x14ac:dyDescent="0.2">
      <c r="A442" s="16">
        <v>430</v>
      </c>
      <c r="B442" s="16" t="s">
        <v>517</v>
      </c>
      <c r="C442" s="17" t="s">
        <v>85</v>
      </c>
      <c r="D442" s="16" t="s">
        <v>996</v>
      </c>
      <c r="E442" s="16" t="s">
        <v>8</v>
      </c>
      <c r="F442" s="16">
        <v>300000</v>
      </c>
      <c r="G442" s="16">
        <v>300000</v>
      </c>
      <c r="H442" s="16">
        <v>500000</v>
      </c>
      <c r="I442" s="18" cm="1">
        <f t="array" ref="I442">_xlfn.IFS(F442=H442,1,F442=G442,0,F442&lt;&gt;G442,(F442-G442)/(G442))</f>
        <v>0</v>
      </c>
      <c r="J442" s="17" t="str">
        <f>VLOOKUP($E442,статьи!$G$2:$I$24,2,)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row r="443" spans="1:10" ht="64" x14ac:dyDescent="0.2">
      <c r="A443" s="16">
        <v>431</v>
      </c>
      <c r="B443" s="16" t="s">
        <v>517</v>
      </c>
      <c r="C443" s="17" t="s">
        <v>284</v>
      </c>
      <c r="D443" s="16" t="s">
        <v>996</v>
      </c>
      <c r="E443" s="16" t="s">
        <v>83</v>
      </c>
      <c r="F443" s="16">
        <v>500000</v>
      </c>
      <c r="G443" s="16">
        <v>500000</v>
      </c>
      <c r="H443" s="16">
        <v>700000</v>
      </c>
      <c r="I443" s="18" cm="1">
        <f t="array" ref="I443">_xlfn.IFS(F443=H443,1,F443=G443,0,F443&lt;&gt;G443,(F443-G443)/(G443))</f>
        <v>0</v>
      </c>
      <c r="J443" s="17" t="str">
        <f>VLOOKUP($E443,статьи!$G$2:$I$24,2,)</f>
        <v>Нарушение профессиональным участником рынка ценных бумаг, осуществляющим брокерскую или дилерскую деятельность либо деятельность по управлению ценными бумагами, установленных нормативными правовыми актами Российской Федерации правил ведения учета и составления отчетности</v>
      </c>
    </row>
    <row r="444" spans="1:10" ht="64" x14ac:dyDescent="0.2">
      <c r="A444" s="16">
        <v>432</v>
      </c>
      <c r="B444" s="16" t="s">
        <v>517</v>
      </c>
      <c r="C444" s="17" t="s">
        <v>518</v>
      </c>
      <c r="D444" s="16" t="s">
        <v>996</v>
      </c>
      <c r="E444" s="16" t="s">
        <v>83</v>
      </c>
      <c r="F444" s="16" t="s">
        <v>11</v>
      </c>
      <c r="G444" s="16">
        <v>500000</v>
      </c>
      <c r="H444" s="16">
        <v>700000</v>
      </c>
      <c r="I444" s="18" t="e" cm="1">
        <f t="array" ref="I444">_xlfn.IFS(F444=H444,1,F444=G444,0,F444&lt;&gt;G444,(F444-G444)/(G444))</f>
        <v>#VALUE!</v>
      </c>
      <c r="J444" s="17" t="str">
        <f>VLOOKUP($E444,статьи!$G$2:$I$24,2,)</f>
        <v>Нарушение профессиональным участником рынка ценных бумаг, осуществляющим брокерскую или дилерскую деятельность либо деятельность по управлению ценными бумагами, установленных нормативными правовыми актами Российской Федерации правил ведения учета и составления отчетности</v>
      </c>
    </row>
    <row r="445" spans="1:10" ht="224" x14ac:dyDescent="0.2">
      <c r="A445" s="16">
        <v>433</v>
      </c>
      <c r="B445" s="16" t="s">
        <v>519</v>
      </c>
      <c r="C445" s="17" t="s">
        <v>285</v>
      </c>
      <c r="D445" s="16" t="s">
        <v>996</v>
      </c>
      <c r="E445" s="16" t="s">
        <v>75</v>
      </c>
      <c r="F445" s="16" t="s">
        <v>11</v>
      </c>
      <c r="G445" s="16">
        <v>500000</v>
      </c>
      <c r="H445" s="16">
        <v>700000</v>
      </c>
      <c r="I445" s="18" t="e" cm="1">
        <f t="array" ref="I445">_xlfn.IFS(F445=H445,1,F445=G445,0,F445&lt;&gt;G445,(F445-G445)/(G445))</f>
        <v>#VALUE!</v>
      </c>
      <c r="J445" s="17" t="str">
        <f>VLOOKUP($E445,статьи!$G$2:$I$24,2,)</f>
        <v xml:space="preserve">
1. Непредставление или нарушение порядка либо сроков представления в Банк России отчетов, уведомлений и иной информации, предусмотренной законодательством и (или) необходимой для осуществления этим органом (должностным лицом) его законной деятельности, либо представление информации не в полном объеме и (или) недостоверной информации, за исключением случаев, если в соответствии со страховым законодательством, законодательством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Банком России дается законное предписание об устранении нарушения страхового законодательства, законодательства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и случаев, указанных в части 2 настоящей статьи, если эти действия (бездействие) не содержат признаков уголовно наказуемого деяния</v>
      </c>
    </row>
    <row r="446" spans="1:10" ht="80" x14ac:dyDescent="0.2">
      <c r="A446" s="16">
        <v>433</v>
      </c>
      <c r="B446" s="16" t="s">
        <v>519</v>
      </c>
      <c r="C446" s="17" t="s">
        <v>285</v>
      </c>
      <c r="D446" s="16" t="s">
        <v>996</v>
      </c>
      <c r="E446" s="16" t="s">
        <v>72</v>
      </c>
      <c r="F446" s="16">
        <v>250000</v>
      </c>
      <c r="G446" s="16">
        <v>500000</v>
      </c>
      <c r="H446" s="16">
        <v>700000</v>
      </c>
      <c r="I446" s="18" cm="1">
        <f t="array" ref="I446">_xlfn.IFS(F446=H446,1,F446=G446,0,F446&lt;&gt;G446,(F446-G446)/(G446))</f>
        <v>-0.5</v>
      </c>
      <c r="J446" s="17" t="str">
        <f>VLOOKUP($E446,статьи!$G$2:$I$24,2,)</f>
        <v xml:space="preserve">9. Невыполнение в установленный срок законного предписания Банка России, за исключением случаев, предусмотренных частью 9.1 настоящей статьи, -
</v>
      </c>
    </row>
    <row r="447" spans="1:10" ht="224" x14ac:dyDescent="0.2">
      <c r="A447" s="16">
        <v>434</v>
      </c>
      <c r="B447" s="16" t="s">
        <v>519</v>
      </c>
      <c r="C447" s="17" t="s">
        <v>520</v>
      </c>
      <c r="D447" s="16" t="s">
        <v>996</v>
      </c>
      <c r="E447" s="16" t="s">
        <v>75</v>
      </c>
      <c r="F447" s="16" t="s">
        <v>11</v>
      </c>
      <c r="G447" s="16">
        <v>500000</v>
      </c>
      <c r="H447" s="16">
        <v>700000</v>
      </c>
      <c r="I447" s="18" t="e" cm="1">
        <f t="array" ref="I447">_xlfn.IFS(F447=H447,1,F447=G447,0,F447&lt;&gt;G447,(F447-G447)/(G447))</f>
        <v>#VALUE!</v>
      </c>
      <c r="J447" s="17" t="str">
        <f>VLOOKUP($E447,статьи!$G$2:$I$24,2,)</f>
        <v xml:space="preserve">
1. Непредставление или нарушение порядка либо сроков представления в Банк России отчетов, уведомлений и иной информации, предусмотренной законодательством и (или) необходимой для осуществления этим органом (должностным лицом) его законной деятельности, либо представление информации не в полном объеме и (или) недостоверной информации, за исключением случаев, если в соответствии со страховым законодательством, законодательством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Банком России дается законное предписание об устранении нарушения страхового законодательства, законодательства Российской Федерации о кредитной кооперации, о сельскохозяйственной кооперации, о микрофинансовой деятельности и микрофинансовых организациях или о ломбардах, и случаев, указанных в части 2 настоящей статьи, если эти действия (бездействие) не содержат признаков уголовно наказуемого деяния</v>
      </c>
    </row>
    <row r="448" spans="1:10" ht="16" x14ac:dyDescent="0.2">
      <c r="A448" s="16">
        <v>435</v>
      </c>
      <c r="B448" s="16" t="s">
        <v>519</v>
      </c>
      <c r="C448" s="17" t="s">
        <v>457</v>
      </c>
      <c r="D448" s="16" t="s">
        <v>997</v>
      </c>
      <c r="E448" s="16" t="s">
        <v>23</v>
      </c>
      <c r="F448" s="16">
        <v>3000</v>
      </c>
      <c r="G448" s="16">
        <v>3000</v>
      </c>
      <c r="H448" s="16">
        <v>5000</v>
      </c>
      <c r="I448" s="18" cm="1">
        <f t="array" ref="I448">_xlfn.IFS(F448=H448,1,F448=G448,0,F448&lt;&gt;G448,(F448-G448)/(G448))</f>
        <v>0</v>
      </c>
      <c r="J448" s="17" t="str">
        <f>VLOOKUP($E448,статьи!$G$2:$I$24,2,)</f>
        <v>Манипулирование рынком, если это действие не содержит уголовно наказуемого деяния</v>
      </c>
    </row>
    <row r="449" spans="1:10" ht="16" x14ac:dyDescent="0.2">
      <c r="A449" s="16">
        <v>436</v>
      </c>
      <c r="B449" s="16" t="s">
        <v>519</v>
      </c>
      <c r="C449" s="17" t="s">
        <v>458</v>
      </c>
      <c r="D449" s="16" t="s">
        <v>997</v>
      </c>
      <c r="E449" s="16" t="s">
        <v>23</v>
      </c>
      <c r="F449" s="16">
        <v>3000</v>
      </c>
      <c r="G449" s="16">
        <v>3000</v>
      </c>
      <c r="H449" s="16">
        <v>5000</v>
      </c>
      <c r="I449" s="18" cm="1">
        <f t="array" ref="I449">_xlfn.IFS(F449=H449,1,F449=G449,0,F449&lt;&gt;G449,(F449-G449)/(G449))</f>
        <v>0</v>
      </c>
      <c r="J449" s="17" t="str">
        <f>VLOOKUP($E449,статьи!$G$2:$I$24,2,)</f>
        <v>Манипулирование рынком, если это действие не содержит уголовно наказуемого деяния</v>
      </c>
    </row>
    <row r="450" spans="1:10" ht="176" x14ac:dyDescent="0.2">
      <c r="A450" s="16">
        <v>437</v>
      </c>
      <c r="B450" s="16" t="s">
        <v>519</v>
      </c>
      <c r="C450" s="17" t="s">
        <v>99</v>
      </c>
      <c r="D450" s="16" t="s">
        <v>996</v>
      </c>
      <c r="E450" s="16" t="s">
        <v>8</v>
      </c>
      <c r="F450" s="16">
        <v>300000</v>
      </c>
      <c r="G450" s="16">
        <v>300000</v>
      </c>
      <c r="H450" s="16">
        <v>500000</v>
      </c>
      <c r="I450" s="18" cm="1">
        <f t="array" ref="I450">_xlfn.IFS(F450=H450,1,F450=G450,0,F450&lt;&gt;G450,(F450-G450)/(G450))</f>
        <v>0</v>
      </c>
      <c r="J450" s="17" t="str">
        <f>VLOOKUP($E450,статьи!$G$2:$I$24,2,)</f>
        <v xml:space="preserve"> Иное нарушение профессиональным участником рынка ценных бумаг, репозитарием, клиринговой организацией, лицом, осуществляющим функции центрального контрагента, акционерным инвестиционным фондом, негосударственным пенсионным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при осуществлении ими соответствующих видов деятельности установленных законодательством требований к этим видам деятельности, за исключением случаев, предусмотренных частями 1 - 11 настоящей статьи, статьями 13.25, 15.18 - 15.20, 15.22, 15.23.1, 15.24.1, 15.30 и 19.7.3 настоящего Кодекса</v>
      </c>
    </row>
  </sheetData>
  <autoFilter ref="A1:I450" xr:uid="{376C655F-1982-ED47-B8E6-A0FE03750AAE}"/>
  <conditionalFormatting sqref="K2 I2:I450">
    <cfRule type="cellIs" dxfId="5" priority="1" operator="greaterThanOrEqual">
      <formula>1</formula>
    </cfRule>
    <cfRule type="cellIs" dxfId="4" priority="2" operator="greaterThan">
      <formula>0</formula>
    </cfRule>
    <cfRule type="cellIs" dxfId="3" priority="3" operator="lessThan">
      <formula>0</formula>
    </cfRule>
  </conditionalFormatting>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AA574-3ABB-D74B-A336-38E1A260487A}">
  <dimension ref="G2:I24"/>
  <sheetViews>
    <sheetView topLeftCell="A21" workbookViewId="0">
      <selection activeCell="H25" sqref="H25"/>
    </sheetView>
  </sheetViews>
  <sheetFormatPr baseColWidth="10" defaultRowHeight="15" x14ac:dyDescent="0.2"/>
  <cols>
    <col min="7" max="7" width="18.33203125" bestFit="1" customWidth="1"/>
    <col min="8" max="8" width="54" customWidth="1"/>
  </cols>
  <sheetData>
    <row r="2" spans="7:9" x14ac:dyDescent="0.2">
      <c r="G2" t="s">
        <v>992</v>
      </c>
      <c r="H2" t="s">
        <v>993</v>
      </c>
      <c r="I2" t="s">
        <v>994</v>
      </c>
    </row>
    <row r="3" spans="7:9" ht="192" x14ac:dyDescent="0.2">
      <c r="G3" t="s">
        <v>5</v>
      </c>
      <c r="H3" s="2" t="s">
        <v>1009</v>
      </c>
      <c r="I3" s="7" t="s">
        <v>980</v>
      </c>
    </row>
    <row r="4" spans="7:9" ht="96" x14ac:dyDescent="0.2">
      <c r="G4" t="s">
        <v>7</v>
      </c>
      <c r="H4" s="2" t="s">
        <v>1010</v>
      </c>
      <c r="I4" s="7" t="s">
        <v>980</v>
      </c>
    </row>
    <row r="5" spans="7:9" ht="240" x14ac:dyDescent="0.2">
      <c r="G5" t="s">
        <v>8</v>
      </c>
      <c r="H5" s="2" t="s">
        <v>1011</v>
      </c>
      <c r="I5" s="7" t="s">
        <v>980</v>
      </c>
    </row>
    <row r="6" spans="7:9" ht="144" x14ac:dyDescent="0.2">
      <c r="G6" t="s">
        <v>18</v>
      </c>
      <c r="H6" s="2" t="s">
        <v>1012</v>
      </c>
      <c r="I6" s="7" t="s">
        <v>980</v>
      </c>
    </row>
    <row r="7" spans="7:9" ht="32" x14ac:dyDescent="0.2">
      <c r="G7" t="s">
        <v>23</v>
      </c>
      <c r="H7" s="2" t="s">
        <v>1013</v>
      </c>
      <c r="I7" s="7" t="s">
        <v>984</v>
      </c>
    </row>
    <row r="8" spans="7:9" ht="96" x14ac:dyDescent="0.2">
      <c r="G8" t="s">
        <v>72</v>
      </c>
      <c r="H8" s="2" t="s">
        <v>1014</v>
      </c>
      <c r="I8" s="7">
        <v>19.5</v>
      </c>
    </row>
    <row r="9" spans="7:9" ht="320" x14ac:dyDescent="0.2">
      <c r="G9" t="s">
        <v>75</v>
      </c>
      <c r="H9" s="2" t="s">
        <v>1015</v>
      </c>
      <c r="I9" s="8" t="s">
        <v>991</v>
      </c>
    </row>
    <row r="10" spans="7:9" ht="240" x14ac:dyDescent="0.2">
      <c r="G10" t="s">
        <v>80</v>
      </c>
      <c r="H10" s="2" t="s">
        <v>1016</v>
      </c>
      <c r="I10" s="7" t="s">
        <v>981</v>
      </c>
    </row>
    <row r="11" spans="7:9" ht="80" x14ac:dyDescent="0.2">
      <c r="G11" t="s">
        <v>83</v>
      </c>
      <c r="H11" s="2" t="s">
        <v>1017</v>
      </c>
      <c r="I11" s="7" t="s">
        <v>980</v>
      </c>
    </row>
    <row r="12" spans="7:9" ht="144" x14ac:dyDescent="0.2">
      <c r="G12" t="s">
        <v>108</v>
      </c>
      <c r="H12" s="2" t="s">
        <v>1018</v>
      </c>
      <c r="I12" s="7" t="s">
        <v>980</v>
      </c>
    </row>
    <row r="13" spans="7:9" ht="48" x14ac:dyDescent="0.2">
      <c r="G13" t="s">
        <v>129</v>
      </c>
      <c r="H13" s="2" t="s">
        <v>1019</v>
      </c>
      <c r="I13" s="7" t="s">
        <v>985</v>
      </c>
    </row>
    <row r="14" spans="7:9" ht="64" x14ac:dyDescent="0.2">
      <c r="G14" t="s">
        <v>167</v>
      </c>
      <c r="H14" s="2" t="s">
        <v>1020</v>
      </c>
      <c r="I14" s="7" t="s">
        <v>990</v>
      </c>
    </row>
    <row r="15" spans="7:9" ht="64" x14ac:dyDescent="0.2">
      <c r="G15" t="s">
        <v>168</v>
      </c>
      <c r="H15" s="2" t="s">
        <v>1021</v>
      </c>
      <c r="I15" s="7" t="s">
        <v>990</v>
      </c>
    </row>
    <row r="16" spans="7:9" ht="64" x14ac:dyDescent="0.2">
      <c r="G16" t="s">
        <v>264</v>
      </c>
      <c r="H16" s="2" t="s">
        <v>1022</v>
      </c>
      <c r="I16" s="7" t="s">
        <v>982</v>
      </c>
    </row>
    <row r="17" spans="7:9" ht="64" x14ac:dyDescent="0.2">
      <c r="G17" t="s">
        <v>266</v>
      </c>
      <c r="H17" s="2" t="s">
        <v>1023</v>
      </c>
      <c r="I17" s="7" t="s">
        <v>982</v>
      </c>
    </row>
    <row r="18" spans="7:9" ht="48" x14ac:dyDescent="0.2">
      <c r="G18" t="s">
        <v>274</v>
      </c>
      <c r="H18" s="2" t="s">
        <v>1024</v>
      </c>
      <c r="I18" s="7" t="s">
        <v>983</v>
      </c>
    </row>
    <row r="19" spans="7:9" ht="32" x14ac:dyDescent="0.2">
      <c r="G19" t="s">
        <v>309</v>
      </c>
      <c r="H19" s="2" t="s">
        <v>1025</v>
      </c>
      <c r="I19" s="7" t="s">
        <v>986</v>
      </c>
    </row>
    <row r="20" spans="7:9" ht="96" x14ac:dyDescent="0.2">
      <c r="G20" t="s">
        <v>327</v>
      </c>
      <c r="H20" s="2" t="s">
        <v>1026</v>
      </c>
      <c r="I20" s="7" t="s">
        <v>989</v>
      </c>
    </row>
    <row r="21" spans="7:9" ht="176" x14ac:dyDescent="0.2">
      <c r="G21" t="s">
        <v>340</v>
      </c>
      <c r="H21" s="2" t="s">
        <v>1027</v>
      </c>
      <c r="I21" s="7" t="s">
        <v>980</v>
      </c>
    </row>
    <row r="22" spans="7:9" ht="64" x14ac:dyDescent="0.2">
      <c r="G22" t="s">
        <v>454</v>
      </c>
      <c r="H22" s="2" t="s">
        <v>1028</v>
      </c>
      <c r="I22" s="7" t="s">
        <v>987</v>
      </c>
    </row>
    <row r="23" spans="7:9" ht="160" x14ac:dyDescent="0.2">
      <c r="G23" t="s">
        <v>462</v>
      </c>
      <c r="H23" s="2" t="s">
        <v>1029</v>
      </c>
      <c r="I23" s="7" t="s">
        <v>981</v>
      </c>
    </row>
    <row r="24" spans="7:9" ht="208" x14ac:dyDescent="0.2">
      <c r="G24" t="s">
        <v>487</v>
      </c>
      <c r="H24" s="2" t="s">
        <v>1030</v>
      </c>
      <c r="I24" s="7" t="s">
        <v>988</v>
      </c>
    </row>
  </sheetData>
  <phoneticPr fontId="4" type="noConversion"/>
  <hyperlinks>
    <hyperlink ref="I3" r:id="rId1" xr:uid="{7A0F1604-99FB-A840-A3E8-62825C5663E7}"/>
    <hyperlink ref="I10" r:id="rId2" xr:uid="{E647FF5C-713C-D843-925E-927CBBAE73EE}"/>
    <hyperlink ref="I16" r:id="rId3" xr:uid="{88AC9D64-5CBF-E445-A473-A027670E80A6}"/>
    <hyperlink ref="I18" r:id="rId4" xr:uid="{93421D5E-9359-FE4F-BAA0-6C3C074207C1}"/>
    <hyperlink ref="I17" r:id="rId5" xr:uid="{D926968A-E38B-E348-A884-62D6F85C744F}"/>
    <hyperlink ref="I4" r:id="rId6" xr:uid="{C35C3580-1114-244A-8376-F2181D9A8D56}"/>
    <hyperlink ref="I5" r:id="rId7" xr:uid="{2CBE346D-D5A8-2D4F-9D21-3955A5AB4F70}"/>
    <hyperlink ref="I6" r:id="rId8" xr:uid="{DABBB404-8310-0044-A70F-40F8D178AF94}"/>
    <hyperlink ref="I11" r:id="rId9" xr:uid="{B6C8EBCC-74B8-0849-843B-1A2733C4BA80}"/>
    <hyperlink ref="I12" r:id="rId10" xr:uid="{78BF1811-D699-AF40-B10A-531039DB0C9F}"/>
    <hyperlink ref="I21" r:id="rId11" xr:uid="{FD1716BD-1EC9-A442-830F-A3B1B97F6D38}"/>
    <hyperlink ref="I23" r:id="rId12" xr:uid="{3458792C-C12D-2F42-98B0-92FA916D3649}"/>
    <hyperlink ref="I7" r:id="rId13" xr:uid="{3DD6929B-CCDF-DA4C-98EB-709664FBB54B}"/>
    <hyperlink ref="I13" r:id="rId14" xr:uid="{A247AE05-9778-B040-9BC5-1369A989FDAA}"/>
    <hyperlink ref="I19" r:id="rId15" xr:uid="{46953E94-A243-4148-A052-40727508B769}"/>
    <hyperlink ref="I22" r:id="rId16" xr:uid="{081840CD-9306-B04E-B73F-FE729C07BD69}"/>
    <hyperlink ref="I24" r:id="rId17" xr:uid="{DF5783D6-7CAB-A74E-9B05-49BD5F64B82C}"/>
    <hyperlink ref="I20" r:id="rId18" xr:uid="{BEC79E47-BCFE-6240-9291-490AD052A54D}"/>
    <hyperlink ref="I14" r:id="rId19" xr:uid="{D8755451-4CE7-364A-8E93-23DE1A16E6E7}"/>
    <hyperlink ref="I15" r:id="rId20" xr:uid="{CCF81A00-64AE-4B4F-A1D8-D5ACB0234D7E}"/>
    <hyperlink ref="I9" r:id="rId21" display="19,7,03" xr:uid="{E5973430-DC0F-C14B-9F81-2F5B8A6361C1}"/>
    <hyperlink ref="I8" r:id="rId22" display="19,5" xr:uid="{178D1DEE-931F-694A-869D-723A985703C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A489F-113B-DF40-9DAC-A5CDB5144B5A}">
  <dimension ref="A2:Y127"/>
  <sheetViews>
    <sheetView tabSelected="1" topLeftCell="L67" zoomScale="85" zoomScaleNormal="92" workbookViewId="0">
      <selection activeCell="AA84" sqref="AA84"/>
    </sheetView>
  </sheetViews>
  <sheetFormatPr baseColWidth="10" defaultRowHeight="15" x14ac:dyDescent="0.2"/>
  <cols>
    <col min="1" max="1" width="18.33203125" bestFit="1" customWidth="1"/>
    <col min="2" max="2" width="28" bestFit="1" customWidth="1"/>
    <col min="3" max="3" width="19.5" bestFit="1" customWidth="1"/>
    <col min="4" max="4" width="53.33203125" bestFit="1" customWidth="1"/>
    <col min="5" max="5" width="53.1640625" bestFit="1" customWidth="1"/>
    <col min="6" max="6" width="28.1640625" bestFit="1" customWidth="1"/>
    <col min="7" max="13" width="8.1640625" bestFit="1" customWidth="1"/>
    <col min="14" max="14" width="16.5" bestFit="1" customWidth="1"/>
    <col min="15" max="15" width="24" bestFit="1" customWidth="1"/>
    <col min="16" max="16" width="16.83203125" bestFit="1" customWidth="1"/>
    <col min="17" max="17" width="16.5" bestFit="1" customWidth="1"/>
    <col min="18" max="18" width="28" bestFit="1" customWidth="1"/>
    <col min="19" max="19" width="9.33203125" bestFit="1" customWidth="1"/>
    <col min="20" max="20" width="14.83203125" bestFit="1" customWidth="1"/>
    <col min="21" max="21" width="15.33203125" bestFit="1" customWidth="1"/>
    <col min="22" max="23" width="10.6640625" bestFit="1" customWidth="1"/>
  </cols>
  <sheetData>
    <row r="2" spans="1:3" x14ac:dyDescent="0.2">
      <c r="A2" s="13" t="s">
        <v>995</v>
      </c>
      <c r="B2" t="s">
        <v>1033</v>
      </c>
      <c r="C2" t="s">
        <v>1055</v>
      </c>
    </row>
    <row r="3" spans="1:3" x14ac:dyDescent="0.2">
      <c r="A3" s="13" t="s">
        <v>1005</v>
      </c>
      <c r="B3" t="s">
        <v>1033</v>
      </c>
    </row>
    <row r="5" spans="1:3" x14ac:dyDescent="0.2">
      <c r="A5" s="13" t="s">
        <v>1007</v>
      </c>
      <c r="B5" t="s">
        <v>1035</v>
      </c>
    </row>
    <row r="6" spans="1:3" x14ac:dyDescent="0.2">
      <c r="A6" s="14" t="s">
        <v>1036</v>
      </c>
      <c r="B6">
        <v>387</v>
      </c>
    </row>
    <row r="7" spans="1:3" x14ac:dyDescent="0.2">
      <c r="A7" s="25" t="s">
        <v>1037</v>
      </c>
      <c r="B7">
        <v>17</v>
      </c>
    </row>
    <row r="8" spans="1:3" x14ac:dyDescent="0.2">
      <c r="A8" s="25" t="s">
        <v>1038</v>
      </c>
      <c r="B8">
        <v>20</v>
      </c>
    </row>
    <row r="9" spans="1:3" x14ac:dyDescent="0.2">
      <c r="A9" s="25" t="s">
        <v>1039</v>
      </c>
      <c r="B9">
        <v>33</v>
      </c>
    </row>
    <row r="10" spans="1:3" x14ac:dyDescent="0.2">
      <c r="A10" s="25" t="s">
        <v>1040</v>
      </c>
      <c r="B10">
        <v>33</v>
      </c>
    </row>
    <row r="11" spans="1:3" x14ac:dyDescent="0.2">
      <c r="A11" s="25" t="s">
        <v>1041</v>
      </c>
      <c r="B11">
        <v>36</v>
      </c>
    </row>
    <row r="12" spans="1:3" x14ac:dyDescent="0.2">
      <c r="A12" s="25" t="s">
        <v>1042</v>
      </c>
      <c r="B12">
        <v>22</v>
      </c>
    </row>
    <row r="13" spans="1:3" x14ac:dyDescent="0.2">
      <c r="A13" s="25" t="s">
        <v>1043</v>
      </c>
      <c r="B13">
        <v>29</v>
      </c>
    </row>
    <row r="14" spans="1:3" x14ac:dyDescent="0.2">
      <c r="A14" s="25" t="s">
        <v>1044</v>
      </c>
      <c r="B14">
        <v>31</v>
      </c>
    </row>
    <row r="15" spans="1:3" x14ac:dyDescent="0.2">
      <c r="A15" s="25" t="s">
        <v>1045</v>
      </c>
      <c r="B15">
        <v>24</v>
      </c>
    </row>
    <row r="16" spans="1:3" x14ac:dyDescent="0.2">
      <c r="A16" s="25" t="s">
        <v>1046</v>
      </c>
      <c r="B16">
        <v>51</v>
      </c>
    </row>
    <row r="17" spans="1:25" x14ac:dyDescent="0.2">
      <c r="A17" s="25" t="s">
        <v>1047</v>
      </c>
      <c r="B17">
        <v>61</v>
      </c>
    </row>
    <row r="18" spans="1:25" x14ac:dyDescent="0.2">
      <c r="A18" s="25" t="s">
        <v>1048</v>
      </c>
      <c r="B18">
        <v>30</v>
      </c>
    </row>
    <row r="19" spans="1:25" x14ac:dyDescent="0.2">
      <c r="A19" s="14" t="s">
        <v>1056</v>
      </c>
      <c r="B19">
        <v>62</v>
      </c>
    </row>
    <row r="20" spans="1:25" x14ac:dyDescent="0.2">
      <c r="A20" s="25" t="s">
        <v>1037</v>
      </c>
      <c r="B20">
        <v>48</v>
      </c>
    </row>
    <row r="21" spans="1:25" x14ac:dyDescent="0.2">
      <c r="A21" s="25" t="s">
        <v>1038</v>
      </c>
      <c r="B21">
        <v>14</v>
      </c>
    </row>
    <row r="22" spans="1:25" x14ac:dyDescent="0.2">
      <c r="A22" s="14" t="s">
        <v>1008</v>
      </c>
      <c r="B22">
        <v>449</v>
      </c>
    </row>
    <row r="23" spans="1:25" x14ac:dyDescent="0.2">
      <c r="C23" t="s">
        <v>1054</v>
      </c>
      <c r="N23" s="13" t="s">
        <v>1005</v>
      </c>
      <c r="O23" t="s">
        <v>1033</v>
      </c>
    </row>
    <row r="24" spans="1:25" x14ac:dyDescent="0.2">
      <c r="N24" s="13" t="s">
        <v>995</v>
      </c>
      <c r="O24" t="s">
        <v>996</v>
      </c>
      <c r="X24" t="s">
        <v>1067</v>
      </c>
    </row>
    <row r="26" spans="1:25" x14ac:dyDescent="0.2">
      <c r="N26" s="13" t="s">
        <v>1007</v>
      </c>
      <c r="O26" t="s">
        <v>1035</v>
      </c>
      <c r="X26" s="14" t="s">
        <v>7</v>
      </c>
      <c r="Y26">
        <v>10</v>
      </c>
    </row>
    <row r="27" spans="1:25" x14ac:dyDescent="0.2">
      <c r="A27" s="13" t="s">
        <v>995</v>
      </c>
      <c r="B27" t="s">
        <v>996</v>
      </c>
      <c r="N27" s="14" t="s">
        <v>8</v>
      </c>
      <c r="O27">
        <v>68</v>
      </c>
      <c r="X27" s="14" t="s">
        <v>168</v>
      </c>
      <c r="Y27">
        <v>9</v>
      </c>
    </row>
    <row r="28" spans="1:25" x14ac:dyDescent="0.2">
      <c r="A28" s="13" t="s">
        <v>1005</v>
      </c>
      <c r="B28" t="s">
        <v>1033</v>
      </c>
      <c r="N28" s="14" t="s">
        <v>1064</v>
      </c>
      <c r="O28">
        <v>46</v>
      </c>
      <c r="X28" s="14" t="s">
        <v>23</v>
      </c>
      <c r="Y28">
        <v>5</v>
      </c>
    </row>
    <row r="29" spans="1:25" x14ac:dyDescent="0.2">
      <c r="N29" s="14" t="s">
        <v>5</v>
      </c>
      <c r="O29">
        <v>29</v>
      </c>
      <c r="X29" s="14" t="s">
        <v>18</v>
      </c>
      <c r="Y29">
        <v>5</v>
      </c>
    </row>
    <row r="30" spans="1:25" x14ac:dyDescent="0.2">
      <c r="A30" s="13" t="s">
        <v>1007</v>
      </c>
      <c r="B30" t="s">
        <v>1035</v>
      </c>
      <c r="N30" s="14" t="s">
        <v>75</v>
      </c>
      <c r="O30">
        <v>28</v>
      </c>
      <c r="X30" s="14" t="s">
        <v>129</v>
      </c>
      <c r="Y30">
        <v>3</v>
      </c>
    </row>
    <row r="31" spans="1:25" x14ac:dyDescent="0.2">
      <c r="A31" s="14" t="s">
        <v>8</v>
      </c>
      <c r="B31">
        <v>68</v>
      </c>
      <c r="N31" s="14" t="s">
        <v>80</v>
      </c>
      <c r="O31">
        <v>23</v>
      </c>
      <c r="X31" s="14" t="s">
        <v>327</v>
      </c>
      <c r="Y31">
        <v>3</v>
      </c>
    </row>
    <row r="32" spans="1:25" x14ac:dyDescent="0.2">
      <c r="A32" s="14" t="s">
        <v>5</v>
      </c>
      <c r="B32">
        <v>29</v>
      </c>
      <c r="N32" s="14" t="s">
        <v>83</v>
      </c>
      <c r="O32">
        <v>23</v>
      </c>
      <c r="X32" s="14" t="s">
        <v>108</v>
      </c>
      <c r="Y32">
        <v>2</v>
      </c>
    </row>
    <row r="33" spans="1:25" x14ac:dyDescent="0.2">
      <c r="A33" s="14" t="s">
        <v>75</v>
      </c>
      <c r="B33">
        <v>28</v>
      </c>
      <c r="N33" s="14" t="s">
        <v>72</v>
      </c>
      <c r="O33">
        <v>20</v>
      </c>
      <c r="X33" s="14" t="s">
        <v>274</v>
      </c>
      <c r="Y33">
        <v>2</v>
      </c>
    </row>
    <row r="34" spans="1:25" x14ac:dyDescent="0.2">
      <c r="A34" s="14" t="s">
        <v>80</v>
      </c>
      <c r="B34">
        <v>23</v>
      </c>
      <c r="N34" s="14" t="s">
        <v>1008</v>
      </c>
      <c r="O34">
        <v>237</v>
      </c>
      <c r="X34" s="14" t="s">
        <v>266</v>
      </c>
      <c r="Y34">
        <v>1</v>
      </c>
    </row>
    <row r="35" spans="1:25" x14ac:dyDescent="0.2">
      <c r="A35" s="14" t="s">
        <v>83</v>
      </c>
      <c r="B35">
        <v>23</v>
      </c>
      <c r="X35" s="14" t="s">
        <v>340</v>
      </c>
      <c r="Y35">
        <v>1</v>
      </c>
    </row>
    <row r="36" spans="1:25" x14ac:dyDescent="0.2">
      <c r="A36" s="14" t="s">
        <v>72</v>
      </c>
      <c r="B36">
        <v>20</v>
      </c>
      <c r="X36" s="14" t="s">
        <v>167</v>
      </c>
      <c r="Y36">
        <v>1</v>
      </c>
    </row>
    <row r="37" spans="1:25" x14ac:dyDescent="0.2">
      <c r="A37" s="14" t="s">
        <v>7</v>
      </c>
      <c r="B37">
        <v>10</v>
      </c>
      <c r="X37" s="14" t="s">
        <v>264</v>
      </c>
      <c r="Y37">
        <v>1</v>
      </c>
    </row>
    <row r="38" spans="1:25" x14ac:dyDescent="0.2">
      <c r="A38" s="14" t="s">
        <v>168</v>
      </c>
      <c r="B38">
        <v>9</v>
      </c>
      <c r="X38" s="14" t="s">
        <v>454</v>
      </c>
      <c r="Y38">
        <v>1</v>
      </c>
    </row>
    <row r="39" spans="1:25" x14ac:dyDescent="0.2">
      <c r="A39" s="14" t="s">
        <v>23</v>
      </c>
      <c r="B39">
        <v>5</v>
      </c>
      <c r="X39" s="14" t="s">
        <v>487</v>
      </c>
      <c r="Y39">
        <v>1</v>
      </c>
    </row>
    <row r="40" spans="1:25" x14ac:dyDescent="0.2">
      <c r="A40" s="14" t="s">
        <v>18</v>
      </c>
      <c r="B40">
        <v>5</v>
      </c>
      <c r="X40" s="14" t="s">
        <v>462</v>
      </c>
      <c r="Y40">
        <v>1</v>
      </c>
    </row>
    <row r="41" spans="1:25" x14ac:dyDescent="0.2">
      <c r="A41" s="14" t="s">
        <v>129</v>
      </c>
      <c r="B41">
        <v>3</v>
      </c>
    </row>
    <row r="42" spans="1:25" x14ac:dyDescent="0.2">
      <c r="A42" s="14" t="s">
        <v>327</v>
      </c>
      <c r="B42">
        <v>3</v>
      </c>
    </row>
    <row r="43" spans="1:25" x14ac:dyDescent="0.2">
      <c r="A43" s="14" t="s">
        <v>108</v>
      </c>
      <c r="B43">
        <v>2</v>
      </c>
    </row>
    <row r="44" spans="1:25" x14ac:dyDescent="0.2">
      <c r="A44" s="14" t="s">
        <v>274</v>
      </c>
      <c r="B44">
        <v>2</v>
      </c>
    </row>
    <row r="45" spans="1:25" x14ac:dyDescent="0.2">
      <c r="A45" s="14" t="s">
        <v>266</v>
      </c>
      <c r="B45">
        <v>1</v>
      </c>
      <c r="N45" s="13" t="s">
        <v>1007</v>
      </c>
      <c r="O45" t="s">
        <v>1049</v>
      </c>
    </row>
    <row r="46" spans="1:25" x14ac:dyDescent="0.2">
      <c r="A46" s="14" t="s">
        <v>340</v>
      </c>
      <c r="B46">
        <v>1</v>
      </c>
      <c r="N46" s="14" t="s">
        <v>998</v>
      </c>
      <c r="O46">
        <v>30000</v>
      </c>
    </row>
    <row r="47" spans="1:25" x14ac:dyDescent="0.2">
      <c r="A47" s="14" t="s">
        <v>167</v>
      </c>
      <c r="B47">
        <v>1</v>
      </c>
      <c r="N47" s="14" t="s">
        <v>997</v>
      </c>
      <c r="O47">
        <v>821000</v>
      </c>
    </row>
    <row r="48" spans="1:25" x14ac:dyDescent="0.2">
      <c r="A48" s="14" t="s">
        <v>264</v>
      </c>
      <c r="B48">
        <v>1</v>
      </c>
      <c r="N48" s="14" t="s">
        <v>996</v>
      </c>
      <c r="O48">
        <v>68820000</v>
      </c>
    </row>
    <row r="49" spans="1:15" x14ac:dyDescent="0.2">
      <c r="A49" s="14" t="s">
        <v>454</v>
      </c>
      <c r="B49">
        <v>1</v>
      </c>
      <c r="N49" s="14" t="s">
        <v>1008</v>
      </c>
      <c r="O49">
        <v>69671000</v>
      </c>
    </row>
    <row r="50" spans="1:15" x14ac:dyDescent="0.2">
      <c r="A50" s="14" t="s">
        <v>487</v>
      </c>
      <c r="B50">
        <v>1</v>
      </c>
    </row>
    <row r="51" spans="1:15" x14ac:dyDescent="0.2">
      <c r="A51" s="14" t="s">
        <v>462</v>
      </c>
      <c r="B51">
        <v>1</v>
      </c>
    </row>
    <row r="52" spans="1:15" x14ac:dyDescent="0.2">
      <c r="A52" s="14" t="s">
        <v>1008</v>
      </c>
      <c r="B52">
        <v>237</v>
      </c>
    </row>
    <row r="53" spans="1:15" x14ac:dyDescent="0.2">
      <c r="C53" t="s">
        <v>1053</v>
      </c>
    </row>
    <row r="55" spans="1:15" x14ac:dyDescent="0.2">
      <c r="A55" s="13" t="s">
        <v>995</v>
      </c>
      <c r="B55" t="s">
        <v>996</v>
      </c>
    </row>
    <row r="56" spans="1:15" x14ac:dyDescent="0.2">
      <c r="A56" s="13" t="s">
        <v>1005</v>
      </c>
      <c r="B56" t="s">
        <v>1032</v>
      </c>
    </row>
    <row r="58" spans="1:15" x14ac:dyDescent="0.2">
      <c r="A58" s="13" t="s">
        <v>1007</v>
      </c>
      <c r="B58" t="s">
        <v>1049</v>
      </c>
    </row>
    <row r="59" spans="1:15" x14ac:dyDescent="0.2">
      <c r="A59" s="14" t="s">
        <v>5</v>
      </c>
      <c r="B59">
        <v>15300000</v>
      </c>
    </row>
    <row r="60" spans="1:15" x14ac:dyDescent="0.2">
      <c r="A60" s="14" t="s">
        <v>80</v>
      </c>
      <c r="B60">
        <v>11900000</v>
      </c>
    </row>
    <row r="61" spans="1:15" x14ac:dyDescent="0.2">
      <c r="A61" s="14" t="s">
        <v>8</v>
      </c>
      <c r="B61">
        <v>11630000</v>
      </c>
    </row>
    <row r="62" spans="1:15" x14ac:dyDescent="0.2">
      <c r="A62" s="14" t="s">
        <v>75</v>
      </c>
      <c r="B62">
        <v>9200000</v>
      </c>
    </row>
    <row r="63" spans="1:15" x14ac:dyDescent="0.2">
      <c r="A63" s="14" t="s">
        <v>83</v>
      </c>
      <c r="B63">
        <v>5300000</v>
      </c>
    </row>
    <row r="64" spans="1:15" x14ac:dyDescent="0.2">
      <c r="A64" s="14" t="s">
        <v>72</v>
      </c>
      <c r="B64">
        <v>5250000</v>
      </c>
    </row>
    <row r="65" spans="1:18" x14ac:dyDescent="0.2">
      <c r="A65" s="14" t="s">
        <v>7</v>
      </c>
      <c r="B65">
        <v>4550000</v>
      </c>
    </row>
    <row r="66" spans="1:18" x14ac:dyDescent="0.2">
      <c r="A66" s="14" t="s">
        <v>23</v>
      </c>
      <c r="B66">
        <v>2450000</v>
      </c>
    </row>
    <row r="67" spans="1:18" x14ac:dyDescent="0.2">
      <c r="A67" s="14" t="s">
        <v>18</v>
      </c>
      <c r="B67">
        <v>1500000</v>
      </c>
    </row>
    <row r="68" spans="1:18" x14ac:dyDescent="0.2">
      <c r="A68" s="14" t="s">
        <v>108</v>
      </c>
      <c r="B68">
        <v>1000000</v>
      </c>
    </row>
    <row r="69" spans="1:18" x14ac:dyDescent="0.2">
      <c r="A69" s="14" t="s">
        <v>264</v>
      </c>
      <c r="B69">
        <v>300000</v>
      </c>
    </row>
    <row r="70" spans="1:18" x14ac:dyDescent="0.2">
      <c r="A70" s="14" t="s">
        <v>168</v>
      </c>
      <c r="B70">
        <v>180000</v>
      </c>
      <c r="Q70" s="13" t="s">
        <v>995</v>
      </c>
      <c r="R70" t="s">
        <v>996</v>
      </c>
    </row>
    <row r="71" spans="1:18" x14ac:dyDescent="0.2">
      <c r="A71" s="14" t="s">
        <v>487</v>
      </c>
      <c r="B71">
        <v>100000</v>
      </c>
      <c r="Q71" s="13" t="s">
        <v>1005</v>
      </c>
      <c r="R71" t="s">
        <v>1033</v>
      </c>
    </row>
    <row r="72" spans="1:18" x14ac:dyDescent="0.2">
      <c r="A72" s="14" t="s">
        <v>327</v>
      </c>
      <c r="B72">
        <v>50000</v>
      </c>
    </row>
    <row r="73" spans="1:18" x14ac:dyDescent="0.2">
      <c r="A73" s="14" t="s">
        <v>167</v>
      </c>
      <c r="B73">
        <v>50000</v>
      </c>
      <c r="Q73" s="13" t="s">
        <v>1007</v>
      </c>
      <c r="R73" t="s">
        <v>1058</v>
      </c>
    </row>
    <row r="74" spans="1:18" x14ac:dyDescent="0.2">
      <c r="A74" s="14" t="s">
        <v>454</v>
      </c>
      <c r="B74">
        <v>30000</v>
      </c>
      <c r="Q74" s="14" t="s">
        <v>1059</v>
      </c>
      <c r="R74">
        <v>6</v>
      </c>
    </row>
    <row r="75" spans="1:18" x14ac:dyDescent="0.2">
      <c r="A75" s="14" t="s">
        <v>129</v>
      </c>
      <c r="B75">
        <v>30000</v>
      </c>
      <c r="Q75" s="14" t="s">
        <v>1060</v>
      </c>
      <c r="R75">
        <v>86</v>
      </c>
    </row>
    <row r="76" spans="1:18" x14ac:dyDescent="0.2">
      <c r="A76" s="14" t="s">
        <v>1008</v>
      </c>
      <c r="B76">
        <v>68820000</v>
      </c>
      <c r="Q76" s="14" t="s">
        <v>1061</v>
      </c>
      <c r="R76">
        <v>63</v>
      </c>
    </row>
    <row r="77" spans="1:18" x14ac:dyDescent="0.2">
      <c r="Q77" s="14" t="s">
        <v>1062</v>
      </c>
      <c r="R77">
        <v>63</v>
      </c>
    </row>
    <row r="78" spans="1:18" x14ac:dyDescent="0.2">
      <c r="Q78" s="14" t="s">
        <v>1063</v>
      </c>
      <c r="R78">
        <v>19</v>
      </c>
    </row>
    <row r="79" spans="1:18" x14ac:dyDescent="0.2">
      <c r="Q79" s="14" t="s">
        <v>1008</v>
      </c>
      <c r="R79">
        <v>237</v>
      </c>
    </row>
    <row r="81" spans="1:18" x14ac:dyDescent="0.2">
      <c r="A81" s="13" t="s">
        <v>995</v>
      </c>
      <c r="B81" t="s">
        <v>996</v>
      </c>
    </row>
    <row r="82" spans="1:18" x14ac:dyDescent="0.2">
      <c r="A82" s="13" t="s">
        <v>1005</v>
      </c>
      <c r="B82" t="s">
        <v>1032</v>
      </c>
    </row>
    <row r="84" spans="1:18" x14ac:dyDescent="0.2">
      <c r="A84" s="13" t="s">
        <v>1007</v>
      </c>
      <c r="B84" t="s">
        <v>1050</v>
      </c>
      <c r="C84" t="s">
        <v>1051</v>
      </c>
    </row>
    <row r="85" spans="1:18" x14ac:dyDescent="0.2">
      <c r="A85" s="14" t="s">
        <v>454</v>
      </c>
      <c r="B85">
        <v>30000</v>
      </c>
      <c r="C85">
        <v>50000</v>
      </c>
    </row>
    <row r="86" spans="1:18" x14ac:dyDescent="0.2">
      <c r="A86" s="14" t="s">
        <v>129</v>
      </c>
      <c r="B86">
        <v>10000</v>
      </c>
      <c r="C86">
        <v>20000</v>
      </c>
    </row>
    <row r="87" spans="1:18" x14ac:dyDescent="0.2">
      <c r="A87" s="14" t="s">
        <v>23</v>
      </c>
      <c r="B87">
        <v>700000</v>
      </c>
      <c r="C87" t="e">
        <v>#DIV/0!</v>
      </c>
      <c r="Q87" s="13" t="s">
        <v>1007</v>
      </c>
      <c r="R87" t="s">
        <v>1035</v>
      </c>
    </row>
    <row r="88" spans="1:18" x14ac:dyDescent="0.2">
      <c r="A88" s="14" t="s">
        <v>327</v>
      </c>
      <c r="B88">
        <v>20000</v>
      </c>
      <c r="C88">
        <v>50000</v>
      </c>
      <c r="Q88" s="14" t="s">
        <v>997</v>
      </c>
      <c r="R88" s="30">
        <v>211</v>
      </c>
    </row>
    <row r="89" spans="1:18" x14ac:dyDescent="0.2">
      <c r="A89" s="14" t="s">
        <v>487</v>
      </c>
      <c r="B89">
        <v>200000</v>
      </c>
      <c r="C89">
        <v>300000</v>
      </c>
      <c r="Q89" s="14" t="s">
        <v>998</v>
      </c>
      <c r="R89" s="30">
        <v>1</v>
      </c>
    </row>
    <row r="90" spans="1:18" x14ac:dyDescent="0.2">
      <c r="A90" s="14" t="s">
        <v>75</v>
      </c>
      <c r="B90">
        <v>500000</v>
      </c>
      <c r="C90">
        <v>700000</v>
      </c>
      <c r="Q90" s="14" t="s">
        <v>996</v>
      </c>
      <c r="R90" s="30">
        <v>237</v>
      </c>
    </row>
    <row r="91" spans="1:18" x14ac:dyDescent="0.2">
      <c r="A91" s="14" t="s">
        <v>168</v>
      </c>
      <c r="B91">
        <v>10000</v>
      </c>
      <c r="C91">
        <v>20000</v>
      </c>
      <c r="Q91" s="14" t="s">
        <v>1008</v>
      </c>
      <c r="R91" s="30">
        <v>449</v>
      </c>
    </row>
    <row r="92" spans="1:18" x14ac:dyDescent="0.2">
      <c r="A92" s="14" t="s">
        <v>8</v>
      </c>
      <c r="B92">
        <v>300000</v>
      </c>
      <c r="C92">
        <v>500000</v>
      </c>
    </row>
    <row r="93" spans="1:18" x14ac:dyDescent="0.2">
      <c r="A93" s="14" t="s">
        <v>80</v>
      </c>
      <c r="B93">
        <v>700000</v>
      </c>
      <c r="C93">
        <v>1000000</v>
      </c>
    </row>
    <row r="94" spans="1:18" x14ac:dyDescent="0.2">
      <c r="A94" s="14" t="s">
        <v>83</v>
      </c>
      <c r="B94">
        <v>500000</v>
      </c>
      <c r="C94">
        <v>700000</v>
      </c>
    </row>
    <row r="95" spans="1:18" x14ac:dyDescent="0.2">
      <c r="A95" s="14" t="s">
        <v>167</v>
      </c>
      <c r="B95">
        <v>30000</v>
      </c>
      <c r="C95">
        <v>50000</v>
      </c>
    </row>
    <row r="96" spans="1:18" x14ac:dyDescent="0.2">
      <c r="A96" s="14" t="s">
        <v>264</v>
      </c>
      <c r="B96">
        <v>300000</v>
      </c>
      <c r="C96">
        <v>700000</v>
      </c>
    </row>
    <row r="97" spans="1:4" x14ac:dyDescent="0.2">
      <c r="A97" s="14" t="s">
        <v>18</v>
      </c>
      <c r="B97">
        <v>500000</v>
      </c>
      <c r="C97">
        <v>700000</v>
      </c>
    </row>
    <row r="98" spans="1:4" x14ac:dyDescent="0.2">
      <c r="A98" s="14" t="s">
        <v>7</v>
      </c>
      <c r="B98">
        <v>700000</v>
      </c>
      <c r="C98">
        <v>1000000</v>
      </c>
    </row>
    <row r="99" spans="1:4" x14ac:dyDescent="0.2">
      <c r="A99" s="14" t="s">
        <v>108</v>
      </c>
      <c r="B99">
        <v>500000</v>
      </c>
      <c r="C99">
        <v>700000</v>
      </c>
    </row>
    <row r="100" spans="1:4" x14ac:dyDescent="0.2">
      <c r="A100" s="14" t="s">
        <v>5</v>
      </c>
      <c r="B100">
        <v>700000</v>
      </c>
      <c r="C100">
        <v>1000000</v>
      </c>
    </row>
    <row r="101" spans="1:4" x14ac:dyDescent="0.2">
      <c r="A101" s="14" t="s">
        <v>72</v>
      </c>
      <c r="B101">
        <v>500000</v>
      </c>
      <c r="C101">
        <v>700000</v>
      </c>
    </row>
    <row r="102" spans="1:4" x14ac:dyDescent="0.2">
      <c r="A102" s="14" t="s">
        <v>1008</v>
      </c>
      <c r="B102">
        <v>470114.94252873561</v>
      </c>
      <c r="C102">
        <v>677455.6213017751</v>
      </c>
    </row>
    <row r="106" spans="1:4" x14ac:dyDescent="0.2">
      <c r="A106" s="13" t="s">
        <v>995</v>
      </c>
      <c r="B106" t="s">
        <v>996</v>
      </c>
      <c r="D106" s="23" t="s">
        <v>1052</v>
      </c>
    </row>
    <row r="107" spans="1:4" x14ac:dyDescent="0.2">
      <c r="A107" s="13" t="s">
        <v>1005</v>
      </c>
      <c r="B107" t="s">
        <v>1032</v>
      </c>
    </row>
    <row r="109" spans="1:4" x14ac:dyDescent="0.2">
      <c r="A109" s="13" t="s">
        <v>1007</v>
      </c>
      <c r="B109" t="s">
        <v>1034</v>
      </c>
    </row>
    <row r="110" spans="1:4" x14ac:dyDescent="0.2">
      <c r="A110" s="14" t="s">
        <v>454</v>
      </c>
      <c r="B110">
        <v>0</v>
      </c>
    </row>
    <row r="111" spans="1:4" x14ac:dyDescent="0.2">
      <c r="A111" s="14" t="s">
        <v>129</v>
      </c>
      <c r="B111">
        <v>0</v>
      </c>
    </row>
    <row r="112" spans="1:4" x14ac:dyDescent="0.2">
      <c r="A112" s="14" t="s">
        <v>23</v>
      </c>
      <c r="B112">
        <v>-0.3</v>
      </c>
    </row>
    <row r="113" spans="1:2" x14ac:dyDescent="0.2">
      <c r="A113" s="14" t="s">
        <v>327</v>
      </c>
      <c r="B113">
        <v>1</v>
      </c>
    </row>
    <row r="114" spans="1:2" x14ac:dyDescent="0.2">
      <c r="A114" s="14" t="s">
        <v>487</v>
      </c>
      <c r="B114">
        <v>-0.5</v>
      </c>
    </row>
    <row r="115" spans="1:2" x14ac:dyDescent="0.2">
      <c r="A115" s="14" t="s">
        <v>75</v>
      </c>
      <c r="B115">
        <v>4.7619047619047609E-2</v>
      </c>
    </row>
    <row r="116" spans="1:2" x14ac:dyDescent="0.2">
      <c r="A116" s="14" t="s">
        <v>168</v>
      </c>
      <c r="B116">
        <v>1</v>
      </c>
    </row>
    <row r="117" spans="1:2" x14ac:dyDescent="0.2">
      <c r="A117" s="14" t="s">
        <v>8</v>
      </c>
      <c r="B117">
        <v>-9.8449612403100781E-2</v>
      </c>
    </row>
    <row r="118" spans="1:2" x14ac:dyDescent="0.2">
      <c r="A118" s="14" t="s">
        <v>80</v>
      </c>
      <c r="B118">
        <v>-0.10526315789473684</v>
      </c>
    </row>
    <row r="119" spans="1:2" x14ac:dyDescent="0.2">
      <c r="A119" s="14" t="s">
        <v>83</v>
      </c>
      <c r="B119">
        <v>-3.6363636363636369E-2</v>
      </c>
    </row>
    <row r="120" spans="1:2" x14ac:dyDescent="0.2">
      <c r="A120" s="14" t="s">
        <v>167</v>
      </c>
      <c r="B120">
        <v>1</v>
      </c>
    </row>
    <row r="121" spans="1:2" x14ac:dyDescent="0.2">
      <c r="A121" s="14" t="s">
        <v>264</v>
      </c>
      <c r="B121">
        <v>0</v>
      </c>
    </row>
    <row r="122" spans="1:2" x14ac:dyDescent="0.2">
      <c r="A122" s="14" t="s">
        <v>18</v>
      </c>
      <c r="B122">
        <v>-0.25</v>
      </c>
    </row>
    <row r="123" spans="1:2" x14ac:dyDescent="0.2">
      <c r="A123" s="14" t="s">
        <v>7</v>
      </c>
      <c r="B123">
        <v>-7.1428571428571425E-2</v>
      </c>
    </row>
    <row r="124" spans="1:2" x14ac:dyDescent="0.2">
      <c r="A124" s="14" t="s">
        <v>108</v>
      </c>
      <c r="B124">
        <v>0</v>
      </c>
    </row>
    <row r="125" spans="1:2" x14ac:dyDescent="0.2">
      <c r="A125" s="14" t="s">
        <v>5</v>
      </c>
      <c r="B125">
        <v>-0.08</v>
      </c>
    </row>
    <row r="126" spans="1:2" x14ac:dyDescent="0.2">
      <c r="A126" s="14" t="s">
        <v>72</v>
      </c>
      <c r="B126">
        <v>-0.47500000000000009</v>
      </c>
    </row>
    <row r="127" spans="1:2" x14ac:dyDescent="0.2">
      <c r="A127" s="14" t="s">
        <v>1008</v>
      </c>
      <c r="B127">
        <v>-5.5363984674329507E-2</v>
      </c>
    </row>
  </sheetData>
  <pageMargins left="0.7" right="0.7" top="0.75" bottom="0.75" header="0.3" footer="0.3"/>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983A6-32DA-FD4B-85F8-8404368BB223}">
  <dimension ref="A1:E50"/>
  <sheetViews>
    <sheetView topLeftCell="A12" workbookViewId="0">
      <selection activeCell="A2" sqref="A2"/>
    </sheetView>
  </sheetViews>
  <sheetFormatPr baseColWidth="10" defaultRowHeight="15" x14ac:dyDescent="0.2"/>
  <cols>
    <col min="2" max="2" width="18.33203125" bestFit="1" customWidth="1"/>
    <col min="3" max="3" width="16.5" bestFit="1" customWidth="1"/>
    <col min="6" max="6" width="18.33203125" bestFit="1" customWidth="1"/>
    <col min="7" max="7" width="16.5" bestFit="1" customWidth="1"/>
  </cols>
  <sheetData>
    <row r="1" spans="1:5" x14ac:dyDescent="0.2">
      <c r="B1" t="s">
        <v>999</v>
      </c>
      <c r="C1" t="s">
        <v>995</v>
      </c>
      <c r="D1" t="s">
        <v>1000</v>
      </c>
      <c r="E1" t="s">
        <v>1001</v>
      </c>
    </row>
    <row r="2" spans="1:5" x14ac:dyDescent="0.2">
      <c r="A2" t="str">
        <f t="shared" ref="A2:A33" si="0">B2&amp;C2</f>
        <v>ч.9 ст.15.29 КоАП РФЮридическое лицо</v>
      </c>
      <c r="B2" t="s">
        <v>5</v>
      </c>
      <c r="C2" t="s">
        <v>996</v>
      </c>
      <c r="D2">
        <v>700000</v>
      </c>
      <c r="E2">
        <v>1000000</v>
      </c>
    </row>
    <row r="3" spans="1:5" x14ac:dyDescent="0.2">
      <c r="A3" t="str">
        <f t="shared" si="0"/>
        <v>ч.9 ст.15.29 КоАП РФДолжностное лицо</v>
      </c>
      <c r="B3" t="s">
        <v>5</v>
      </c>
      <c r="C3" t="s">
        <v>998</v>
      </c>
      <c r="D3">
        <v>30000</v>
      </c>
      <c r="E3">
        <v>50000</v>
      </c>
    </row>
    <row r="4" spans="1:5" x14ac:dyDescent="0.2">
      <c r="A4" t="str">
        <f t="shared" si="0"/>
        <v>ч.6 ст.15.29 КоАП РФЮридическое лицо</v>
      </c>
      <c r="B4" t="s">
        <v>7</v>
      </c>
      <c r="C4" t="s">
        <v>996</v>
      </c>
      <c r="D4">
        <v>700000</v>
      </c>
      <c r="E4">
        <v>1000000</v>
      </c>
    </row>
    <row r="5" spans="1:5" x14ac:dyDescent="0.2">
      <c r="A5" t="str">
        <f t="shared" si="0"/>
        <v>ч.6 ст.15.29 КоАП РФДолжностное лицо</v>
      </c>
      <c r="B5" t="s">
        <v>7</v>
      </c>
      <c r="C5" t="s">
        <v>998</v>
      </c>
      <c r="D5">
        <v>30000</v>
      </c>
      <c r="E5">
        <v>50000</v>
      </c>
    </row>
    <row r="6" spans="1:5" x14ac:dyDescent="0.2">
      <c r="A6" t="str">
        <f t="shared" si="0"/>
        <v>ч.12 ст.15.29 КоАП РФГражданин</v>
      </c>
      <c r="B6" t="s">
        <v>8</v>
      </c>
      <c r="C6" t="s">
        <v>997</v>
      </c>
      <c r="D6">
        <v>1000</v>
      </c>
      <c r="E6">
        <v>3000</v>
      </c>
    </row>
    <row r="7" spans="1:5" x14ac:dyDescent="0.2">
      <c r="A7" t="str">
        <f t="shared" si="0"/>
        <v>ч.12 ст.15.29 КоАП РФДолжностное лицо</v>
      </c>
      <c r="B7" t="s">
        <v>8</v>
      </c>
      <c r="C7" t="s">
        <v>998</v>
      </c>
      <c r="D7">
        <v>10000</v>
      </c>
      <c r="E7">
        <v>20000</v>
      </c>
    </row>
    <row r="8" spans="1:5" x14ac:dyDescent="0.2">
      <c r="A8" t="str">
        <f t="shared" si="0"/>
        <v>ч.12 ст.15.29 КоАП РФЮридическое лицо</v>
      </c>
      <c r="B8" t="s">
        <v>8</v>
      </c>
      <c r="C8" t="s">
        <v>996</v>
      </c>
      <c r="D8">
        <v>300000</v>
      </c>
      <c r="E8">
        <v>500000</v>
      </c>
    </row>
    <row r="9" spans="1:5" x14ac:dyDescent="0.2">
      <c r="A9" t="str">
        <f t="shared" si="0"/>
        <v>ч.5 ст.15.29 КоАП РФДолжностное лицо</v>
      </c>
      <c r="B9" t="s">
        <v>18</v>
      </c>
      <c r="C9" t="s">
        <v>998</v>
      </c>
      <c r="D9">
        <v>20000</v>
      </c>
      <c r="E9">
        <v>30000</v>
      </c>
    </row>
    <row r="10" spans="1:5" x14ac:dyDescent="0.2">
      <c r="A10" t="str">
        <f t="shared" si="0"/>
        <v>ч.5 ст.15.29 КоАП РФЮридическое лицо</v>
      </c>
      <c r="B10" t="s">
        <v>18</v>
      </c>
      <c r="C10" t="s">
        <v>996</v>
      </c>
      <c r="D10">
        <v>500000</v>
      </c>
      <c r="E10">
        <v>700000</v>
      </c>
    </row>
    <row r="11" spans="1:5" x14ac:dyDescent="0.2">
      <c r="A11" t="str">
        <f t="shared" si="0"/>
        <v>ч.2 ст.15.29 КоАП РФДолжностное лицо</v>
      </c>
      <c r="B11" t="s">
        <v>83</v>
      </c>
      <c r="C11" t="s">
        <v>998</v>
      </c>
      <c r="D11">
        <v>20000</v>
      </c>
      <c r="E11">
        <v>30000</v>
      </c>
    </row>
    <row r="12" spans="1:5" x14ac:dyDescent="0.2">
      <c r="A12" t="str">
        <f t="shared" si="0"/>
        <v>ч.2 ст.15.29 КоАП РФЮридическое лицо</v>
      </c>
      <c r="B12" t="s">
        <v>83</v>
      </c>
      <c r="C12" t="s">
        <v>996</v>
      </c>
      <c r="D12">
        <v>500000</v>
      </c>
      <c r="E12">
        <v>700000</v>
      </c>
    </row>
    <row r="13" spans="1:5" x14ac:dyDescent="0.2">
      <c r="A13" t="str">
        <f t="shared" si="0"/>
        <v>ч.7 ст.15.29 КоАП РФДолжностное лицо</v>
      </c>
      <c r="B13" t="s">
        <v>108</v>
      </c>
      <c r="C13" t="s">
        <v>998</v>
      </c>
      <c r="D13">
        <v>20000</v>
      </c>
      <c r="E13">
        <v>30000</v>
      </c>
    </row>
    <row r="14" spans="1:5" x14ac:dyDescent="0.2">
      <c r="A14" t="str">
        <f t="shared" si="0"/>
        <v>ч.7 ст.15.29 КоАП РФЮридическое лицо</v>
      </c>
      <c r="B14" t="s">
        <v>108</v>
      </c>
      <c r="C14" t="s">
        <v>996</v>
      </c>
      <c r="D14">
        <v>500000</v>
      </c>
      <c r="E14">
        <v>700000</v>
      </c>
    </row>
    <row r="15" spans="1:5" x14ac:dyDescent="0.2">
      <c r="A15" t="str">
        <f t="shared" si="0"/>
        <v>ч.10 ст.15.29 КоАП РФДолжностное лицо</v>
      </c>
      <c r="B15" t="s">
        <v>340</v>
      </c>
      <c r="C15" t="s">
        <v>998</v>
      </c>
      <c r="D15">
        <v>20000</v>
      </c>
      <c r="E15">
        <v>30000</v>
      </c>
    </row>
    <row r="16" spans="1:5" x14ac:dyDescent="0.2">
      <c r="A16" t="str">
        <f t="shared" si="0"/>
        <v>ч.10 ст.15.29 КоАП РФЮридическое лицо</v>
      </c>
      <c r="B16" t="s">
        <v>340</v>
      </c>
      <c r="C16" t="s">
        <v>996</v>
      </c>
      <c r="D16">
        <v>500000</v>
      </c>
      <c r="E16">
        <v>700000</v>
      </c>
    </row>
    <row r="17" spans="1:5" x14ac:dyDescent="0.2">
      <c r="A17" t="str">
        <f t="shared" si="0"/>
        <v>ст.15.30 КоАП РФГражданин</v>
      </c>
      <c r="B17" t="s">
        <v>23</v>
      </c>
      <c r="C17" t="s">
        <v>997</v>
      </c>
      <c r="D17">
        <v>3000</v>
      </c>
      <c r="E17">
        <v>5000</v>
      </c>
    </row>
    <row r="18" spans="1:5" x14ac:dyDescent="0.2">
      <c r="A18" t="str">
        <f t="shared" si="0"/>
        <v>ст.15.30 КоАП РФДолжностное лицо</v>
      </c>
      <c r="B18" t="s">
        <v>23</v>
      </c>
      <c r="C18" t="s">
        <v>998</v>
      </c>
      <c r="D18">
        <v>30000</v>
      </c>
      <c r="E18">
        <v>50000</v>
      </c>
    </row>
    <row r="19" spans="1:5" x14ac:dyDescent="0.2">
      <c r="A19" t="str">
        <f t="shared" si="0"/>
        <v>ст.15.30 КоАП РФЮридическое лицо</v>
      </c>
      <c r="B19" t="s">
        <v>23</v>
      </c>
      <c r="C19" t="s">
        <v>996</v>
      </c>
      <c r="D19">
        <v>700000</v>
      </c>
      <c r="E19" t="s">
        <v>1002</v>
      </c>
    </row>
    <row r="20" spans="1:5" x14ac:dyDescent="0.2">
      <c r="A20" t="str">
        <f t="shared" si="0"/>
        <v>ч.9 ст.19.5 КоАП РФДолжностное лицо</v>
      </c>
      <c r="B20" t="s">
        <v>72</v>
      </c>
      <c r="C20" t="s">
        <v>998</v>
      </c>
      <c r="D20">
        <v>20000</v>
      </c>
      <c r="E20">
        <v>30000</v>
      </c>
    </row>
    <row r="21" spans="1:5" x14ac:dyDescent="0.2">
      <c r="A21" t="str">
        <f t="shared" si="0"/>
        <v>ч.9 ст.19.5 КоАП РФЮридическое лицо</v>
      </c>
      <c r="B21" t="s">
        <v>72</v>
      </c>
      <c r="C21" t="s">
        <v>996</v>
      </c>
      <c r="D21">
        <v>500000</v>
      </c>
      <c r="E21">
        <v>700000</v>
      </c>
    </row>
    <row r="22" spans="1:5" x14ac:dyDescent="0.2">
      <c r="A22" t="str">
        <f t="shared" si="0"/>
        <v>ч.1 ст.19.7.3 КоАП РФГражданин</v>
      </c>
      <c r="B22" t="s">
        <v>75</v>
      </c>
      <c r="C22" t="s">
        <v>997</v>
      </c>
      <c r="D22">
        <v>2000</v>
      </c>
      <c r="E22">
        <v>4000</v>
      </c>
    </row>
    <row r="23" spans="1:5" x14ac:dyDescent="0.2">
      <c r="A23" t="str">
        <f t="shared" si="0"/>
        <v>ч.1 ст.19.7.3 КоАП РФДолжностное лицо</v>
      </c>
      <c r="B23" t="s">
        <v>75</v>
      </c>
      <c r="C23" t="s">
        <v>998</v>
      </c>
      <c r="D23">
        <v>20000</v>
      </c>
      <c r="E23">
        <v>30000</v>
      </c>
    </row>
    <row r="24" spans="1:5" x14ac:dyDescent="0.2">
      <c r="A24" t="str">
        <f t="shared" si="0"/>
        <v>ч.1 ст.19.7.3 КоАП РФЮридическое лицо</v>
      </c>
      <c r="B24" t="s">
        <v>75</v>
      </c>
      <c r="C24" t="s">
        <v>996</v>
      </c>
      <c r="D24">
        <v>500000</v>
      </c>
      <c r="E24">
        <v>700000</v>
      </c>
    </row>
    <row r="25" spans="1:5" x14ac:dyDescent="0.2">
      <c r="A25" t="str">
        <f t="shared" si="0"/>
        <v>ч.2 ст.15.19 КоАП РФДолжностное лицо</v>
      </c>
      <c r="B25" t="s">
        <v>80</v>
      </c>
      <c r="C25" t="s">
        <v>998</v>
      </c>
      <c r="D25">
        <v>30000</v>
      </c>
      <c r="E25">
        <v>50000</v>
      </c>
    </row>
    <row r="26" spans="1:5" x14ac:dyDescent="0.2">
      <c r="A26" t="str">
        <f t="shared" si="0"/>
        <v>ч.2 ст.15.19 КоАП РФЮридическое лицо</v>
      </c>
      <c r="B26" t="s">
        <v>80</v>
      </c>
      <c r="C26" t="s">
        <v>996</v>
      </c>
      <c r="D26">
        <v>700000</v>
      </c>
      <c r="E26">
        <v>1000000</v>
      </c>
    </row>
    <row r="27" spans="1:5" x14ac:dyDescent="0.2">
      <c r="A27" t="str">
        <f t="shared" si="0"/>
        <v>ч.4 ст.15.19 КоАП РФДолжностное лицо</v>
      </c>
      <c r="B27" t="s">
        <v>462</v>
      </c>
      <c r="C27" t="s">
        <v>998</v>
      </c>
      <c r="D27">
        <v>20000</v>
      </c>
      <c r="E27">
        <v>30000</v>
      </c>
    </row>
    <row r="28" spans="1:5" x14ac:dyDescent="0.2">
      <c r="A28" t="str">
        <f t="shared" si="0"/>
        <v>ч.4 ст.15.19 КоАП РФЮридическое лицо</v>
      </c>
      <c r="B28" t="s">
        <v>462</v>
      </c>
      <c r="C28" t="s">
        <v>996</v>
      </c>
      <c r="D28">
        <v>300000</v>
      </c>
      <c r="E28">
        <v>500000</v>
      </c>
    </row>
    <row r="29" spans="1:5" x14ac:dyDescent="0.2">
      <c r="A29" t="str">
        <f t="shared" si="0"/>
        <v>ст.14.30 КоАП РФДолжностное лицо</v>
      </c>
      <c r="B29" t="s">
        <v>129</v>
      </c>
      <c r="C29" t="s">
        <v>998</v>
      </c>
      <c r="D29">
        <v>2500</v>
      </c>
      <c r="E29">
        <v>5000</v>
      </c>
    </row>
    <row r="30" spans="1:5" x14ac:dyDescent="0.2">
      <c r="A30" t="str">
        <f t="shared" si="0"/>
        <v>ст.14.30 КоАП РФЮридическое лицо</v>
      </c>
      <c r="B30" t="s">
        <v>129</v>
      </c>
      <c r="C30" t="s">
        <v>996</v>
      </c>
      <c r="D30">
        <v>10000</v>
      </c>
      <c r="E30">
        <v>20000</v>
      </c>
    </row>
    <row r="31" spans="1:5" x14ac:dyDescent="0.2">
      <c r="A31" t="str">
        <f t="shared" si="0"/>
        <v>ч.2 ст.5.54 КоАП РФДолжностное лицо</v>
      </c>
      <c r="B31" t="s">
        <v>167</v>
      </c>
      <c r="C31" t="s">
        <v>998</v>
      </c>
      <c r="D31">
        <v>2000</v>
      </c>
      <c r="E31">
        <v>5000</v>
      </c>
    </row>
    <row r="32" spans="1:5" x14ac:dyDescent="0.2">
      <c r="A32" t="str">
        <f t="shared" si="0"/>
        <v>ч.2 ст.5.54 КоАП РФЮридическое лицо</v>
      </c>
      <c r="B32" t="s">
        <v>167</v>
      </c>
      <c r="C32" t="s">
        <v>996</v>
      </c>
      <c r="D32">
        <v>30000</v>
      </c>
      <c r="E32">
        <v>50000</v>
      </c>
    </row>
    <row r="33" spans="1:5" x14ac:dyDescent="0.2">
      <c r="A33" t="str">
        <f t="shared" si="0"/>
        <v>ч.1 ст.5.54 КоАП РФДолжностное лицо</v>
      </c>
      <c r="B33" t="s">
        <v>168</v>
      </c>
      <c r="C33" t="s">
        <v>998</v>
      </c>
      <c r="D33">
        <v>1000</v>
      </c>
      <c r="E33">
        <v>2500</v>
      </c>
    </row>
    <row r="34" spans="1:5" x14ac:dyDescent="0.2">
      <c r="A34" t="str">
        <f t="shared" ref="A34:A50" si="1">B34&amp;C34</f>
        <v>ч.1 ст.5.54 КоАП РФЮридическое лицо</v>
      </c>
      <c r="B34" t="s">
        <v>168</v>
      </c>
      <c r="C34" t="s">
        <v>996</v>
      </c>
      <c r="D34">
        <v>10000</v>
      </c>
      <c r="E34">
        <v>20000</v>
      </c>
    </row>
    <row r="35" spans="1:5" x14ac:dyDescent="0.2">
      <c r="A35" t="str">
        <f t="shared" si="1"/>
        <v>ч.4 ст.15.35 КоАП РФДолжностное лицо</v>
      </c>
      <c r="B35" t="s">
        <v>264</v>
      </c>
      <c r="C35" t="s">
        <v>998</v>
      </c>
      <c r="D35">
        <v>20000</v>
      </c>
      <c r="E35">
        <v>30000</v>
      </c>
    </row>
    <row r="36" spans="1:5" x14ac:dyDescent="0.2">
      <c r="A36" t="str">
        <f t="shared" si="1"/>
        <v>ч.4 ст.15.35 КоАП РФЮридическое лицо</v>
      </c>
      <c r="B36" t="s">
        <v>264</v>
      </c>
      <c r="C36" t="s">
        <v>996</v>
      </c>
      <c r="D36">
        <v>300000</v>
      </c>
      <c r="E36">
        <v>700000</v>
      </c>
    </row>
    <row r="37" spans="1:5" x14ac:dyDescent="0.2">
      <c r="A37" t="str">
        <f t="shared" si="1"/>
        <v>ч.2 ст.15.35 КоАП РФДолжностное лицо</v>
      </c>
      <c r="B37" t="s">
        <v>266</v>
      </c>
      <c r="C37" t="s">
        <v>998</v>
      </c>
      <c r="D37">
        <v>20000</v>
      </c>
      <c r="E37">
        <v>30000</v>
      </c>
    </row>
    <row r="38" spans="1:5" x14ac:dyDescent="0.2">
      <c r="A38" t="str">
        <f t="shared" si="1"/>
        <v>ч.2 ст.15.35 КоАП РФЮридическое лицо</v>
      </c>
      <c r="B38" t="s">
        <v>266</v>
      </c>
      <c r="C38" t="s">
        <v>996</v>
      </c>
      <c r="D38">
        <v>300000</v>
      </c>
      <c r="E38">
        <v>500000</v>
      </c>
    </row>
    <row r="39" spans="1:5" x14ac:dyDescent="0.2">
      <c r="A39" t="str">
        <f t="shared" si="1"/>
        <v>ч.7 ст.14.24 КоАП РФДолжностное лицо</v>
      </c>
      <c r="B39" t="s">
        <v>274</v>
      </c>
      <c r="C39" t="s">
        <v>998</v>
      </c>
      <c r="D39">
        <v>10000</v>
      </c>
      <c r="E39">
        <v>20000</v>
      </c>
    </row>
    <row r="40" spans="1:5" x14ac:dyDescent="0.2">
      <c r="A40" t="str">
        <f t="shared" si="1"/>
        <v>ч.7 ст.14.24 КоАП РФЮридическое лицо</v>
      </c>
      <c r="B40" t="s">
        <v>274</v>
      </c>
      <c r="C40" t="s">
        <v>996</v>
      </c>
      <c r="D40">
        <v>300000</v>
      </c>
      <c r="E40">
        <v>500000</v>
      </c>
    </row>
    <row r="41" spans="1:5" x14ac:dyDescent="0.2">
      <c r="A41" t="str">
        <f t="shared" si="1"/>
        <v>ст.15.21 КоАП РФГражданин</v>
      </c>
      <c r="B41" t="s">
        <v>309</v>
      </c>
      <c r="C41" t="s">
        <v>997</v>
      </c>
      <c r="D41">
        <v>3000</v>
      </c>
      <c r="E41">
        <v>5000</v>
      </c>
    </row>
    <row r="42" spans="1:5" x14ac:dyDescent="0.2">
      <c r="A42" t="str">
        <f t="shared" si="1"/>
        <v>ст.15.21 КоАП РФДолжностное лицо</v>
      </c>
      <c r="B42" t="s">
        <v>309</v>
      </c>
      <c r="C42" t="s">
        <v>998</v>
      </c>
      <c r="D42">
        <v>30000</v>
      </c>
      <c r="E42">
        <v>50000</v>
      </c>
    </row>
    <row r="43" spans="1:5" x14ac:dyDescent="0.2">
      <c r="A43" t="str">
        <f t="shared" si="1"/>
        <v>ст.15.21 КоАП РФЮридическое лицо</v>
      </c>
      <c r="B43" t="s">
        <v>309</v>
      </c>
      <c r="C43" t="s">
        <v>996</v>
      </c>
      <c r="D43">
        <v>700000</v>
      </c>
      <c r="E43" t="s">
        <v>1002</v>
      </c>
    </row>
    <row r="44" spans="1:5" x14ac:dyDescent="0.2">
      <c r="A44" t="str">
        <f t="shared" si="1"/>
        <v>ст.5.55 КоАП РФДолжностное лицо</v>
      </c>
      <c r="B44" t="s">
        <v>327</v>
      </c>
      <c r="C44" t="s">
        <v>998</v>
      </c>
      <c r="D44">
        <v>1000</v>
      </c>
      <c r="E44">
        <v>2500</v>
      </c>
    </row>
    <row r="45" spans="1:5" x14ac:dyDescent="0.2">
      <c r="A45" t="str">
        <f t="shared" si="1"/>
        <v>ст.5.55 КоАП РФЮридическое лицо</v>
      </c>
      <c r="B45" t="s">
        <v>327</v>
      </c>
      <c r="C45" t="s">
        <v>996</v>
      </c>
      <c r="D45">
        <v>20000</v>
      </c>
      <c r="E45">
        <v>50000</v>
      </c>
    </row>
    <row r="46" spans="1:5" x14ac:dyDescent="0.2">
      <c r="A46" t="str">
        <f t="shared" si="1"/>
        <v>ст.14.29 КоАП РФГражданин</v>
      </c>
      <c r="B46" t="s">
        <v>454</v>
      </c>
      <c r="C46" t="s">
        <v>997</v>
      </c>
      <c r="D46">
        <v>1000</v>
      </c>
      <c r="E46">
        <v>2500</v>
      </c>
    </row>
    <row r="47" spans="1:5" x14ac:dyDescent="0.2">
      <c r="A47" t="str">
        <f t="shared" si="1"/>
        <v>ст.14.29 КоАП РФДолжностное лицо</v>
      </c>
      <c r="B47" t="s">
        <v>454</v>
      </c>
      <c r="C47" t="s">
        <v>998</v>
      </c>
      <c r="D47">
        <v>2500</v>
      </c>
      <c r="E47">
        <v>5000</v>
      </c>
    </row>
    <row r="48" spans="1:5" x14ac:dyDescent="0.2">
      <c r="A48" t="str">
        <f t="shared" si="1"/>
        <v>ст.14.29 КоАП РФЮридическое лицо</v>
      </c>
      <c r="B48" t="s">
        <v>454</v>
      </c>
      <c r="C48" t="s">
        <v>996</v>
      </c>
      <c r="D48">
        <v>30000</v>
      </c>
      <c r="E48">
        <v>50000</v>
      </c>
    </row>
    <row r="49" spans="1:5" x14ac:dyDescent="0.2">
      <c r="A49" t="str">
        <f t="shared" si="1"/>
        <v>ч.1 ст.13.25 КоАП РФДолжностное лицо</v>
      </c>
      <c r="B49" t="s">
        <v>487</v>
      </c>
      <c r="C49" t="s">
        <v>998</v>
      </c>
      <c r="D49">
        <v>2500</v>
      </c>
      <c r="E49">
        <v>5000</v>
      </c>
    </row>
    <row r="50" spans="1:5" x14ac:dyDescent="0.2">
      <c r="A50" t="str">
        <f t="shared" si="1"/>
        <v>ч.1 ст.13.25 КоАП РФЮридическое лицо</v>
      </c>
      <c r="B50" t="s">
        <v>487</v>
      </c>
      <c r="C50" t="s">
        <v>996</v>
      </c>
      <c r="D50">
        <v>200000</v>
      </c>
      <c r="E50">
        <v>300000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50"/>
  <sheetViews>
    <sheetView workbookViewId="0">
      <selection sqref="A1:J450"/>
    </sheetView>
  </sheetViews>
  <sheetFormatPr baseColWidth="10" defaultRowHeight="15" x14ac:dyDescent="0.2"/>
  <cols>
    <col min="1" max="1" width="12.33203125" bestFit="1" customWidth="1"/>
    <col min="2" max="2" width="27.83203125" bestFit="1" customWidth="1"/>
    <col min="3" max="3" width="56.83203125" customWidth="1"/>
    <col min="4" max="4" width="16.5" bestFit="1" customWidth="1"/>
    <col min="5" max="5" width="18.33203125" bestFit="1" customWidth="1"/>
    <col min="6" max="6" width="14.83203125" bestFit="1" customWidth="1"/>
    <col min="9" max="9" width="12.6640625" bestFit="1" customWidth="1"/>
  </cols>
  <sheetData>
    <row r="1" spans="1:10" ht="64" x14ac:dyDescent="0.2">
      <c r="A1" s="1" t="s">
        <v>979</v>
      </c>
      <c r="B1" s="1" t="s">
        <v>0</v>
      </c>
      <c r="C1" s="5" t="s">
        <v>1</v>
      </c>
      <c r="D1" s="9" t="s">
        <v>995</v>
      </c>
      <c r="E1" s="1" t="s">
        <v>2</v>
      </c>
      <c r="F1" s="1" t="s">
        <v>1005</v>
      </c>
      <c r="G1" s="10" t="s">
        <v>1003</v>
      </c>
      <c r="H1" s="10" t="s">
        <v>1004</v>
      </c>
      <c r="I1" s="21" t="s">
        <v>1006</v>
      </c>
      <c r="J1" s="20" t="s">
        <v>1057</v>
      </c>
    </row>
    <row r="2" spans="1:10" ht="32" x14ac:dyDescent="0.2">
      <c r="A2">
        <v>1</v>
      </c>
      <c r="B2" s="24">
        <v>46070</v>
      </c>
      <c r="C2" s="4" t="s">
        <v>4</v>
      </c>
      <c r="D2" t="s">
        <v>996</v>
      </c>
      <c r="E2" s="6" t="s">
        <v>5</v>
      </c>
      <c r="F2" s="11">
        <v>700000</v>
      </c>
      <c r="G2">
        <v>700000</v>
      </c>
      <c r="H2">
        <v>1000000</v>
      </c>
      <c r="I2" cm="1">
        <f t="array" ref="I2">_xlfn.IFS(F2=H2,1,F2=G2,0,F2&lt;&gt;G2,(F2-G2)/(G2))</f>
        <v>0</v>
      </c>
      <c r="J2" t="str">
        <f>IF(ISERROR(I2),"Предупреждение",
IF(I2&lt;0,"Ниже минимума",
IF(I2=0,"Минимум",
IF(I2&lt;1,"В диапазоне",
IF(I2=1,"Максимум",
"Выше максимума")))))</f>
        <v>Минимум</v>
      </c>
    </row>
    <row r="3" spans="1:10" ht="48" x14ac:dyDescent="0.2">
      <c r="A3">
        <v>2</v>
      </c>
      <c r="B3" s="24">
        <v>46070</v>
      </c>
      <c r="C3" s="4" t="s">
        <v>6</v>
      </c>
      <c r="D3" t="s">
        <v>996</v>
      </c>
      <c r="E3" s="6" t="s">
        <v>7</v>
      </c>
      <c r="F3" s="11">
        <v>700000</v>
      </c>
      <c r="G3">
        <v>700000</v>
      </c>
      <c r="H3">
        <v>1000000</v>
      </c>
      <c r="I3" cm="1">
        <f t="array" ref="I3">_xlfn.IFS(F3=H3,1,F3=G3,0,F3&lt;&gt;G3,(F3-G3)/(G3))</f>
        <v>0</v>
      </c>
      <c r="J3" t="str">
        <f t="shared" ref="J3:J66" si="0">IF(ISERROR(I3),"Предупреждение",
IF(I3&lt;0,"Ниже минимума",
IF(I3=0,"Минимум",
IF(I3&lt;1,"В диапазоне",
IF(I3=1,"Максимум",
"Выше максимума")))))</f>
        <v>Минимум</v>
      </c>
    </row>
    <row r="4" spans="1:10" ht="48" x14ac:dyDescent="0.2">
      <c r="A4">
        <v>2</v>
      </c>
      <c r="B4" s="24">
        <v>46070</v>
      </c>
      <c r="C4" s="4" t="s">
        <v>6</v>
      </c>
      <c r="D4" t="s">
        <v>996</v>
      </c>
      <c r="E4" s="6" t="s">
        <v>8</v>
      </c>
      <c r="F4" s="11">
        <v>320000</v>
      </c>
      <c r="G4">
        <v>300000</v>
      </c>
      <c r="H4">
        <v>500000</v>
      </c>
      <c r="I4" cm="1">
        <f t="array" ref="I4">_xlfn.IFS(F4=H4,1,F4=G4,0,F4&lt;&gt;G4,(F4-G4)/(G4))</f>
        <v>6.6666666666666666E-2</v>
      </c>
      <c r="J4" t="str">
        <f t="shared" si="0"/>
        <v>В диапазоне</v>
      </c>
    </row>
    <row r="5" spans="1:10" ht="32" x14ac:dyDescent="0.2">
      <c r="A5">
        <v>3</v>
      </c>
      <c r="B5" s="24">
        <v>46066</v>
      </c>
      <c r="C5" s="4" t="s">
        <v>10</v>
      </c>
      <c r="D5" t="s">
        <v>996</v>
      </c>
      <c r="E5" s="6" t="s">
        <v>8</v>
      </c>
      <c r="F5" s="11" t="s">
        <v>11</v>
      </c>
      <c r="G5">
        <v>300000</v>
      </c>
      <c r="H5">
        <v>500000</v>
      </c>
      <c r="I5" t="e" cm="1">
        <f t="array" ref="I5">_xlfn.IFS(F5=H5,1,F5=G5,0,F5&lt;&gt;G5,(F5-G5)/(G5))</f>
        <v>#VALUE!</v>
      </c>
      <c r="J5" t="str">
        <f t="shared" si="0"/>
        <v>Предупреждение</v>
      </c>
    </row>
    <row r="6" spans="1:10" ht="16" x14ac:dyDescent="0.2">
      <c r="A6">
        <v>4</v>
      </c>
      <c r="B6" s="24">
        <v>46063</v>
      </c>
      <c r="C6" s="4" t="s">
        <v>13</v>
      </c>
      <c r="D6" t="s">
        <v>996</v>
      </c>
      <c r="E6" s="6" t="s">
        <v>5</v>
      </c>
      <c r="F6" s="11">
        <v>1000000</v>
      </c>
      <c r="G6">
        <v>700000</v>
      </c>
      <c r="H6">
        <v>1000000</v>
      </c>
      <c r="I6" cm="1">
        <f t="array" ref="I6">_xlfn.IFS(F6=H6,1,F6=G6,0,F6&lt;&gt;G6,(F6-G6)/(G6))</f>
        <v>1</v>
      </c>
      <c r="J6" t="str">
        <f t="shared" si="0"/>
        <v>Максимум</v>
      </c>
    </row>
    <row r="7" spans="1:10" ht="16" x14ac:dyDescent="0.2">
      <c r="A7">
        <v>5</v>
      </c>
      <c r="B7" s="24">
        <v>46063</v>
      </c>
      <c r="C7" s="4" t="s">
        <v>14</v>
      </c>
      <c r="D7" t="s">
        <v>996</v>
      </c>
      <c r="E7" s="6" t="s">
        <v>8</v>
      </c>
      <c r="F7" s="11">
        <v>350000</v>
      </c>
      <c r="G7">
        <v>300000</v>
      </c>
      <c r="H7">
        <v>500000</v>
      </c>
      <c r="I7" cm="1">
        <f t="array" ref="I7">_xlfn.IFS(F7=H7,1,F7=G7,0,F7&lt;&gt;G7,(F7-G7)/(G7))</f>
        <v>0.16666666666666666</v>
      </c>
      <c r="J7" t="str">
        <f t="shared" si="0"/>
        <v>В диапазоне</v>
      </c>
    </row>
    <row r="8" spans="1:10" ht="64" x14ac:dyDescent="0.2">
      <c r="A8">
        <v>6</v>
      </c>
      <c r="B8" s="24">
        <v>46063</v>
      </c>
      <c r="C8" s="4" t="s">
        <v>15</v>
      </c>
      <c r="D8" t="s">
        <v>996</v>
      </c>
      <c r="E8" s="6" t="s">
        <v>7</v>
      </c>
      <c r="F8" s="11" t="s">
        <v>11</v>
      </c>
      <c r="G8">
        <v>700000</v>
      </c>
      <c r="H8">
        <v>1000000</v>
      </c>
      <c r="I8" t="e" cm="1">
        <f t="array" ref="I8">_xlfn.IFS(F8=H8,1,F8=G8,0,F8&lt;&gt;G8,(F8-G8)/(G8))</f>
        <v>#VALUE!</v>
      </c>
      <c r="J8" t="str">
        <f t="shared" si="0"/>
        <v>Предупреждение</v>
      </c>
    </row>
    <row r="9" spans="1:10" ht="32" x14ac:dyDescent="0.2">
      <c r="A9">
        <v>7</v>
      </c>
      <c r="B9" s="24">
        <v>46063</v>
      </c>
      <c r="C9" s="4" t="s">
        <v>16</v>
      </c>
      <c r="D9" t="s">
        <v>996</v>
      </c>
      <c r="E9" s="6" t="s">
        <v>8</v>
      </c>
      <c r="F9" s="11" t="s">
        <v>11</v>
      </c>
      <c r="G9">
        <v>300000</v>
      </c>
      <c r="H9">
        <v>500000</v>
      </c>
      <c r="I9" t="e" cm="1">
        <f t="array" ref="I9">_xlfn.IFS(F9=H9,1,F9=G9,0,F9&lt;&gt;G9,(F9-G9)/(G9))</f>
        <v>#VALUE!</v>
      </c>
      <c r="J9" t="str">
        <f t="shared" si="0"/>
        <v>Предупреждение</v>
      </c>
    </row>
    <row r="10" spans="1:10" ht="16" x14ac:dyDescent="0.2">
      <c r="A10">
        <v>8</v>
      </c>
      <c r="B10" s="24">
        <v>46063</v>
      </c>
      <c r="C10" s="4" t="s">
        <v>17</v>
      </c>
      <c r="D10" t="s">
        <v>996</v>
      </c>
      <c r="E10" s="6" t="s">
        <v>18</v>
      </c>
      <c r="F10" s="11">
        <v>250000</v>
      </c>
      <c r="G10">
        <v>500000</v>
      </c>
      <c r="H10">
        <v>700000</v>
      </c>
      <c r="I10" cm="1">
        <f t="array" ref="I10">_xlfn.IFS(F10=H10,1,F10=G10,0,F10&lt;&gt;G10,(F10-G10)/(G10))</f>
        <v>-0.5</v>
      </c>
      <c r="J10" t="str">
        <f t="shared" si="0"/>
        <v>Ниже минимума</v>
      </c>
    </row>
    <row r="11" spans="1:10" ht="16" x14ac:dyDescent="0.2">
      <c r="A11">
        <v>9</v>
      </c>
      <c r="B11" s="24">
        <v>46062</v>
      </c>
      <c r="C11" s="4" t="s">
        <v>20</v>
      </c>
      <c r="D11" t="s">
        <v>996</v>
      </c>
      <c r="E11" s="6" t="s">
        <v>8</v>
      </c>
      <c r="F11" s="11">
        <v>300000</v>
      </c>
      <c r="G11">
        <v>300000</v>
      </c>
      <c r="H11">
        <v>500000</v>
      </c>
      <c r="I11" cm="1">
        <f t="array" ref="I11">_xlfn.IFS(F11=H11,1,F11=G11,0,F11&lt;&gt;G11,(F11-G11)/(G11))</f>
        <v>0</v>
      </c>
      <c r="J11" t="str">
        <f t="shared" si="0"/>
        <v>Минимум</v>
      </c>
    </row>
    <row r="12" spans="1:10" ht="16" x14ac:dyDescent="0.2">
      <c r="A12">
        <v>10</v>
      </c>
      <c r="B12" s="24">
        <v>46059</v>
      </c>
      <c r="C12" s="4" t="s">
        <v>22</v>
      </c>
      <c r="D12" t="s">
        <v>997</v>
      </c>
      <c r="E12" s="6" t="s">
        <v>23</v>
      </c>
      <c r="F12" s="11">
        <v>3000</v>
      </c>
      <c r="G12">
        <v>3000</v>
      </c>
      <c r="H12">
        <v>5000</v>
      </c>
      <c r="I12" cm="1">
        <f t="array" ref="I12">_xlfn.IFS(F12=H12,1,F12=G12,0,F12&lt;&gt;G12,(F12-G12)/(G12))</f>
        <v>0</v>
      </c>
      <c r="J12" t="str">
        <f t="shared" si="0"/>
        <v>Минимум</v>
      </c>
    </row>
    <row r="13" spans="1:10" ht="32" x14ac:dyDescent="0.2">
      <c r="A13">
        <v>11</v>
      </c>
      <c r="B13" s="24">
        <v>46059</v>
      </c>
      <c r="C13" s="4" t="s">
        <v>26</v>
      </c>
      <c r="D13" t="s">
        <v>998</v>
      </c>
      <c r="E13" s="6" t="s">
        <v>23</v>
      </c>
      <c r="F13" s="11">
        <v>30000</v>
      </c>
      <c r="G13">
        <v>30000</v>
      </c>
      <c r="H13">
        <v>50000</v>
      </c>
      <c r="I13" cm="1">
        <f t="array" ref="I13">_xlfn.IFS(F13=H13,1,F13=G13,0,F13&lt;&gt;G13,(F13-G13)/(G13))</f>
        <v>0</v>
      </c>
      <c r="J13" t="str">
        <f t="shared" si="0"/>
        <v>Минимум</v>
      </c>
    </row>
    <row r="14" spans="1:10" ht="16" x14ac:dyDescent="0.2">
      <c r="A14">
        <v>12</v>
      </c>
      <c r="B14" s="24">
        <v>46059</v>
      </c>
      <c r="C14" s="4" t="s">
        <v>27</v>
      </c>
      <c r="D14" t="s">
        <v>997</v>
      </c>
      <c r="E14" s="6" t="s">
        <v>23</v>
      </c>
      <c r="F14" s="11">
        <v>3000</v>
      </c>
      <c r="G14">
        <v>3000</v>
      </c>
      <c r="H14">
        <v>5000</v>
      </c>
      <c r="I14" cm="1">
        <f t="array" ref="I14">_xlfn.IFS(F14=H14,1,F14=G14,0,F14&lt;&gt;G14,(F14-G14)/(G14))</f>
        <v>0</v>
      </c>
      <c r="J14" t="str">
        <f t="shared" si="0"/>
        <v>Минимум</v>
      </c>
    </row>
    <row r="15" spans="1:10" ht="16" x14ac:dyDescent="0.2">
      <c r="A15">
        <v>13</v>
      </c>
      <c r="B15" s="24">
        <v>46056</v>
      </c>
      <c r="C15" s="4" t="s">
        <v>28</v>
      </c>
      <c r="D15" t="s">
        <v>997</v>
      </c>
      <c r="E15" s="6" t="s">
        <v>23</v>
      </c>
      <c r="F15" s="11">
        <v>3000</v>
      </c>
      <c r="G15">
        <v>3000</v>
      </c>
      <c r="H15">
        <v>5000</v>
      </c>
      <c r="I15" cm="1">
        <f t="array" ref="I15">_xlfn.IFS(F15=H15,1,F15=G15,0,F15&lt;&gt;G15,(F15-G15)/(G15))</f>
        <v>0</v>
      </c>
      <c r="J15" t="str">
        <f t="shared" si="0"/>
        <v>Минимум</v>
      </c>
    </row>
    <row r="16" spans="1:10" ht="16" x14ac:dyDescent="0.2">
      <c r="A16">
        <v>14</v>
      </c>
      <c r="B16" s="24">
        <v>46052</v>
      </c>
      <c r="C16" s="4" t="s">
        <v>30</v>
      </c>
      <c r="D16" t="s">
        <v>997</v>
      </c>
      <c r="E16" s="6" t="s">
        <v>23</v>
      </c>
      <c r="F16" s="11">
        <v>3000</v>
      </c>
      <c r="G16">
        <v>3000</v>
      </c>
      <c r="H16">
        <v>5000</v>
      </c>
      <c r="I16" cm="1">
        <f t="array" ref="I16">_xlfn.IFS(F16=H16,1,F16=G16,0,F16&lt;&gt;G16,(F16-G16)/(G16))</f>
        <v>0</v>
      </c>
      <c r="J16" t="str">
        <f t="shared" si="0"/>
        <v>Минимум</v>
      </c>
    </row>
    <row r="17" spans="1:10" ht="16" x14ac:dyDescent="0.2">
      <c r="A17">
        <v>15</v>
      </c>
      <c r="B17" s="24">
        <v>46052</v>
      </c>
      <c r="C17" s="4" t="s">
        <v>31</v>
      </c>
      <c r="D17" t="s">
        <v>997</v>
      </c>
      <c r="E17" s="6" t="s">
        <v>23</v>
      </c>
      <c r="F17" s="11">
        <v>3000</v>
      </c>
      <c r="G17">
        <v>3000</v>
      </c>
      <c r="H17">
        <v>5000</v>
      </c>
      <c r="I17" cm="1">
        <f t="array" ref="I17">_xlfn.IFS(F17=H17,1,F17=G17,0,F17&lt;&gt;G17,(F17-G17)/(G17))</f>
        <v>0</v>
      </c>
      <c r="J17" t="str">
        <f t="shared" si="0"/>
        <v>Минимум</v>
      </c>
    </row>
    <row r="18" spans="1:10" ht="16" x14ac:dyDescent="0.2">
      <c r="A18">
        <v>16</v>
      </c>
      <c r="B18" s="24">
        <v>46052</v>
      </c>
      <c r="C18" s="4" t="s">
        <v>32</v>
      </c>
      <c r="D18" t="s">
        <v>997</v>
      </c>
      <c r="E18" s="6" t="s">
        <v>23</v>
      </c>
      <c r="F18" s="11">
        <v>3000</v>
      </c>
      <c r="G18">
        <v>3000</v>
      </c>
      <c r="H18">
        <v>5000</v>
      </c>
      <c r="I18" cm="1">
        <f t="array" ref="I18">_xlfn.IFS(F18=H18,1,F18=G18,0,F18&lt;&gt;G18,(F18-G18)/(G18))</f>
        <v>0</v>
      </c>
      <c r="J18" t="str">
        <f t="shared" si="0"/>
        <v>Минимум</v>
      </c>
    </row>
    <row r="19" spans="1:10" ht="16" x14ac:dyDescent="0.2">
      <c r="A19">
        <v>17</v>
      </c>
      <c r="B19" s="24">
        <v>46052</v>
      </c>
      <c r="C19" s="4" t="s">
        <v>33</v>
      </c>
      <c r="D19" t="s">
        <v>997</v>
      </c>
      <c r="E19" s="6" t="s">
        <v>23</v>
      </c>
      <c r="F19" s="11">
        <v>3000</v>
      </c>
      <c r="G19">
        <v>3000</v>
      </c>
      <c r="H19">
        <v>5000</v>
      </c>
      <c r="I19" cm="1">
        <f t="array" ref="I19">_xlfn.IFS(F19=H19,1,F19=G19,0,F19&lt;&gt;G19,(F19-G19)/(G19))</f>
        <v>0</v>
      </c>
      <c r="J19" t="str">
        <f t="shared" si="0"/>
        <v>Минимум</v>
      </c>
    </row>
    <row r="20" spans="1:10" ht="16" x14ac:dyDescent="0.2">
      <c r="A20">
        <v>18</v>
      </c>
      <c r="B20" s="24">
        <v>46052</v>
      </c>
      <c r="C20" s="4" t="s">
        <v>34</v>
      </c>
      <c r="D20" t="s">
        <v>997</v>
      </c>
      <c r="E20" s="6" t="s">
        <v>23</v>
      </c>
      <c r="F20" s="11">
        <v>3000</v>
      </c>
      <c r="G20">
        <v>3000</v>
      </c>
      <c r="H20">
        <v>5000</v>
      </c>
      <c r="I20" cm="1">
        <f t="array" ref="I20">_xlfn.IFS(F20=H20,1,F20=G20,0,F20&lt;&gt;G20,(F20-G20)/(G20))</f>
        <v>0</v>
      </c>
      <c r="J20" t="str">
        <f t="shared" si="0"/>
        <v>Минимум</v>
      </c>
    </row>
    <row r="21" spans="1:10" ht="16" x14ac:dyDescent="0.2">
      <c r="A21">
        <v>19</v>
      </c>
      <c r="B21" s="24">
        <v>46052</v>
      </c>
      <c r="C21" s="4" t="s">
        <v>35</v>
      </c>
      <c r="D21" t="s">
        <v>997</v>
      </c>
      <c r="E21" s="6" t="s">
        <v>23</v>
      </c>
      <c r="F21" s="11">
        <v>3000</v>
      </c>
      <c r="G21">
        <v>3000</v>
      </c>
      <c r="H21">
        <v>5000</v>
      </c>
      <c r="I21" cm="1">
        <f t="array" ref="I21">_xlfn.IFS(F21=H21,1,F21=G21,0,F21&lt;&gt;G21,(F21-G21)/(G21))</f>
        <v>0</v>
      </c>
      <c r="J21" t="str">
        <f t="shared" si="0"/>
        <v>Минимум</v>
      </c>
    </row>
    <row r="22" spans="1:10" ht="16" x14ac:dyDescent="0.2">
      <c r="A22">
        <v>20</v>
      </c>
      <c r="B22" s="24">
        <v>46052</v>
      </c>
      <c r="C22" s="4" t="s">
        <v>36</v>
      </c>
      <c r="D22" t="s">
        <v>997</v>
      </c>
      <c r="E22" s="6" t="s">
        <v>23</v>
      </c>
      <c r="F22" s="11">
        <v>3000</v>
      </c>
      <c r="G22">
        <v>3000</v>
      </c>
      <c r="H22">
        <v>5000</v>
      </c>
      <c r="I22" cm="1">
        <f t="array" ref="I22">_xlfn.IFS(F22=H22,1,F22=G22,0,F22&lt;&gt;G22,(F22-G22)/(G22))</f>
        <v>0</v>
      </c>
      <c r="J22" t="str">
        <f t="shared" si="0"/>
        <v>Минимум</v>
      </c>
    </row>
    <row r="23" spans="1:10" ht="16" x14ac:dyDescent="0.2">
      <c r="A23">
        <v>21</v>
      </c>
      <c r="B23" s="24">
        <v>46049</v>
      </c>
      <c r="C23" s="4" t="s">
        <v>38</v>
      </c>
      <c r="D23" t="s">
        <v>997</v>
      </c>
      <c r="E23" s="6" t="s">
        <v>23</v>
      </c>
      <c r="F23" s="11">
        <v>3000</v>
      </c>
      <c r="G23">
        <v>3000</v>
      </c>
      <c r="H23">
        <v>5000</v>
      </c>
      <c r="I23" cm="1">
        <f t="array" ref="I23">_xlfn.IFS(F23=H23,1,F23=G23,0,F23&lt;&gt;G23,(F23-G23)/(G23))</f>
        <v>0</v>
      </c>
      <c r="J23" t="str">
        <f t="shared" si="0"/>
        <v>Минимум</v>
      </c>
    </row>
    <row r="24" spans="1:10" ht="16" x14ac:dyDescent="0.2">
      <c r="A24">
        <v>22</v>
      </c>
      <c r="B24" s="24">
        <v>46049</v>
      </c>
      <c r="C24" s="4" t="s">
        <v>39</v>
      </c>
      <c r="D24" t="s">
        <v>997</v>
      </c>
      <c r="E24" s="6" t="s">
        <v>23</v>
      </c>
      <c r="F24" s="11">
        <v>3000</v>
      </c>
      <c r="G24">
        <v>3000</v>
      </c>
      <c r="H24">
        <v>5000</v>
      </c>
      <c r="I24" cm="1">
        <f t="array" ref="I24">_xlfn.IFS(F24=H24,1,F24=G24,0,F24&lt;&gt;G24,(F24-G24)/(G24))</f>
        <v>0</v>
      </c>
      <c r="J24" t="str">
        <f t="shared" si="0"/>
        <v>Минимум</v>
      </c>
    </row>
    <row r="25" spans="1:10" ht="16" x14ac:dyDescent="0.2">
      <c r="A25">
        <v>23</v>
      </c>
      <c r="B25" s="24">
        <v>46048</v>
      </c>
      <c r="C25" s="4" t="s">
        <v>41</v>
      </c>
      <c r="D25" t="s">
        <v>997</v>
      </c>
      <c r="E25" s="6" t="s">
        <v>23</v>
      </c>
      <c r="F25" s="11">
        <v>3000</v>
      </c>
      <c r="G25">
        <v>3000</v>
      </c>
      <c r="H25">
        <v>5000</v>
      </c>
      <c r="I25" cm="1">
        <f t="array" ref="I25">_xlfn.IFS(F25=H25,1,F25=G25,0,F25&lt;&gt;G25,(F25-G25)/(G25))</f>
        <v>0</v>
      </c>
      <c r="J25" t="str">
        <f t="shared" si="0"/>
        <v>Минимум</v>
      </c>
    </row>
    <row r="26" spans="1:10" ht="16" x14ac:dyDescent="0.2">
      <c r="A26">
        <v>24</v>
      </c>
      <c r="B26" s="24">
        <v>46045</v>
      </c>
      <c r="C26" s="4" t="s">
        <v>43</v>
      </c>
      <c r="D26" t="s">
        <v>997</v>
      </c>
      <c r="E26" s="6" t="s">
        <v>23</v>
      </c>
      <c r="F26" s="11">
        <v>3000</v>
      </c>
      <c r="G26">
        <v>3000</v>
      </c>
      <c r="H26">
        <v>5000</v>
      </c>
      <c r="I26" cm="1">
        <f t="array" ref="I26">_xlfn.IFS(F26=H26,1,F26=G26,0,F26&lt;&gt;G26,(F26-G26)/(G26))</f>
        <v>0</v>
      </c>
      <c r="J26" t="str">
        <f t="shared" si="0"/>
        <v>Минимум</v>
      </c>
    </row>
    <row r="27" spans="1:10" ht="16" x14ac:dyDescent="0.2">
      <c r="A27">
        <v>25</v>
      </c>
      <c r="B27" s="24">
        <v>46045</v>
      </c>
      <c r="C27" s="4" t="s">
        <v>44</v>
      </c>
      <c r="D27" t="s">
        <v>997</v>
      </c>
      <c r="E27" s="6" t="s">
        <v>23</v>
      </c>
      <c r="F27" s="11">
        <v>3000</v>
      </c>
      <c r="G27">
        <v>3000</v>
      </c>
      <c r="H27">
        <v>5000</v>
      </c>
      <c r="I27" cm="1">
        <f t="array" ref="I27">_xlfn.IFS(F27=H27,1,F27=G27,0,F27&lt;&gt;G27,(F27-G27)/(G27))</f>
        <v>0</v>
      </c>
      <c r="J27" t="str">
        <f t="shared" si="0"/>
        <v>Минимум</v>
      </c>
    </row>
    <row r="28" spans="1:10" ht="16" x14ac:dyDescent="0.2">
      <c r="A28">
        <v>26</v>
      </c>
      <c r="B28" s="24">
        <v>46045</v>
      </c>
      <c r="C28" s="4" t="s">
        <v>45</v>
      </c>
      <c r="D28" t="s">
        <v>997</v>
      </c>
      <c r="E28" s="6" t="s">
        <v>23</v>
      </c>
      <c r="F28" s="11">
        <v>3000</v>
      </c>
      <c r="G28">
        <v>3000</v>
      </c>
      <c r="H28">
        <v>5000</v>
      </c>
      <c r="I28" cm="1">
        <f t="array" ref="I28">_xlfn.IFS(F28=H28,1,F28=G28,0,F28&lt;&gt;G28,(F28-G28)/(G28))</f>
        <v>0</v>
      </c>
      <c r="J28" t="str">
        <f t="shared" si="0"/>
        <v>Минимум</v>
      </c>
    </row>
    <row r="29" spans="1:10" ht="16" x14ac:dyDescent="0.2">
      <c r="A29">
        <v>27</v>
      </c>
      <c r="B29" s="24">
        <v>46045</v>
      </c>
      <c r="C29" s="4" t="s">
        <v>46</v>
      </c>
      <c r="D29" t="s">
        <v>997</v>
      </c>
      <c r="E29" s="6" t="s">
        <v>23</v>
      </c>
      <c r="F29" s="11">
        <v>3000</v>
      </c>
      <c r="G29">
        <v>3000</v>
      </c>
      <c r="H29">
        <v>5000</v>
      </c>
      <c r="I29" cm="1">
        <f t="array" ref="I29">_xlfn.IFS(F29=H29,1,F29=G29,0,F29&lt;&gt;G29,(F29-G29)/(G29))</f>
        <v>0</v>
      </c>
      <c r="J29" t="str">
        <f t="shared" si="0"/>
        <v>Минимум</v>
      </c>
    </row>
    <row r="30" spans="1:10" ht="16" x14ac:dyDescent="0.2">
      <c r="A30">
        <v>28</v>
      </c>
      <c r="B30" s="24">
        <v>46045</v>
      </c>
      <c r="C30" s="4" t="s">
        <v>47</v>
      </c>
      <c r="D30" t="s">
        <v>997</v>
      </c>
      <c r="E30" s="6" t="s">
        <v>23</v>
      </c>
      <c r="F30" s="11">
        <v>3000</v>
      </c>
      <c r="G30">
        <v>3000</v>
      </c>
      <c r="H30">
        <v>5000</v>
      </c>
      <c r="I30" cm="1">
        <f t="array" ref="I30">_xlfn.IFS(F30=H30,1,F30=G30,0,F30&lt;&gt;G30,(F30-G30)/(G30))</f>
        <v>0</v>
      </c>
      <c r="J30" t="str">
        <f t="shared" si="0"/>
        <v>Минимум</v>
      </c>
    </row>
    <row r="31" spans="1:10" ht="16" x14ac:dyDescent="0.2">
      <c r="A31">
        <v>29</v>
      </c>
      <c r="B31" s="24">
        <v>46045</v>
      </c>
      <c r="C31" s="4" t="s">
        <v>48</v>
      </c>
      <c r="D31" t="s">
        <v>997</v>
      </c>
      <c r="E31" s="6" t="s">
        <v>23</v>
      </c>
      <c r="F31" s="11">
        <v>3000</v>
      </c>
      <c r="G31">
        <v>3000</v>
      </c>
      <c r="H31">
        <v>5000</v>
      </c>
      <c r="I31" cm="1">
        <f t="array" ref="I31">_xlfn.IFS(F31=H31,1,F31=G31,0,F31&lt;&gt;G31,(F31-G31)/(G31))</f>
        <v>0</v>
      </c>
      <c r="J31" t="str">
        <f t="shared" si="0"/>
        <v>Минимум</v>
      </c>
    </row>
    <row r="32" spans="1:10" ht="16" x14ac:dyDescent="0.2">
      <c r="A32">
        <v>30</v>
      </c>
      <c r="B32" s="24">
        <v>46041</v>
      </c>
      <c r="C32" s="4" t="s">
        <v>50</v>
      </c>
      <c r="D32" t="s">
        <v>997</v>
      </c>
      <c r="E32" s="6" t="s">
        <v>23</v>
      </c>
      <c r="F32" s="11">
        <v>30000</v>
      </c>
      <c r="G32">
        <v>3000</v>
      </c>
      <c r="H32">
        <v>5000</v>
      </c>
      <c r="I32" cm="1">
        <f t="array" ref="I32">_xlfn.IFS(F32=H32,1,F32=G32,0,F32&lt;&gt;G32,(F32-G32)/(G32))</f>
        <v>9</v>
      </c>
      <c r="J32" t="str">
        <f t="shared" si="0"/>
        <v>Выше максимума</v>
      </c>
    </row>
    <row r="33" spans="1:10" ht="16" x14ac:dyDescent="0.2">
      <c r="A33">
        <v>31</v>
      </c>
      <c r="B33" s="24">
        <v>46041</v>
      </c>
      <c r="C33" s="4" t="s">
        <v>52</v>
      </c>
      <c r="D33" t="s">
        <v>997</v>
      </c>
      <c r="E33" s="6" t="s">
        <v>23</v>
      </c>
      <c r="F33" s="11">
        <v>30000</v>
      </c>
      <c r="G33">
        <v>3000</v>
      </c>
      <c r="H33">
        <v>5000</v>
      </c>
      <c r="I33" cm="1">
        <f t="array" ref="I33">_xlfn.IFS(F33=H33,1,F33=G33,0,F33&lt;&gt;G33,(F33-G33)/(G33))</f>
        <v>9</v>
      </c>
      <c r="J33" t="str">
        <f t="shared" si="0"/>
        <v>Выше максимума</v>
      </c>
    </row>
    <row r="34" spans="1:10" ht="16" x14ac:dyDescent="0.2">
      <c r="A34">
        <v>32</v>
      </c>
      <c r="B34" s="24">
        <v>46041</v>
      </c>
      <c r="C34" s="4" t="s">
        <v>53</v>
      </c>
      <c r="D34" t="s">
        <v>997</v>
      </c>
      <c r="E34" s="6" t="s">
        <v>23</v>
      </c>
      <c r="F34" s="11">
        <v>3000</v>
      </c>
      <c r="G34">
        <v>3000</v>
      </c>
      <c r="H34">
        <v>5000</v>
      </c>
      <c r="I34" cm="1">
        <f t="array" ref="I34">_xlfn.IFS(F34=H34,1,F34=G34,0,F34&lt;&gt;G34,(F34-G34)/(G34))</f>
        <v>0</v>
      </c>
      <c r="J34" t="str">
        <f t="shared" si="0"/>
        <v>Минимум</v>
      </c>
    </row>
    <row r="35" spans="1:10" ht="16" x14ac:dyDescent="0.2">
      <c r="A35">
        <v>33</v>
      </c>
      <c r="B35" s="24">
        <v>46041</v>
      </c>
      <c r="C35" s="4" t="s">
        <v>54</v>
      </c>
      <c r="D35" t="s">
        <v>997</v>
      </c>
      <c r="E35" s="6" t="s">
        <v>23</v>
      </c>
      <c r="F35" s="11">
        <v>3000</v>
      </c>
      <c r="G35">
        <v>3000</v>
      </c>
      <c r="H35">
        <v>5000</v>
      </c>
      <c r="I35" cm="1">
        <f t="array" ref="I35">_xlfn.IFS(F35=H35,1,F35=G35,0,F35&lt;&gt;G35,(F35-G35)/(G35))</f>
        <v>0</v>
      </c>
      <c r="J35" t="str">
        <f t="shared" si="0"/>
        <v>Минимум</v>
      </c>
    </row>
    <row r="36" spans="1:10" ht="16" x14ac:dyDescent="0.2">
      <c r="A36">
        <v>34</v>
      </c>
      <c r="B36" s="24">
        <v>46041</v>
      </c>
      <c r="C36" s="4" t="s">
        <v>55</v>
      </c>
      <c r="D36" t="s">
        <v>997</v>
      </c>
      <c r="E36" s="6" t="s">
        <v>23</v>
      </c>
      <c r="F36" s="11">
        <v>3000</v>
      </c>
      <c r="G36">
        <v>3000</v>
      </c>
      <c r="H36">
        <v>5000</v>
      </c>
      <c r="I36" cm="1">
        <f t="array" ref="I36">_xlfn.IFS(F36=H36,1,F36=G36,0,F36&lt;&gt;G36,(F36-G36)/(G36))</f>
        <v>0</v>
      </c>
      <c r="J36" t="str">
        <f t="shared" si="0"/>
        <v>Минимум</v>
      </c>
    </row>
    <row r="37" spans="1:10" ht="16" x14ac:dyDescent="0.2">
      <c r="A37">
        <v>35</v>
      </c>
      <c r="B37" s="24">
        <v>46037</v>
      </c>
      <c r="C37" s="4" t="s">
        <v>57</v>
      </c>
      <c r="D37" t="s">
        <v>996</v>
      </c>
      <c r="E37" s="6" t="s">
        <v>23</v>
      </c>
      <c r="F37" s="11">
        <v>700000</v>
      </c>
      <c r="G37">
        <v>700000</v>
      </c>
      <c r="H37" t="s">
        <v>1002</v>
      </c>
      <c r="I37" cm="1">
        <f t="array" ref="I37">_xlfn.IFS(F37=H37,1,F37=G37,0,F37&lt;&gt;G37,(F37-G37)/(G37))</f>
        <v>0</v>
      </c>
      <c r="J37" t="str">
        <f t="shared" si="0"/>
        <v>Минимум</v>
      </c>
    </row>
    <row r="38" spans="1:10" ht="16" x14ac:dyDescent="0.2">
      <c r="A38">
        <v>36</v>
      </c>
      <c r="B38" s="24">
        <v>46037</v>
      </c>
      <c r="C38" s="4" t="s">
        <v>59</v>
      </c>
      <c r="D38" t="s">
        <v>997</v>
      </c>
      <c r="E38" s="6" t="s">
        <v>23</v>
      </c>
      <c r="F38" s="11">
        <v>3000</v>
      </c>
      <c r="G38">
        <v>3000</v>
      </c>
      <c r="H38">
        <v>5000</v>
      </c>
      <c r="I38" cm="1">
        <f t="array" ref="I38">_xlfn.IFS(F38=H38,1,F38=G38,0,F38&lt;&gt;G38,(F38-G38)/(G38))</f>
        <v>0</v>
      </c>
      <c r="J38" t="str">
        <f t="shared" si="0"/>
        <v>Минимум</v>
      </c>
    </row>
    <row r="39" spans="1:10" ht="16" x14ac:dyDescent="0.2">
      <c r="A39">
        <v>37</v>
      </c>
      <c r="B39" s="24">
        <v>46035</v>
      </c>
      <c r="C39" s="4" t="s">
        <v>60</v>
      </c>
      <c r="D39" t="s">
        <v>997</v>
      </c>
      <c r="E39" s="6" t="s">
        <v>23</v>
      </c>
      <c r="F39" s="11">
        <v>3000</v>
      </c>
      <c r="G39">
        <v>3000</v>
      </c>
      <c r="H39">
        <v>5000</v>
      </c>
      <c r="I39" cm="1">
        <f t="array" ref="I39">_xlfn.IFS(F39=H39,1,F39=G39,0,F39&lt;&gt;G39,(F39-G39)/(G39))</f>
        <v>0</v>
      </c>
      <c r="J39" t="str">
        <f t="shared" si="0"/>
        <v>Минимум</v>
      </c>
    </row>
    <row r="40" spans="1:10" ht="16" x14ac:dyDescent="0.2">
      <c r="A40">
        <v>38</v>
      </c>
      <c r="B40" s="24">
        <v>46035</v>
      </c>
      <c r="C40" s="4" t="s">
        <v>61</v>
      </c>
      <c r="D40" t="s">
        <v>997</v>
      </c>
      <c r="E40" s="6" t="s">
        <v>23</v>
      </c>
      <c r="F40" s="11">
        <v>3000</v>
      </c>
      <c r="G40">
        <v>3000</v>
      </c>
      <c r="H40">
        <v>5000</v>
      </c>
      <c r="I40" cm="1">
        <f t="array" ref="I40">_xlfn.IFS(F40=H40,1,F40=G40,0,F40&lt;&gt;G40,(F40-G40)/(G40))</f>
        <v>0</v>
      </c>
      <c r="J40" t="str">
        <f t="shared" si="0"/>
        <v>Минимум</v>
      </c>
    </row>
    <row r="41" spans="1:10" ht="16" x14ac:dyDescent="0.2">
      <c r="A41">
        <v>39</v>
      </c>
      <c r="B41" s="24">
        <v>46035</v>
      </c>
      <c r="C41" s="4" t="s">
        <v>62</v>
      </c>
      <c r="D41" t="s">
        <v>997</v>
      </c>
      <c r="E41" s="6" t="s">
        <v>23</v>
      </c>
      <c r="F41" s="11">
        <v>3000</v>
      </c>
      <c r="G41">
        <v>3000</v>
      </c>
      <c r="H41">
        <v>5000</v>
      </c>
      <c r="I41" cm="1">
        <f t="array" ref="I41">_xlfn.IFS(F41=H41,1,F41=G41,0,F41&lt;&gt;G41,(F41-G41)/(G41))</f>
        <v>0</v>
      </c>
      <c r="J41" t="str">
        <f t="shared" si="0"/>
        <v>Минимум</v>
      </c>
    </row>
    <row r="42" spans="1:10" ht="16" x14ac:dyDescent="0.2">
      <c r="A42">
        <v>40</v>
      </c>
      <c r="B42" s="24">
        <v>46035</v>
      </c>
      <c r="C42" s="4" t="s">
        <v>63</v>
      </c>
      <c r="D42" t="s">
        <v>997</v>
      </c>
      <c r="E42" s="6" t="s">
        <v>23</v>
      </c>
      <c r="F42" s="11">
        <v>3000</v>
      </c>
      <c r="G42">
        <v>3000</v>
      </c>
      <c r="H42">
        <v>5000</v>
      </c>
      <c r="I42" cm="1">
        <f t="array" ref="I42">_xlfn.IFS(F42=H42,1,F42=G42,0,F42&lt;&gt;G42,(F42-G42)/(G42))</f>
        <v>0</v>
      </c>
      <c r="J42" t="str">
        <f t="shared" si="0"/>
        <v>Минимум</v>
      </c>
    </row>
    <row r="43" spans="1:10" ht="16" x14ac:dyDescent="0.2">
      <c r="A43">
        <v>41</v>
      </c>
      <c r="B43" s="24">
        <v>46035</v>
      </c>
      <c r="C43" s="4" t="s">
        <v>64</v>
      </c>
      <c r="D43" t="s">
        <v>997</v>
      </c>
      <c r="E43" s="6" t="s">
        <v>23</v>
      </c>
      <c r="F43" s="11">
        <v>3000</v>
      </c>
      <c r="G43">
        <v>3000</v>
      </c>
      <c r="H43">
        <v>5000</v>
      </c>
      <c r="I43" cm="1">
        <f t="array" ref="I43">_xlfn.IFS(F43=H43,1,F43=G43,0,F43&lt;&gt;G43,(F43-G43)/(G43))</f>
        <v>0</v>
      </c>
      <c r="J43" t="str">
        <f t="shared" si="0"/>
        <v>Минимум</v>
      </c>
    </row>
    <row r="44" spans="1:10" ht="16" x14ac:dyDescent="0.2">
      <c r="A44">
        <v>42</v>
      </c>
      <c r="B44" s="24">
        <v>46035</v>
      </c>
      <c r="C44" s="4" t="s">
        <v>65</v>
      </c>
      <c r="D44" t="s">
        <v>997</v>
      </c>
      <c r="E44" s="6" t="s">
        <v>23</v>
      </c>
      <c r="F44" s="11">
        <v>3000</v>
      </c>
      <c r="G44">
        <v>3000</v>
      </c>
      <c r="H44">
        <v>5000</v>
      </c>
      <c r="I44" cm="1">
        <f t="array" ref="I44">_xlfn.IFS(F44=H44,1,F44=G44,0,F44&lt;&gt;G44,(F44-G44)/(G44))</f>
        <v>0</v>
      </c>
      <c r="J44" t="str">
        <f t="shared" si="0"/>
        <v>Минимум</v>
      </c>
    </row>
    <row r="45" spans="1:10" ht="16" x14ac:dyDescent="0.2">
      <c r="A45">
        <v>43</v>
      </c>
      <c r="B45" s="24">
        <v>46035</v>
      </c>
      <c r="C45" s="4" t="s">
        <v>66</v>
      </c>
      <c r="D45" t="s">
        <v>997</v>
      </c>
      <c r="E45" s="6" t="s">
        <v>23</v>
      </c>
      <c r="F45" s="11">
        <v>3000</v>
      </c>
      <c r="G45">
        <v>3000</v>
      </c>
      <c r="H45">
        <v>5000</v>
      </c>
      <c r="I45" cm="1">
        <f t="array" ref="I45">_xlfn.IFS(F45=H45,1,F45=G45,0,F45&lt;&gt;G45,(F45-G45)/(G45))</f>
        <v>0</v>
      </c>
      <c r="J45" t="str">
        <f t="shared" si="0"/>
        <v>Минимум</v>
      </c>
    </row>
    <row r="46" spans="1:10" ht="16" x14ac:dyDescent="0.2">
      <c r="A46">
        <v>44</v>
      </c>
      <c r="B46" s="24">
        <v>46035</v>
      </c>
      <c r="C46" s="4" t="s">
        <v>67</v>
      </c>
      <c r="D46" t="s">
        <v>997</v>
      </c>
      <c r="E46" s="6" t="s">
        <v>23</v>
      </c>
      <c r="F46" s="11">
        <v>3000</v>
      </c>
      <c r="G46">
        <v>3000</v>
      </c>
      <c r="H46">
        <v>5000</v>
      </c>
      <c r="I46" cm="1">
        <f t="array" ref="I46">_xlfn.IFS(F46=H46,1,F46=G46,0,F46&lt;&gt;G46,(F46-G46)/(G46))</f>
        <v>0</v>
      </c>
      <c r="J46" t="str">
        <f t="shared" si="0"/>
        <v>Минимум</v>
      </c>
    </row>
    <row r="47" spans="1:10" ht="16" x14ac:dyDescent="0.2">
      <c r="A47">
        <v>45</v>
      </c>
      <c r="B47" s="24">
        <v>46035</v>
      </c>
      <c r="C47" s="4" t="s">
        <v>68</v>
      </c>
      <c r="D47" t="s">
        <v>997</v>
      </c>
      <c r="E47" s="6" t="s">
        <v>23</v>
      </c>
      <c r="F47" s="11">
        <v>3000</v>
      </c>
      <c r="G47">
        <v>3000</v>
      </c>
      <c r="H47">
        <v>5000</v>
      </c>
      <c r="I47" cm="1">
        <f t="array" ref="I47">_xlfn.IFS(F47=H47,1,F47=G47,0,F47&lt;&gt;G47,(F47-G47)/(G47))</f>
        <v>0</v>
      </c>
      <c r="J47" t="str">
        <f t="shared" si="0"/>
        <v>Минимум</v>
      </c>
    </row>
    <row r="48" spans="1:10" ht="16" x14ac:dyDescent="0.2">
      <c r="A48">
        <v>46</v>
      </c>
      <c r="B48" s="24">
        <v>46035</v>
      </c>
      <c r="C48" s="4" t="s">
        <v>69</v>
      </c>
      <c r="D48" t="s">
        <v>997</v>
      </c>
      <c r="E48" s="6" t="s">
        <v>23</v>
      </c>
      <c r="F48" s="11">
        <v>3000</v>
      </c>
      <c r="G48">
        <v>3000</v>
      </c>
      <c r="H48">
        <v>5000</v>
      </c>
      <c r="I48" cm="1">
        <f t="array" ref="I48">_xlfn.IFS(F48=H48,1,F48=G48,0,F48&lt;&gt;G48,(F48-G48)/(G48))</f>
        <v>0</v>
      </c>
      <c r="J48" t="str">
        <f t="shared" si="0"/>
        <v>Минимум</v>
      </c>
    </row>
    <row r="49" spans="1:10" ht="16" x14ac:dyDescent="0.2">
      <c r="A49">
        <v>47</v>
      </c>
      <c r="B49" s="24">
        <v>46035</v>
      </c>
      <c r="C49" s="4" t="s">
        <v>70</v>
      </c>
      <c r="D49" t="s">
        <v>997</v>
      </c>
      <c r="E49" s="6" t="s">
        <v>23</v>
      </c>
      <c r="F49" s="11">
        <v>3000</v>
      </c>
      <c r="G49">
        <v>3000</v>
      </c>
      <c r="H49">
        <v>5000</v>
      </c>
      <c r="I49" cm="1">
        <f t="array" ref="I49">_xlfn.IFS(F49=H49,1,F49=G49,0,F49&lt;&gt;G49,(F49-G49)/(G49))</f>
        <v>0</v>
      </c>
      <c r="J49" t="str">
        <f t="shared" si="0"/>
        <v>Минимум</v>
      </c>
    </row>
    <row r="50" spans="1:10" ht="16" x14ac:dyDescent="0.2">
      <c r="A50">
        <v>48</v>
      </c>
      <c r="B50" s="24">
        <v>46035</v>
      </c>
      <c r="C50" s="4" t="s">
        <v>13</v>
      </c>
      <c r="D50" t="s">
        <v>996</v>
      </c>
      <c r="E50" s="6" t="s">
        <v>5</v>
      </c>
      <c r="F50" s="11">
        <v>1000000</v>
      </c>
      <c r="G50">
        <v>700000</v>
      </c>
      <c r="H50">
        <v>1000000</v>
      </c>
      <c r="I50" cm="1">
        <f t="array" ref="I50">_xlfn.IFS(F50=H50,1,F50=G50,0,F50&lt;&gt;G50,(F50-G50)/(G50))</f>
        <v>1</v>
      </c>
      <c r="J50" t="str">
        <f t="shared" si="0"/>
        <v>Максимум</v>
      </c>
    </row>
    <row r="51" spans="1:10" ht="16" x14ac:dyDescent="0.2">
      <c r="A51">
        <v>49</v>
      </c>
      <c r="B51" s="24">
        <v>46035</v>
      </c>
      <c r="C51" s="4" t="s">
        <v>71</v>
      </c>
      <c r="D51" t="s">
        <v>996</v>
      </c>
      <c r="E51" s="6" t="s">
        <v>72</v>
      </c>
      <c r="F51" s="11">
        <v>250000</v>
      </c>
      <c r="G51">
        <v>500000</v>
      </c>
      <c r="H51">
        <v>700000</v>
      </c>
      <c r="I51" cm="1">
        <f t="array" ref="I51">_xlfn.IFS(F51=H51,1,F51=G51,0,F51&lt;&gt;G51,(F51-G51)/(G51))</f>
        <v>-0.5</v>
      </c>
      <c r="J51" t="str">
        <f t="shared" si="0"/>
        <v>Ниже минимума</v>
      </c>
    </row>
    <row r="52" spans="1:10" ht="16" x14ac:dyDescent="0.2">
      <c r="A52">
        <v>50</v>
      </c>
      <c r="B52" s="24">
        <v>46035</v>
      </c>
      <c r="C52" s="4" t="s">
        <v>73</v>
      </c>
      <c r="D52" t="s">
        <v>996</v>
      </c>
      <c r="E52" s="6" t="s">
        <v>72</v>
      </c>
      <c r="F52" s="11">
        <v>250000</v>
      </c>
      <c r="G52">
        <v>500000</v>
      </c>
      <c r="H52">
        <v>700000</v>
      </c>
      <c r="I52" cm="1">
        <f t="array" ref="I52">_xlfn.IFS(F52=H52,1,F52=G52,0,F52&lt;&gt;G52,(F52-G52)/(G52))</f>
        <v>-0.5</v>
      </c>
      <c r="J52" t="str">
        <f t="shared" si="0"/>
        <v>Ниже минимума</v>
      </c>
    </row>
    <row r="53" spans="1:10" ht="16" x14ac:dyDescent="0.2">
      <c r="A53">
        <v>51</v>
      </c>
      <c r="B53" s="24">
        <v>46035</v>
      </c>
      <c r="C53" s="4" t="s">
        <v>74</v>
      </c>
      <c r="D53" t="s">
        <v>996</v>
      </c>
      <c r="E53" s="6" t="s">
        <v>75</v>
      </c>
      <c r="F53" s="11">
        <v>350000</v>
      </c>
      <c r="G53">
        <v>500000</v>
      </c>
      <c r="H53">
        <v>700000</v>
      </c>
      <c r="I53" cm="1">
        <f t="array" ref="I53">_xlfn.IFS(F53=H53,1,F53=G53,0,F53&lt;&gt;G53,(F53-G53)/(G53))</f>
        <v>-0.3</v>
      </c>
      <c r="J53" t="str">
        <f t="shared" si="0"/>
        <v>Ниже минимума</v>
      </c>
    </row>
    <row r="54" spans="1:10" ht="16" x14ac:dyDescent="0.2">
      <c r="A54">
        <v>52</v>
      </c>
      <c r="B54" s="24">
        <v>46035</v>
      </c>
      <c r="C54" s="4" t="s">
        <v>76</v>
      </c>
      <c r="D54" t="s">
        <v>996</v>
      </c>
      <c r="E54" s="6" t="s">
        <v>75</v>
      </c>
      <c r="F54" s="11" t="s">
        <v>11</v>
      </c>
      <c r="G54">
        <v>500000</v>
      </c>
      <c r="H54">
        <v>700000</v>
      </c>
      <c r="I54" t="e" cm="1">
        <f t="array" ref="I54">_xlfn.IFS(F54=H54,1,F54=G54,0,F54&lt;&gt;G54,(F54-G54)/(G54))</f>
        <v>#VALUE!</v>
      </c>
      <c r="J54" t="str">
        <f t="shared" si="0"/>
        <v>Предупреждение</v>
      </c>
    </row>
    <row r="55" spans="1:10" ht="16" x14ac:dyDescent="0.2">
      <c r="A55">
        <v>53</v>
      </c>
      <c r="B55" s="24">
        <v>46035</v>
      </c>
      <c r="C55" s="4" t="s">
        <v>77</v>
      </c>
      <c r="D55" t="s">
        <v>996</v>
      </c>
      <c r="E55" s="6" t="s">
        <v>8</v>
      </c>
      <c r="F55" s="11" t="s">
        <v>11</v>
      </c>
      <c r="G55">
        <v>300000</v>
      </c>
      <c r="H55">
        <v>500000</v>
      </c>
      <c r="I55" t="e" cm="1">
        <f t="array" ref="I55">_xlfn.IFS(F55=H55,1,F55=G55,0,F55&lt;&gt;G55,(F55-G55)/(G55))</f>
        <v>#VALUE!</v>
      </c>
      <c r="J55" t="str">
        <f t="shared" si="0"/>
        <v>Предупреждение</v>
      </c>
    </row>
    <row r="56" spans="1:10" ht="32" x14ac:dyDescent="0.2">
      <c r="A56">
        <v>54</v>
      </c>
      <c r="B56" s="24">
        <v>46035</v>
      </c>
      <c r="C56" s="4" t="s">
        <v>78</v>
      </c>
      <c r="D56" t="s">
        <v>996</v>
      </c>
      <c r="E56" s="6" t="s">
        <v>5</v>
      </c>
      <c r="F56" s="11">
        <v>350000</v>
      </c>
      <c r="G56">
        <v>700000</v>
      </c>
      <c r="H56">
        <v>1000000</v>
      </c>
      <c r="I56" cm="1">
        <f t="array" ref="I56">_xlfn.IFS(F56=H56,1,F56=G56,0,F56&lt;&gt;G56,(F56-G56)/(G56))</f>
        <v>-0.5</v>
      </c>
      <c r="J56" t="str">
        <f t="shared" si="0"/>
        <v>Ниже минимума</v>
      </c>
    </row>
    <row r="57" spans="1:10" ht="32" x14ac:dyDescent="0.2">
      <c r="A57">
        <v>54</v>
      </c>
      <c r="B57" s="24">
        <v>46035</v>
      </c>
      <c r="C57" s="4" t="s">
        <v>78</v>
      </c>
      <c r="D57" t="s">
        <v>996</v>
      </c>
      <c r="E57" s="6" t="s">
        <v>8</v>
      </c>
      <c r="F57" s="11">
        <v>150000</v>
      </c>
      <c r="G57">
        <v>300000</v>
      </c>
      <c r="H57">
        <v>500000</v>
      </c>
      <c r="I57" cm="1">
        <f t="array" ref="I57">_xlfn.IFS(F57=H57,1,F57=G57,0,F57&lt;&gt;G57,(F57-G57)/(G57))</f>
        <v>-0.5</v>
      </c>
      <c r="J57" t="str">
        <f t="shared" si="0"/>
        <v>Ниже минимума</v>
      </c>
    </row>
    <row r="58" spans="1:10" ht="32" x14ac:dyDescent="0.2">
      <c r="A58">
        <v>55</v>
      </c>
      <c r="B58" s="24">
        <v>46035</v>
      </c>
      <c r="C58" s="4" t="s">
        <v>79</v>
      </c>
      <c r="D58" t="s">
        <v>996</v>
      </c>
      <c r="E58" s="6" t="s">
        <v>5</v>
      </c>
      <c r="F58" s="11">
        <v>700000</v>
      </c>
      <c r="G58">
        <v>700000</v>
      </c>
      <c r="H58">
        <v>1000000</v>
      </c>
      <c r="I58" cm="1">
        <f t="array" ref="I58">_xlfn.IFS(F58=H58,1,F58=G58,0,F58&lt;&gt;G58,(F58-G58)/(G58))</f>
        <v>0</v>
      </c>
      <c r="J58" t="str">
        <f t="shared" si="0"/>
        <v>Минимум</v>
      </c>
    </row>
    <row r="59" spans="1:10" ht="16" x14ac:dyDescent="0.2">
      <c r="A59">
        <v>56</v>
      </c>
      <c r="B59" s="24">
        <v>46035</v>
      </c>
      <c r="C59" s="4" t="s">
        <v>17</v>
      </c>
      <c r="D59" t="s">
        <v>996</v>
      </c>
      <c r="E59" s="6" t="s">
        <v>80</v>
      </c>
      <c r="F59" s="11" t="s">
        <v>11</v>
      </c>
      <c r="G59">
        <v>700000</v>
      </c>
      <c r="H59">
        <v>1000000</v>
      </c>
      <c r="I59" t="e" cm="1">
        <f t="array" ref="I59">_xlfn.IFS(F59=H59,1,F59=G59,0,F59&lt;&gt;G59,(F59-G59)/(G59))</f>
        <v>#VALUE!</v>
      </c>
      <c r="J59" t="str">
        <f t="shared" si="0"/>
        <v>Предупреждение</v>
      </c>
    </row>
    <row r="60" spans="1:10" ht="16" x14ac:dyDescent="0.2">
      <c r="A60">
        <v>57</v>
      </c>
      <c r="B60" s="24">
        <v>46035</v>
      </c>
      <c r="C60" s="4" t="s">
        <v>81</v>
      </c>
      <c r="D60" t="s">
        <v>996</v>
      </c>
      <c r="E60" s="6" t="s">
        <v>80</v>
      </c>
      <c r="F60" s="11" t="s">
        <v>11</v>
      </c>
      <c r="G60">
        <v>700000</v>
      </c>
      <c r="H60">
        <v>1000000</v>
      </c>
      <c r="I60" t="e" cm="1">
        <f t="array" ref="I60">_xlfn.IFS(F60=H60,1,F60=G60,0,F60&lt;&gt;G60,(F60-G60)/(G60))</f>
        <v>#VALUE!</v>
      </c>
      <c r="J60" t="str">
        <f t="shared" si="0"/>
        <v>Предупреждение</v>
      </c>
    </row>
    <row r="61" spans="1:10" ht="16" x14ac:dyDescent="0.2">
      <c r="A61">
        <v>58</v>
      </c>
      <c r="B61" s="24">
        <v>46035</v>
      </c>
      <c r="C61" s="4" t="s">
        <v>82</v>
      </c>
      <c r="D61" t="s">
        <v>996</v>
      </c>
      <c r="E61" s="6" t="s">
        <v>83</v>
      </c>
      <c r="F61" s="11">
        <v>500000</v>
      </c>
      <c r="G61">
        <v>500000</v>
      </c>
      <c r="H61">
        <v>700000</v>
      </c>
      <c r="I61" cm="1">
        <f t="array" ref="I61">_xlfn.IFS(F61=H61,1,F61=G61,0,F61&lt;&gt;G61,(F61-G61)/(G61))</f>
        <v>0</v>
      </c>
      <c r="J61" t="str">
        <f t="shared" si="0"/>
        <v>Минимум</v>
      </c>
    </row>
    <row r="62" spans="1:10" ht="16" x14ac:dyDescent="0.2">
      <c r="A62">
        <v>59</v>
      </c>
      <c r="B62" s="24">
        <v>46035</v>
      </c>
      <c r="C62" s="4" t="s">
        <v>84</v>
      </c>
      <c r="D62" t="s">
        <v>996</v>
      </c>
      <c r="E62" s="6" t="s">
        <v>80</v>
      </c>
      <c r="F62" s="11">
        <v>700000</v>
      </c>
      <c r="G62">
        <v>700000</v>
      </c>
      <c r="H62">
        <v>1000000</v>
      </c>
      <c r="I62" cm="1">
        <f t="array" ref="I62">_xlfn.IFS(F62=H62,1,F62=G62,0,F62&lt;&gt;G62,(F62-G62)/(G62))</f>
        <v>0</v>
      </c>
      <c r="J62" t="str">
        <f t="shared" si="0"/>
        <v>Минимум</v>
      </c>
    </row>
    <row r="63" spans="1:10" ht="32" x14ac:dyDescent="0.2">
      <c r="A63">
        <v>60</v>
      </c>
      <c r="B63" s="24">
        <v>46035</v>
      </c>
      <c r="C63" s="4" t="s">
        <v>85</v>
      </c>
      <c r="D63" t="s">
        <v>996</v>
      </c>
      <c r="E63" s="6" t="s">
        <v>8</v>
      </c>
      <c r="F63" s="11">
        <v>400000</v>
      </c>
      <c r="G63">
        <v>300000</v>
      </c>
      <c r="H63">
        <v>500000</v>
      </c>
      <c r="I63" cm="1">
        <f t="array" ref="I63">_xlfn.IFS(F63=H63,1,F63=G63,0,F63&lt;&gt;G63,(F63-G63)/(G63))</f>
        <v>0.33333333333333331</v>
      </c>
      <c r="J63" t="str">
        <f t="shared" si="0"/>
        <v>В диапазоне</v>
      </c>
    </row>
    <row r="64" spans="1:10" ht="16" x14ac:dyDescent="0.2">
      <c r="A64">
        <v>61</v>
      </c>
      <c r="B64" s="24">
        <v>46021</v>
      </c>
      <c r="C64" s="4" t="s">
        <v>86</v>
      </c>
      <c r="D64" t="s">
        <v>996</v>
      </c>
      <c r="E64" s="6" t="s">
        <v>75</v>
      </c>
      <c r="F64" s="11">
        <v>700000</v>
      </c>
      <c r="G64">
        <v>500000</v>
      </c>
      <c r="H64">
        <v>700000</v>
      </c>
      <c r="I64" cm="1">
        <f t="array" ref="I64">_xlfn.IFS(F64=H64,1,F64=G64,0,F64&lt;&gt;G64,(F64-G64)/(G64))</f>
        <v>1</v>
      </c>
      <c r="J64" t="str">
        <f t="shared" si="0"/>
        <v>Максимум</v>
      </c>
    </row>
    <row r="65" spans="1:10" ht="16" x14ac:dyDescent="0.2">
      <c r="A65">
        <v>62</v>
      </c>
      <c r="B65" s="24">
        <v>46021</v>
      </c>
      <c r="C65" s="4" t="s">
        <v>87</v>
      </c>
      <c r="D65" t="s">
        <v>997</v>
      </c>
      <c r="E65" s="6" t="s">
        <v>23</v>
      </c>
      <c r="F65" s="11">
        <v>3000</v>
      </c>
      <c r="G65">
        <v>3000</v>
      </c>
      <c r="H65">
        <v>5000</v>
      </c>
      <c r="I65" cm="1">
        <f t="array" ref="I65">_xlfn.IFS(F65=H65,1,F65=G65,0,F65&lt;&gt;G65,(F65-G65)/(G65))</f>
        <v>0</v>
      </c>
      <c r="J65" t="str">
        <f t="shared" si="0"/>
        <v>Минимум</v>
      </c>
    </row>
    <row r="66" spans="1:10" ht="16" x14ac:dyDescent="0.2">
      <c r="A66">
        <v>63</v>
      </c>
      <c r="B66" s="24">
        <v>46021</v>
      </c>
      <c r="C66" s="4" t="s">
        <v>88</v>
      </c>
      <c r="D66" t="s">
        <v>996</v>
      </c>
      <c r="E66" s="6" t="s">
        <v>75</v>
      </c>
      <c r="F66" s="11">
        <v>700000</v>
      </c>
      <c r="G66">
        <v>500000</v>
      </c>
      <c r="H66">
        <v>700000</v>
      </c>
      <c r="I66" cm="1">
        <f t="array" ref="I66">_xlfn.IFS(F66=H66,1,F66=G66,0,F66&lt;&gt;G66,(F66-G66)/(G66))</f>
        <v>1</v>
      </c>
      <c r="J66" t="str">
        <f t="shared" si="0"/>
        <v>Максимум</v>
      </c>
    </row>
    <row r="67" spans="1:10" ht="16" x14ac:dyDescent="0.2">
      <c r="A67">
        <v>64</v>
      </c>
      <c r="B67" s="24">
        <v>46021</v>
      </c>
      <c r="C67" s="4" t="s">
        <v>89</v>
      </c>
      <c r="D67" t="s">
        <v>997</v>
      </c>
      <c r="E67" s="6" t="s">
        <v>23</v>
      </c>
      <c r="F67" s="11">
        <v>3000</v>
      </c>
      <c r="G67">
        <v>3000</v>
      </c>
      <c r="H67">
        <v>5000</v>
      </c>
      <c r="I67" cm="1">
        <f t="array" ref="I67">_xlfn.IFS(F67=H67,1,F67=G67,0,F67&lt;&gt;G67,(F67-G67)/(G67))</f>
        <v>0</v>
      </c>
      <c r="J67" t="str">
        <f t="shared" ref="J67:J130" si="1">IF(ISERROR(I67),"Предупреждение",
IF(I67&lt;0,"Ниже минимума",
IF(I67=0,"Минимум",
IF(I67&lt;1,"В диапазоне",
IF(I67=1,"Максимум",
"Выше максимума")))))</f>
        <v>Минимум</v>
      </c>
    </row>
    <row r="68" spans="1:10" ht="16" x14ac:dyDescent="0.2">
      <c r="A68">
        <v>65</v>
      </c>
      <c r="B68" s="24">
        <v>46020</v>
      </c>
      <c r="C68" s="4" t="s">
        <v>91</v>
      </c>
      <c r="D68" t="s">
        <v>996</v>
      </c>
      <c r="E68" s="6" t="s">
        <v>83</v>
      </c>
      <c r="F68" s="11" t="s">
        <v>11</v>
      </c>
      <c r="G68">
        <v>500000</v>
      </c>
      <c r="H68">
        <v>700000</v>
      </c>
      <c r="I68" t="e" cm="1">
        <f t="array" ref="I68">_xlfn.IFS(F68=H68,1,F68=G68,0,F68&lt;&gt;G68,(F68-G68)/(G68))</f>
        <v>#VALUE!</v>
      </c>
      <c r="J68" t="str">
        <f t="shared" si="1"/>
        <v>Предупреждение</v>
      </c>
    </row>
    <row r="69" spans="1:10" ht="16" x14ac:dyDescent="0.2">
      <c r="A69">
        <v>66</v>
      </c>
      <c r="B69" s="24">
        <v>46014</v>
      </c>
      <c r="C69" s="4" t="s">
        <v>93</v>
      </c>
      <c r="D69" t="s">
        <v>997</v>
      </c>
      <c r="E69" s="6" t="s">
        <v>23</v>
      </c>
      <c r="F69" s="11">
        <v>3000</v>
      </c>
      <c r="G69">
        <v>3000</v>
      </c>
      <c r="H69">
        <v>5000</v>
      </c>
      <c r="I69" cm="1">
        <f t="array" ref="I69">_xlfn.IFS(F69=H69,1,F69=G69,0,F69&lt;&gt;G69,(F69-G69)/(G69))</f>
        <v>0</v>
      </c>
      <c r="J69" t="str">
        <f t="shared" si="1"/>
        <v>Минимум</v>
      </c>
    </row>
    <row r="70" spans="1:10" ht="16" x14ac:dyDescent="0.2">
      <c r="A70">
        <v>67</v>
      </c>
      <c r="B70" s="24">
        <v>46014</v>
      </c>
      <c r="C70" s="4" t="s">
        <v>95</v>
      </c>
      <c r="D70" t="s">
        <v>997</v>
      </c>
      <c r="E70" s="6" t="s">
        <v>23</v>
      </c>
      <c r="F70" s="11">
        <v>3000</v>
      </c>
      <c r="G70">
        <v>3000</v>
      </c>
      <c r="H70">
        <v>5000</v>
      </c>
      <c r="I70" cm="1">
        <f t="array" ref="I70">_xlfn.IFS(F70=H70,1,F70=G70,0,F70&lt;&gt;G70,(F70-G70)/(G70))</f>
        <v>0</v>
      </c>
      <c r="J70" t="str">
        <f t="shared" si="1"/>
        <v>Минимум</v>
      </c>
    </row>
    <row r="71" spans="1:10" ht="16" x14ac:dyDescent="0.2">
      <c r="A71">
        <v>68</v>
      </c>
      <c r="B71" s="24">
        <v>46014</v>
      </c>
      <c r="C71" s="4" t="s">
        <v>96</v>
      </c>
      <c r="D71" t="s">
        <v>997</v>
      </c>
      <c r="E71" s="6" t="s">
        <v>23</v>
      </c>
      <c r="F71" s="11">
        <v>30000</v>
      </c>
      <c r="G71">
        <v>3000</v>
      </c>
      <c r="H71">
        <v>5000</v>
      </c>
      <c r="I71" cm="1">
        <f t="array" ref="I71">_xlfn.IFS(F71=H71,1,F71=G71,0,F71&lt;&gt;G71,(F71-G71)/(G71))</f>
        <v>9</v>
      </c>
      <c r="J71" t="str">
        <f t="shared" si="1"/>
        <v>Выше максимума</v>
      </c>
    </row>
    <row r="72" spans="1:10" ht="32" x14ac:dyDescent="0.2">
      <c r="A72">
        <v>69</v>
      </c>
      <c r="B72" s="24">
        <v>46014</v>
      </c>
      <c r="C72" s="4" t="s">
        <v>98</v>
      </c>
      <c r="D72" t="s">
        <v>996</v>
      </c>
      <c r="E72" s="6" t="s">
        <v>72</v>
      </c>
      <c r="F72" s="11">
        <v>250000</v>
      </c>
      <c r="G72">
        <v>500000</v>
      </c>
      <c r="H72">
        <v>700000</v>
      </c>
      <c r="I72" cm="1">
        <f t="array" ref="I72">_xlfn.IFS(F72=H72,1,F72=G72,0,F72&lt;&gt;G72,(F72-G72)/(G72))</f>
        <v>-0.5</v>
      </c>
      <c r="J72" t="str">
        <f t="shared" si="1"/>
        <v>Ниже минимума</v>
      </c>
    </row>
    <row r="73" spans="1:10" ht="16" x14ac:dyDescent="0.2">
      <c r="A73">
        <v>70</v>
      </c>
      <c r="B73" s="24">
        <v>46014</v>
      </c>
      <c r="C73" s="4" t="s">
        <v>99</v>
      </c>
      <c r="D73" t="s">
        <v>996</v>
      </c>
      <c r="E73" s="6" t="s">
        <v>7</v>
      </c>
      <c r="F73" s="11">
        <v>700000</v>
      </c>
      <c r="G73">
        <v>700000</v>
      </c>
      <c r="H73">
        <v>1000000</v>
      </c>
      <c r="I73" cm="1">
        <f t="array" ref="I73">_xlfn.IFS(F73=H73,1,F73=G73,0,F73&lt;&gt;G73,(F73-G73)/(G73))</f>
        <v>0</v>
      </c>
      <c r="J73" t="str">
        <f t="shared" si="1"/>
        <v>Минимум</v>
      </c>
    </row>
    <row r="74" spans="1:10" ht="32" x14ac:dyDescent="0.2">
      <c r="A74">
        <v>71</v>
      </c>
      <c r="B74" s="24">
        <v>46014</v>
      </c>
      <c r="C74" s="4" t="s">
        <v>100</v>
      </c>
      <c r="D74" t="s">
        <v>996</v>
      </c>
      <c r="E74" s="6" t="s">
        <v>8</v>
      </c>
      <c r="F74" s="11">
        <v>150000</v>
      </c>
      <c r="G74">
        <v>300000</v>
      </c>
      <c r="H74">
        <v>500000</v>
      </c>
      <c r="I74" cm="1">
        <f t="array" ref="I74">_xlfn.IFS(F74=H74,1,F74=G74,0,F74&lt;&gt;G74,(F74-G74)/(G74))</f>
        <v>-0.5</v>
      </c>
      <c r="J74" t="str">
        <f t="shared" si="1"/>
        <v>Ниже минимума</v>
      </c>
    </row>
    <row r="75" spans="1:10" ht="32" x14ac:dyDescent="0.2">
      <c r="A75">
        <v>71</v>
      </c>
      <c r="B75" s="24">
        <v>46014</v>
      </c>
      <c r="C75" s="4" t="s">
        <v>100</v>
      </c>
      <c r="D75" t="s">
        <v>996</v>
      </c>
      <c r="E75" s="6" t="s">
        <v>7</v>
      </c>
      <c r="F75" s="11">
        <v>350000</v>
      </c>
      <c r="G75">
        <v>700000</v>
      </c>
      <c r="H75">
        <v>1000000</v>
      </c>
      <c r="I75" cm="1">
        <f t="array" ref="I75">_xlfn.IFS(F75=H75,1,F75=G75,0,F75&lt;&gt;G75,(F75-G75)/(G75))</f>
        <v>-0.5</v>
      </c>
      <c r="J75" t="str">
        <f t="shared" si="1"/>
        <v>Ниже минимума</v>
      </c>
    </row>
    <row r="76" spans="1:10" ht="16" x14ac:dyDescent="0.2">
      <c r="A76">
        <v>72</v>
      </c>
      <c r="B76" s="24">
        <v>46010</v>
      </c>
      <c r="C76" s="4" t="s">
        <v>102</v>
      </c>
      <c r="D76" t="s">
        <v>996</v>
      </c>
      <c r="E76" s="6" t="s">
        <v>23</v>
      </c>
      <c r="F76" s="11">
        <v>350000</v>
      </c>
      <c r="G76">
        <v>700000</v>
      </c>
      <c r="H76" t="s">
        <v>1002</v>
      </c>
      <c r="I76" cm="1">
        <f t="array" ref="I76">_xlfn.IFS(F76=H76,1,F76=G76,0,F76&lt;&gt;G76,(F76-G76)/(G76))</f>
        <v>-0.5</v>
      </c>
      <c r="J76" t="str">
        <f t="shared" si="1"/>
        <v>Ниже минимума</v>
      </c>
    </row>
    <row r="77" spans="1:10" ht="16" x14ac:dyDescent="0.2">
      <c r="A77">
        <v>73</v>
      </c>
      <c r="B77" s="24">
        <v>46010</v>
      </c>
      <c r="C77" s="4" t="s">
        <v>103</v>
      </c>
      <c r="D77" t="s">
        <v>997</v>
      </c>
      <c r="E77" s="6" t="s">
        <v>23</v>
      </c>
      <c r="F77" s="11">
        <v>3000</v>
      </c>
      <c r="G77">
        <v>3000</v>
      </c>
      <c r="H77">
        <v>5000</v>
      </c>
      <c r="I77" cm="1">
        <f t="array" ref="I77">_xlfn.IFS(F77=H77,1,F77=G77,0,F77&lt;&gt;G77,(F77-G77)/(G77))</f>
        <v>0</v>
      </c>
      <c r="J77" t="str">
        <f t="shared" si="1"/>
        <v>Минимум</v>
      </c>
    </row>
    <row r="78" spans="1:10" ht="16" x14ac:dyDescent="0.2">
      <c r="A78">
        <v>74</v>
      </c>
      <c r="B78" s="24">
        <v>46010</v>
      </c>
      <c r="C78" s="4" t="s">
        <v>104</v>
      </c>
      <c r="D78" t="s">
        <v>997</v>
      </c>
      <c r="E78" s="6" t="s">
        <v>23</v>
      </c>
      <c r="F78" s="11">
        <v>3000</v>
      </c>
      <c r="G78">
        <v>3000</v>
      </c>
      <c r="H78">
        <v>5000</v>
      </c>
      <c r="I78" cm="1">
        <f t="array" ref="I78">_xlfn.IFS(F78=H78,1,F78=G78,0,F78&lt;&gt;G78,(F78-G78)/(G78))</f>
        <v>0</v>
      </c>
      <c r="J78" t="str">
        <f t="shared" si="1"/>
        <v>Минимум</v>
      </c>
    </row>
    <row r="79" spans="1:10" ht="64" x14ac:dyDescent="0.2">
      <c r="A79">
        <v>75</v>
      </c>
      <c r="B79" s="24">
        <v>46010</v>
      </c>
      <c r="C79" s="4" t="s">
        <v>105</v>
      </c>
      <c r="D79" t="s">
        <v>996</v>
      </c>
      <c r="E79" s="6" t="s">
        <v>8</v>
      </c>
      <c r="F79" s="11" t="s">
        <v>11</v>
      </c>
      <c r="G79">
        <v>300000</v>
      </c>
      <c r="H79">
        <v>500000</v>
      </c>
      <c r="I79" t="e" cm="1">
        <f t="array" ref="I79">_xlfn.IFS(F79=H79,1,F79=G79,0,F79&lt;&gt;G79,(F79-G79)/(G79))</f>
        <v>#VALUE!</v>
      </c>
      <c r="J79" t="str">
        <f t="shared" si="1"/>
        <v>Предупреждение</v>
      </c>
    </row>
    <row r="80" spans="1:10" ht="16" x14ac:dyDescent="0.2">
      <c r="A80">
        <v>76</v>
      </c>
      <c r="B80" s="24">
        <v>46007</v>
      </c>
      <c r="C80" s="4" t="s">
        <v>106</v>
      </c>
      <c r="D80" t="s">
        <v>996</v>
      </c>
      <c r="E80" s="6" t="s">
        <v>23</v>
      </c>
      <c r="F80" s="11">
        <v>350000</v>
      </c>
      <c r="G80">
        <v>700000</v>
      </c>
      <c r="H80" t="s">
        <v>1002</v>
      </c>
      <c r="I80" cm="1">
        <f t="array" ref="I80">_xlfn.IFS(F80=H80,1,F80=G80,0,F80&lt;&gt;G80,(F80-G80)/(G80))</f>
        <v>-0.5</v>
      </c>
      <c r="J80" t="str">
        <f t="shared" si="1"/>
        <v>Ниже минимума</v>
      </c>
    </row>
    <row r="81" spans="1:10" ht="16" x14ac:dyDescent="0.2">
      <c r="A81">
        <v>77</v>
      </c>
      <c r="B81" s="24">
        <v>46007</v>
      </c>
      <c r="C81" s="4" t="s">
        <v>107</v>
      </c>
      <c r="D81" t="s">
        <v>996</v>
      </c>
      <c r="E81" s="6" t="s">
        <v>108</v>
      </c>
      <c r="F81" s="11">
        <v>500000</v>
      </c>
      <c r="G81">
        <v>500000</v>
      </c>
      <c r="H81">
        <v>700000</v>
      </c>
      <c r="I81" cm="1">
        <f t="array" ref="I81">_xlfn.IFS(F81=H81,1,F81=G81,0,F81&lt;&gt;G81,(F81-G81)/(G81))</f>
        <v>0</v>
      </c>
      <c r="J81" t="str">
        <f t="shared" si="1"/>
        <v>Минимум</v>
      </c>
    </row>
    <row r="82" spans="1:10" ht="32" x14ac:dyDescent="0.2">
      <c r="A82">
        <v>78</v>
      </c>
      <c r="B82" s="24">
        <v>46007</v>
      </c>
      <c r="C82" s="4" t="s">
        <v>109</v>
      </c>
      <c r="D82" t="s">
        <v>996</v>
      </c>
      <c r="E82" s="6" t="s">
        <v>75</v>
      </c>
      <c r="F82" s="11">
        <v>500000</v>
      </c>
      <c r="G82">
        <v>500000</v>
      </c>
      <c r="H82">
        <v>700000</v>
      </c>
      <c r="I82" cm="1">
        <f t="array" ref="I82">_xlfn.IFS(F82=H82,1,F82=G82,0,F82&lt;&gt;G82,(F82-G82)/(G82))</f>
        <v>0</v>
      </c>
      <c r="J82" t="str">
        <f t="shared" si="1"/>
        <v>Минимум</v>
      </c>
    </row>
    <row r="83" spans="1:10" ht="32" x14ac:dyDescent="0.2">
      <c r="A83">
        <v>79</v>
      </c>
      <c r="B83" s="24">
        <v>46007</v>
      </c>
      <c r="C83" s="4" t="s">
        <v>110</v>
      </c>
      <c r="D83" t="s">
        <v>996</v>
      </c>
      <c r="E83" s="6" t="s">
        <v>83</v>
      </c>
      <c r="F83" s="11" t="s">
        <v>11</v>
      </c>
      <c r="G83">
        <v>500000</v>
      </c>
      <c r="H83">
        <v>700000</v>
      </c>
      <c r="I83" t="e" cm="1">
        <f t="array" ref="I83">_xlfn.IFS(F83=H83,1,F83=G83,0,F83&lt;&gt;G83,(F83-G83)/(G83))</f>
        <v>#VALUE!</v>
      </c>
      <c r="J83" t="str">
        <f t="shared" si="1"/>
        <v>Предупреждение</v>
      </c>
    </row>
    <row r="84" spans="1:10" ht="48" x14ac:dyDescent="0.2">
      <c r="A84">
        <v>80</v>
      </c>
      <c r="B84" s="24">
        <v>46006</v>
      </c>
      <c r="C84" s="4" t="s">
        <v>112</v>
      </c>
      <c r="D84" t="s">
        <v>996</v>
      </c>
      <c r="E84" s="6" t="s">
        <v>8</v>
      </c>
      <c r="F84" s="11" t="s">
        <v>11</v>
      </c>
      <c r="G84">
        <v>300000</v>
      </c>
      <c r="H84">
        <v>500000</v>
      </c>
      <c r="I84" t="e" cm="1">
        <f t="array" ref="I84">_xlfn.IFS(F84=H84,1,F84=G84,0,F84&lt;&gt;G84,(F84-G84)/(G84))</f>
        <v>#VALUE!</v>
      </c>
      <c r="J84" t="str">
        <f t="shared" si="1"/>
        <v>Предупреждение</v>
      </c>
    </row>
    <row r="85" spans="1:10" ht="16" x14ac:dyDescent="0.2">
      <c r="A85">
        <v>81</v>
      </c>
      <c r="B85" s="24">
        <v>46003</v>
      </c>
      <c r="C85" s="4" t="s">
        <v>113</v>
      </c>
      <c r="D85" t="s">
        <v>997</v>
      </c>
      <c r="E85" s="6" t="s">
        <v>23</v>
      </c>
      <c r="F85" s="11">
        <v>3000</v>
      </c>
      <c r="G85">
        <v>3000</v>
      </c>
      <c r="H85">
        <v>5000</v>
      </c>
      <c r="I85" cm="1">
        <f t="array" ref="I85">_xlfn.IFS(F85=H85,1,F85=G85,0,F85&lt;&gt;G85,(F85-G85)/(G85))</f>
        <v>0</v>
      </c>
      <c r="J85" t="str">
        <f t="shared" si="1"/>
        <v>Минимум</v>
      </c>
    </row>
    <row r="86" spans="1:10" ht="16" x14ac:dyDescent="0.2">
      <c r="A86">
        <v>82</v>
      </c>
      <c r="B86" s="24">
        <v>46002</v>
      </c>
      <c r="C86" s="4" t="s">
        <v>115</v>
      </c>
      <c r="D86" t="s">
        <v>997</v>
      </c>
      <c r="E86" s="6" t="s">
        <v>23</v>
      </c>
      <c r="F86" s="11">
        <v>3000</v>
      </c>
      <c r="G86">
        <v>3000</v>
      </c>
      <c r="H86">
        <v>5000</v>
      </c>
      <c r="I86" cm="1">
        <f t="array" ref="I86">_xlfn.IFS(F86=H86,1,F86=G86,0,F86&lt;&gt;G86,(F86-G86)/(G86))</f>
        <v>0</v>
      </c>
      <c r="J86" t="str">
        <f t="shared" si="1"/>
        <v>Минимум</v>
      </c>
    </row>
    <row r="87" spans="1:10" ht="16" x14ac:dyDescent="0.2">
      <c r="A87">
        <v>83</v>
      </c>
      <c r="B87" s="24">
        <v>46001</v>
      </c>
      <c r="C87" s="4" t="s">
        <v>118</v>
      </c>
      <c r="D87" t="s">
        <v>997</v>
      </c>
      <c r="E87" s="6" t="s">
        <v>23</v>
      </c>
      <c r="F87" s="11">
        <v>3000</v>
      </c>
      <c r="G87">
        <v>3000</v>
      </c>
      <c r="H87">
        <v>5000</v>
      </c>
      <c r="I87" cm="1">
        <f t="array" ref="I87">_xlfn.IFS(F87=H87,1,F87=G87,0,F87&lt;&gt;G87,(F87-G87)/(G87))</f>
        <v>0</v>
      </c>
      <c r="J87" t="str">
        <f t="shared" si="1"/>
        <v>Минимум</v>
      </c>
    </row>
    <row r="88" spans="1:10" ht="16" x14ac:dyDescent="0.2">
      <c r="A88">
        <v>84</v>
      </c>
      <c r="B88" s="24">
        <v>46000</v>
      </c>
      <c r="C88" s="4" t="s">
        <v>120</v>
      </c>
      <c r="D88" t="s">
        <v>996</v>
      </c>
      <c r="E88" s="6" t="s">
        <v>8</v>
      </c>
      <c r="F88" s="11" t="s">
        <v>11</v>
      </c>
      <c r="G88">
        <v>300000</v>
      </c>
      <c r="H88">
        <v>500000</v>
      </c>
      <c r="I88" t="e" cm="1">
        <f t="array" ref="I88">_xlfn.IFS(F88=H88,1,F88=G88,0,F88&lt;&gt;G88,(F88-G88)/(G88))</f>
        <v>#VALUE!</v>
      </c>
      <c r="J88" t="str">
        <f t="shared" si="1"/>
        <v>Предупреждение</v>
      </c>
    </row>
    <row r="89" spans="1:10" ht="16" x14ac:dyDescent="0.2">
      <c r="A89">
        <v>85</v>
      </c>
      <c r="B89" s="24">
        <v>45999</v>
      </c>
      <c r="C89" s="4" t="s">
        <v>122</v>
      </c>
      <c r="D89" t="s">
        <v>997</v>
      </c>
      <c r="E89" s="6" t="s">
        <v>23</v>
      </c>
      <c r="F89" s="11">
        <v>3000</v>
      </c>
      <c r="G89">
        <v>3000</v>
      </c>
      <c r="H89">
        <v>5000</v>
      </c>
      <c r="I89" cm="1">
        <f t="array" ref="I89">_xlfn.IFS(F89=H89,1,F89=G89,0,F89&lt;&gt;G89,(F89-G89)/(G89))</f>
        <v>0</v>
      </c>
      <c r="J89" t="str">
        <f t="shared" si="1"/>
        <v>Минимум</v>
      </c>
    </row>
    <row r="90" spans="1:10" ht="16" x14ac:dyDescent="0.2">
      <c r="A90">
        <v>86</v>
      </c>
      <c r="B90" s="24">
        <v>45999</v>
      </c>
      <c r="C90" s="4" t="s">
        <v>124</v>
      </c>
      <c r="D90" t="s">
        <v>997</v>
      </c>
      <c r="E90" s="6" t="s">
        <v>23</v>
      </c>
      <c r="F90" s="11">
        <v>3000</v>
      </c>
      <c r="G90">
        <v>3000</v>
      </c>
      <c r="H90">
        <v>5000</v>
      </c>
      <c r="I90" cm="1">
        <f t="array" ref="I90">_xlfn.IFS(F90=H90,1,F90=G90,0,F90&lt;&gt;G90,(F90-G90)/(G90))</f>
        <v>0</v>
      </c>
      <c r="J90" t="str">
        <f t="shared" si="1"/>
        <v>Минимум</v>
      </c>
    </row>
    <row r="91" spans="1:10" ht="16" x14ac:dyDescent="0.2">
      <c r="A91">
        <v>87</v>
      </c>
      <c r="B91" s="24">
        <v>45996</v>
      </c>
      <c r="C91" s="4" t="s">
        <v>125</v>
      </c>
      <c r="D91" t="s">
        <v>996</v>
      </c>
      <c r="E91" s="6" t="s">
        <v>5</v>
      </c>
      <c r="F91" s="11">
        <v>700000</v>
      </c>
      <c r="G91">
        <v>700000</v>
      </c>
      <c r="H91">
        <v>1000000</v>
      </c>
      <c r="I91" cm="1">
        <f t="array" ref="I91">_xlfn.IFS(F91=H91,1,F91=G91,0,F91&lt;&gt;G91,(F91-G91)/(G91))</f>
        <v>0</v>
      </c>
      <c r="J91" t="str">
        <f t="shared" si="1"/>
        <v>Минимум</v>
      </c>
    </row>
    <row r="92" spans="1:10" ht="32" x14ac:dyDescent="0.2">
      <c r="A92">
        <v>88</v>
      </c>
      <c r="B92" s="24">
        <v>45996</v>
      </c>
      <c r="C92" s="4" t="s">
        <v>126</v>
      </c>
      <c r="D92" t="s">
        <v>996</v>
      </c>
      <c r="E92" s="6" t="s">
        <v>5</v>
      </c>
      <c r="F92" s="11">
        <v>700000</v>
      </c>
      <c r="G92">
        <v>700000</v>
      </c>
      <c r="H92">
        <v>1000000</v>
      </c>
      <c r="I92" cm="1">
        <f t="array" ref="I92">_xlfn.IFS(F92=H92,1,F92=G92,0,F92&lt;&gt;G92,(F92-G92)/(G92))</f>
        <v>0</v>
      </c>
      <c r="J92" t="str">
        <f t="shared" si="1"/>
        <v>Минимум</v>
      </c>
    </row>
    <row r="93" spans="1:10" ht="16" x14ac:dyDescent="0.2">
      <c r="A93">
        <v>89</v>
      </c>
      <c r="B93" s="24">
        <v>45993</v>
      </c>
      <c r="C93" s="4" t="s">
        <v>82</v>
      </c>
      <c r="D93" t="s">
        <v>996</v>
      </c>
      <c r="E93" s="6" t="s">
        <v>80</v>
      </c>
      <c r="F93" s="11">
        <v>700000</v>
      </c>
      <c r="G93">
        <v>700000</v>
      </c>
      <c r="H93">
        <v>1000000</v>
      </c>
      <c r="I93" cm="1">
        <f t="array" ref="I93">_xlfn.IFS(F93=H93,1,F93=G93,0,F93&lt;&gt;G93,(F93-G93)/(G93))</f>
        <v>0</v>
      </c>
      <c r="J93" t="str">
        <f t="shared" si="1"/>
        <v>Минимум</v>
      </c>
    </row>
    <row r="94" spans="1:10" ht="16" x14ac:dyDescent="0.2">
      <c r="A94">
        <v>90</v>
      </c>
      <c r="B94" s="24">
        <v>45989</v>
      </c>
      <c r="C94" s="4" t="s">
        <v>128</v>
      </c>
      <c r="D94" t="s">
        <v>996</v>
      </c>
      <c r="E94" s="6" t="s">
        <v>129</v>
      </c>
      <c r="F94" s="11">
        <v>10000</v>
      </c>
      <c r="G94">
        <v>10000</v>
      </c>
      <c r="H94">
        <v>20000</v>
      </c>
      <c r="I94" cm="1">
        <f t="array" ref="I94">_xlfn.IFS(F94=H94,1,F94=G94,0,F94&lt;&gt;G94,(F94-G94)/(G94))</f>
        <v>0</v>
      </c>
      <c r="J94" t="str">
        <f t="shared" si="1"/>
        <v>Минимум</v>
      </c>
    </row>
    <row r="95" spans="1:10" ht="16" x14ac:dyDescent="0.2">
      <c r="A95">
        <v>91</v>
      </c>
      <c r="B95" s="24">
        <v>45986</v>
      </c>
      <c r="C95" s="4" t="s">
        <v>82</v>
      </c>
      <c r="D95" t="s">
        <v>996</v>
      </c>
      <c r="E95" s="6" t="s">
        <v>75</v>
      </c>
      <c r="F95" s="11">
        <v>700000</v>
      </c>
      <c r="G95">
        <v>500000</v>
      </c>
      <c r="H95">
        <v>700000</v>
      </c>
      <c r="I95" cm="1">
        <f t="array" ref="I95">_xlfn.IFS(F95=H95,1,F95=G95,0,F95&lt;&gt;G95,(F95-G95)/(G95))</f>
        <v>1</v>
      </c>
      <c r="J95" t="str">
        <f t="shared" si="1"/>
        <v>Максимум</v>
      </c>
    </row>
    <row r="96" spans="1:10" ht="16" x14ac:dyDescent="0.2">
      <c r="A96">
        <v>92</v>
      </c>
      <c r="B96" s="24">
        <v>45986</v>
      </c>
      <c r="C96" s="4" t="s">
        <v>131</v>
      </c>
      <c r="D96" t="s">
        <v>996</v>
      </c>
      <c r="E96" s="6" t="s">
        <v>80</v>
      </c>
      <c r="F96" s="11">
        <v>700000</v>
      </c>
      <c r="G96">
        <v>700000</v>
      </c>
      <c r="H96">
        <v>1000000</v>
      </c>
      <c r="I96" cm="1">
        <f t="array" ref="I96">_xlfn.IFS(F96=H96,1,F96=G96,0,F96&lt;&gt;G96,(F96-G96)/(G96))</f>
        <v>0</v>
      </c>
      <c r="J96" t="str">
        <f t="shared" si="1"/>
        <v>Минимум</v>
      </c>
    </row>
    <row r="97" spans="1:10" ht="16" x14ac:dyDescent="0.2">
      <c r="A97">
        <v>93</v>
      </c>
      <c r="B97" s="24">
        <v>45986</v>
      </c>
      <c r="C97" s="4" t="s">
        <v>132</v>
      </c>
      <c r="D97" t="s">
        <v>996</v>
      </c>
      <c r="E97" s="6" t="s">
        <v>80</v>
      </c>
      <c r="F97" s="11">
        <v>700000</v>
      </c>
      <c r="G97">
        <v>700000</v>
      </c>
      <c r="H97">
        <v>1000000</v>
      </c>
      <c r="I97" cm="1">
        <f t="array" ref="I97">_xlfn.IFS(F97=H97,1,F97=G97,0,F97&lt;&gt;G97,(F97-G97)/(G97))</f>
        <v>0</v>
      </c>
      <c r="J97" t="str">
        <f t="shared" si="1"/>
        <v>Минимум</v>
      </c>
    </row>
    <row r="98" spans="1:10" ht="32" x14ac:dyDescent="0.2">
      <c r="A98">
        <v>94</v>
      </c>
      <c r="B98" s="24">
        <v>45986</v>
      </c>
      <c r="C98" s="4" t="s">
        <v>133</v>
      </c>
      <c r="D98" t="s">
        <v>996</v>
      </c>
      <c r="E98" s="6" t="s">
        <v>8</v>
      </c>
      <c r="F98" s="11">
        <v>160000</v>
      </c>
      <c r="G98">
        <v>300000</v>
      </c>
      <c r="H98">
        <v>500000</v>
      </c>
      <c r="I98" cm="1">
        <f t="array" ref="I98">_xlfn.IFS(F98=H98,1,F98=G98,0,F98&lt;&gt;G98,(F98-G98)/(G98))</f>
        <v>-0.46666666666666667</v>
      </c>
      <c r="J98" t="str">
        <f t="shared" si="1"/>
        <v>Ниже минимума</v>
      </c>
    </row>
    <row r="99" spans="1:10" ht="16" x14ac:dyDescent="0.2">
      <c r="A99">
        <v>95</v>
      </c>
      <c r="B99" s="24">
        <v>45985</v>
      </c>
      <c r="C99" s="4" t="s">
        <v>135</v>
      </c>
      <c r="D99" t="s">
        <v>997</v>
      </c>
      <c r="E99" s="6" t="s">
        <v>23</v>
      </c>
      <c r="F99" s="11">
        <v>3000</v>
      </c>
      <c r="G99">
        <v>3000</v>
      </c>
      <c r="H99">
        <v>5000</v>
      </c>
      <c r="I99" cm="1">
        <f t="array" ref="I99">_xlfn.IFS(F99=H99,1,F99=G99,0,F99&lt;&gt;G99,(F99-G99)/(G99))</f>
        <v>0</v>
      </c>
      <c r="J99" t="str">
        <f t="shared" si="1"/>
        <v>Минимум</v>
      </c>
    </row>
    <row r="100" spans="1:10" ht="16" x14ac:dyDescent="0.2">
      <c r="A100">
        <v>96</v>
      </c>
      <c r="B100" s="24">
        <v>45985</v>
      </c>
      <c r="C100" s="4" t="s">
        <v>137</v>
      </c>
      <c r="D100" t="s">
        <v>997</v>
      </c>
      <c r="E100" s="6" t="s">
        <v>23</v>
      </c>
      <c r="F100" s="11">
        <v>3000</v>
      </c>
      <c r="G100">
        <v>3000</v>
      </c>
      <c r="H100">
        <v>5000</v>
      </c>
      <c r="I100" cm="1">
        <f t="array" ref="I100">_xlfn.IFS(F100=H100,1,F100=G100,0,F100&lt;&gt;G100,(F100-G100)/(G100))</f>
        <v>0</v>
      </c>
      <c r="J100" t="str">
        <f t="shared" si="1"/>
        <v>Минимум</v>
      </c>
    </row>
    <row r="101" spans="1:10" ht="16" x14ac:dyDescent="0.2">
      <c r="A101">
        <v>97</v>
      </c>
      <c r="B101" s="24">
        <v>45985</v>
      </c>
      <c r="C101" s="4" t="s">
        <v>139</v>
      </c>
      <c r="D101" t="s">
        <v>996</v>
      </c>
      <c r="E101" s="6" t="s">
        <v>8</v>
      </c>
      <c r="F101" s="11" t="s">
        <v>11</v>
      </c>
      <c r="G101">
        <v>300000</v>
      </c>
      <c r="H101">
        <v>500000</v>
      </c>
      <c r="I101" t="e" cm="1">
        <f t="array" ref="I101">_xlfn.IFS(F101=H101,1,F101=G101,0,F101&lt;&gt;G101,(F101-G101)/(G101))</f>
        <v>#VALUE!</v>
      </c>
      <c r="J101" t="str">
        <f t="shared" si="1"/>
        <v>Предупреждение</v>
      </c>
    </row>
    <row r="102" spans="1:10" ht="16" x14ac:dyDescent="0.2">
      <c r="A102">
        <v>98</v>
      </c>
      <c r="B102" s="24">
        <v>45985</v>
      </c>
      <c r="C102" s="4" t="s">
        <v>140</v>
      </c>
      <c r="D102" t="s">
        <v>996</v>
      </c>
      <c r="E102" s="6" t="s">
        <v>80</v>
      </c>
      <c r="F102" s="11">
        <v>350000</v>
      </c>
      <c r="G102">
        <v>700000</v>
      </c>
      <c r="H102">
        <v>1000000</v>
      </c>
      <c r="I102" cm="1">
        <f t="array" ref="I102">_xlfn.IFS(F102=H102,1,F102=G102,0,F102&lt;&gt;G102,(F102-G102)/(G102))</f>
        <v>-0.5</v>
      </c>
      <c r="J102" t="str">
        <f t="shared" si="1"/>
        <v>Ниже минимума</v>
      </c>
    </row>
    <row r="103" spans="1:10" ht="16" x14ac:dyDescent="0.2">
      <c r="A103">
        <v>98</v>
      </c>
      <c r="B103" s="24">
        <v>45985</v>
      </c>
      <c r="C103" s="4" t="s">
        <v>140</v>
      </c>
      <c r="D103" t="s">
        <v>996</v>
      </c>
      <c r="E103" s="6" t="s">
        <v>80</v>
      </c>
      <c r="F103" s="11">
        <v>350000</v>
      </c>
      <c r="G103">
        <v>700000</v>
      </c>
      <c r="H103">
        <v>1000000</v>
      </c>
      <c r="I103" cm="1">
        <f t="array" ref="I103">_xlfn.IFS(F103=H103,1,F103=G103,0,F103&lt;&gt;G103,(F103-G103)/(G103))</f>
        <v>-0.5</v>
      </c>
      <c r="J103" t="str">
        <f t="shared" si="1"/>
        <v>Ниже минимума</v>
      </c>
    </row>
    <row r="104" spans="1:10" ht="16" x14ac:dyDescent="0.2">
      <c r="A104">
        <v>99</v>
      </c>
      <c r="B104" s="24">
        <v>45983</v>
      </c>
      <c r="C104" s="4" t="s">
        <v>141</v>
      </c>
      <c r="D104" t="s">
        <v>996</v>
      </c>
      <c r="E104" s="6" t="s">
        <v>75</v>
      </c>
      <c r="F104" s="11" t="s">
        <v>11</v>
      </c>
      <c r="G104">
        <v>500000</v>
      </c>
      <c r="H104">
        <v>700000</v>
      </c>
      <c r="I104" t="e" cm="1">
        <f t="array" ref="I104">_xlfn.IFS(F104=H104,1,F104=G104,0,F104&lt;&gt;G104,(F104-G104)/(G104))</f>
        <v>#VALUE!</v>
      </c>
      <c r="J104" t="str">
        <f t="shared" si="1"/>
        <v>Предупреждение</v>
      </c>
    </row>
    <row r="105" spans="1:10" ht="32" x14ac:dyDescent="0.2">
      <c r="A105">
        <v>100</v>
      </c>
      <c r="B105" s="24">
        <v>45982</v>
      </c>
      <c r="C105" s="4" t="s">
        <v>143</v>
      </c>
      <c r="D105" t="s">
        <v>996</v>
      </c>
      <c r="E105" s="6" t="s">
        <v>72</v>
      </c>
      <c r="F105" s="11">
        <v>250000</v>
      </c>
      <c r="G105">
        <v>500000</v>
      </c>
      <c r="H105">
        <v>700000</v>
      </c>
      <c r="I105" cm="1">
        <f t="array" ref="I105">_xlfn.IFS(F105=H105,1,F105=G105,0,F105&lt;&gt;G105,(F105-G105)/(G105))</f>
        <v>-0.5</v>
      </c>
      <c r="J105" t="str">
        <f t="shared" si="1"/>
        <v>Ниже минимума</v>
      </c>
    </row>
    <row r="106" spans="1:10" ht="16" x14ac:dyDescent="0.2">
      <c r="A106">
        <v>101</v>
      </c>
      <c r="B106" s="24">
        <v>45982</v>
      </c>
      <c r="C106" s="4" t="s">
        <v>144</v>
      </c>
      <c r="D106" t="s">
        <v>996</v>
      </c>
      <c r="E106" s="6" t="s">
        <v>5</v>
      </c>
      <c r="F106" s="11">
        <v>700000</v>
      </c>
      <c r="G106">
        <v>700000</v>
      </c>
      <c r="H106">
        <v>1000000</v>
      </c>
      <c r="I106" cm="1">
        <f t="array" ref="I106">_xlfn.IFS(F106=H106,1,F106=G106,0,F106&lt;&gt;G106,(F106-G106)/(G106))</f>
        <v>0</v>
      </c>
      <c r="J106" t="str">
        <f t="shared" si="1"/>
        <v>Минимум</v>
      </c>
    </row>
    <row r="107" spans="1:10" ht="16" x14ac:dyDescent="0.2">
      <c r="A107">
        <v>102</v>
      </c>
      <c r="B107" s="24">
        <v>45979</v>
      </c>
      <c r="C107" s="4" t="s">
        <v>145</v>
      </c>
      <c r="D107" t="s">
        <v>997</v>
      </c>
      <c r="E107" s="6" t="s">
        <v>23</v>
      </c>
      <c r="F107" s="11">
        <v>3000</v>
      </c>
      <c r="G107">
        <v>3000</v>
      </c>
      <c r="H107">
        <v>5000</v>
      </c>
      <c r="I107" cm="1">
        <f t="array" ref="I107">_xlfn.IFS(F107=H107,1,F107=G107,0,F107&lt;&gt;G107,(F107-G107)/(G107))</f>
        <v>0</v>
      </c>
      <c r="J107" t="str">
        <f t="shared" si="1"/>
        <v>Минимум</v>
      </c>
    </row>
    <row r="108" spans="1:10" ht="16" x14ac:dyDescent="0.2">
      <c r="A108">
        <v>103</v>
      </c>
      <c r="B108" s="24">
        <v>45979</v>
      </c>
      <c r="C108" s="4" t="s">
        <v>146</v>
      </c>
      <c r="D108" t="s">
        <v>997</v>
      </c>
      <c r="E108" s="6" t="s">
        <v>23</v>
      </c>
      <c r="F108" s="11">
        <v>3000</v>
      </c>
      <c r="G108">
        <v>3000</v>
      </c>
      <c r="H108">
        <v>5000</v>
      </c>
      <c r="I108" cm="1">
        <f t="array" ref="I108">_xlfn.IFS(F108=H108,1,F108=G108,0,F108&lt;&gt;G108,(F108-G108)/(G108))</f>
        <v>0</v>
      </c>
      <c r="J108" t="str">
        <f t="shared" si="1"/>
        <v>Минимум</v>
      </c>
    </row>
    <row r="109" spans="1:10" ht="16" x14ac:dyDescent="0.2">
      <c r="A109">
        <v>104</v>
      </c>
      <c r="B109" s="24">
        <v>45979</v>
      </c>
      <c r="C109" s="4" t="s">
        <v>147</v>
      </c>
      <c r="D109" t="s">
        <v>997</v>
      </c>
      <c r="E109" s="6" t="s">
        <v>23</v>
      </c>
      <c r="F109" s="11">
        <v>3000</v>
      </c>
      <c r="G109">
        <v>3000</v>
      </c>
      <c r="H109">
        <v>5000</v>
      </c>
      <c r="I109" cm="1">
        <f t="array" ref="I109">_xlfn.IFS(F109=H109,1,F109=G109,0,F109&lt;&gt;G109,(F109-G109)/(G109))</f>
        <v>0</v>
      </c>
      <c r="J109" t="str">
        <f t="shared" si="1"/>
        <v>Минимум</v>
      </c>
    </row>
    <row r="110" spans="1:10" ht="16" x14ac:dyDescent="0.2">
      <c r="A110">
        <v>105</v>
      </c>
      <c r="B110" s="24">
        <v>45979</v>
      </c>
      <c r="C110" s="4" t="s">
        <v>148</v>
      </c>
      <c r="D110" t="s">
        <v>997</v>
      </c>
      <c r="E110" s="6" t="s">
        <v>23</v>
      </c>
      <c r="F110" s="11">
        <v>3000</v>
      </c>
      <c r="G110">
        <v>3000</v>
      </c>
      <c r="H110">
        <v>5000</v>
      </c>
      <c r="I110" cm="1">
        <f t="array" ref="I110">_xlfn.IFS(F110=H110,1,F110=G110,0,F110&lt;&gt;G110,(F110-G110)/(G110))</f>
        <v>0</v>
      </c>
      <c r="J110" t="str">
        <f t="shared" si="1"/>
        <v>Минимум</v>
      </c>
    </row>
    <row r="111" spans="1:10" ht="16" x14ac:dyDescent="0.2">
      <c r="A111">
        <v>106</v>
      </c>
      <c r="B111" s="24">
        <v>45979</v>
      </c>
      <c r="C111" s="4" t="s">
        <v>149</v>
      </c>
      <c r="D111" t="s">
        <v>997</v>
      </c>
      <c r="E111" s="6" t="s">
        <v>23</v>
      </c>
      <c r="F111" s="11">
        <v>3000</v>
      </c>
      <c r="G111">
        <v>3000</v>
      </c>
      <c r="H111">
        <v>5000</v>
      </c>
      <c r="I111" cm="1">
        <f t="array" ref="I111">_xlfn.IFS(F111=H111,1,F111=G111,0,F111&lt;&gt;G111,(F111-G111)/(G111))</f>
        <v>0</v>
      </c>
      <c r="J111" t="str">
        <f t="shared" si="1"/>
        <v>Минимум</v>
      </c>
    </row>
    <row r="112" spans="1:10" ht="16" x14ac:dyDescent="0.2">
      <c r="A112">
        <v>107</v>
      </c>
      <c r="B112" s="24">
        <v>45979</v>
      </c>
      <c r="C112" s="4" t="s">
        <v>150</v>
      </c>
      <c r="D112" t="s">
        <v>997</v>
      </c>
      <c r="E112" s="6" t="s">
        <v>23</v>
      </c>
      <c r="F112" s="11">
        <v>3000</v>
      </c>
      <c r="G112">
        <v>3000</v>
      </c>
      <c r="H112">
        <v>5000</v>
      </c>
      <c r="I112" cm="1">
        <f t="array" ref="I112">_xlfn.IFS(F112=H112,1,F112=G112,0,F112&lt;&gt;G112,(F112-G112)/(G112))</f>
        <v>0</v>
      </c>
      <c r="J112" t="str">
        <f t="shared" si="1"/>
        <v>Минимум</v>
      </c>
    </row>
    <row r="113" spans="1:10" ht="16" x14ac:dyDescent="0.2">
      <c r="A113">
        <v>108</v>
      </c>
      <c r="B113" s="24">
        <v>45979</v>
      </c>
      <c r="C113" s="4" t="s">
        <v>151</v>
      </c>
      <c r="D113" t="s">
        <v>997</v>
      </c>
      <c r="E113" s="6" t="s">
        <v>23</v>
      </c>
      <c r="F113" s="11">
        <v>3000</v>
      </c>
      <c r="G113">
        <v>3000</v>
      </c>
      <c r="H113">
        <v>5000</v>
      </c>
      <c r="I113" cm="1">
        <f t="array" ref="I113">_xlfn.IFS(F113=H113,1,F113=G113,0,F113&lt;&gt;G113,(F113-G113)/(G113))</f>
        <v>0</v>
      </c>
      <c r="J113" t="str">
        <f t="shared" si="1"/>
        <v>Минимум</v>
      </c>
    </row>
    <row r="114" spans="1:10" ht="16" x14ac:dyDescent="0.2">
      <c r="A114">
        <v>109</v>
      </c>
      <c r="B114" s="24">
        <v>45975</v>
      </c>
      <c r="C114" s="4" t="s">
        <v>153</v>
      </c>
      <c r="D114" t="s">
        <v>997</v>
      </c>
      <c r="E114" s="6" t="s">
        <v>23</v>
      </c>
      <c r="F114" s="11">
        <v>3000</v>
      </c>
      <c r="G114">
        <v>3000</v>
      </c>
      <c r="H114">
        <v>5000</v>
      </c>
      <c r="I114" cm="1">
        <f t="array" ref="I114">_xlfn.IFS(F114=H114,1,F114=G114,0,F114&lt;&gt;G114,(F114-G114)/(G114))</f>
        <v>0</v>
      </c>
      <c r="J114" t="str">
        <f t="shared" si="1"/>
        <v>Минимум</v>
      </c>
    </row>
    <row r="115" spans="1:10" ht="16" x14ac:dyDescent="0.2">
      <c r="A115">
        <v>110</v>
      </c>
      <c r="B115" s="24">
        <v>45975</v>
      </c>
      <c r="C115" s="4" t="s">
        <v>155</v>
      </c>
      <c r="D115" t="s">
        <v>997</v>
      </c>
      <c r="E115" s="6" t="s">
        <v>23</v>
      </c>
      <c r="F115" s="11">
        <v>3000</v>
      </c>
      <c r="G115">
        <v>3000</v>
      </c>
      <c r="H115">
        <v>5000</v>
      </c>
      <c r="I115" cm="1">
        <f t="array" ref="I115">_xlfn.IFS(F115=H115,1,F115=G115,0,F115&lt;&gt;G115,(F115-G115)/(G115))</f>
        <v>0</v>
      </c>
      <c r="J115" t="str">
        <f t="shared" si="1"/>
        <v>Минимум</v>
      </c>
    </row>
    <row r="116" spans="1:10" ht="16" x14ac:dyDescent="0.2">
      <c r="A116">
        <v>111</v>
      </c>
      <c r="B116" s="24">
        <v>45974</v>
      </c>
      <c r="C116" s="4" t="s">
        <v>157</v>
      </c>
      <c r="D116" t="s">
        <v>997</v>
      </c>
      <c r="E116" s="6" t="s">
        <v>23</v>
      </c>
      <c r="F116" s="11">
        <v>3000</v>
      </c>
      <c r="G116">
        <v>3000</v>
      </c>
      <c r="H116">
        <v>5000</v>
      </c>
      <c r="I116" cm="1">
        <f t="array" ref="I116">_xlfn.IFS(F116=H116,1,F116=G116,0,F116&lt;&gt;G116,(F116-G116)/(G116))</f>
        <v>0</v>
      </c>
      <c r="J116" t="str">
        <f t="shared" si="1"/>
        <v>Минимум</v>
      </c>
    </row>
    <row r="117" spans="1:10" ht="16" x14ac:dyDescent="0.2">
      <c r="A117">
        <v>112</v>
      </c>
      <c r="B117" s="24">
        <v>45973</v>
      </c>
      <c r="C117" s="4" t="s">
        <v>159</v>
      </c>
      <c r="D117" t="s">
        <v>997</v>
      </c>
      <c r="E117" s="6" t="s">
        <v>23</v>
      </c>
      <c r="F117" s="11">
        <v>3000</v>
      </c>
      <c r="G117">
        <v>3000</v>
      </c>
      <c r="H117">
        <v>5000</v>
      </c>
      <c r="I117" cm="1">
        <f t="array" ref="I117">_xlfn.IFS(F117=H117,1,F117=G117,0,F117&lt;&gt;G117,(F117-G117)/(G117))</f>
        <v>0</v>
      </c>
      <c r="J117" t="str">
        <f t="shared" si="1"/>
        <v>Минимум</v>
      </c>
    </row>
    <row r="118" spans="1:10" ht="16" x14ac:dyDescent="0.2">
      <c r="A118">
        <v>113</v>
      </c>
      <c r="B118" s="24">
        <v>45973</v>
      </c>
      <c r="C118" s="4" t="s">
        <v>160</v>
      </c>
      <c r="D118" t="s">
        <v>997</v>
      </c>
      <c r="E118" s="6" t="s">
        <v>23</v>
      </c>
      <c r="F118" s="11">
        <v>3000</v>
      </c>
      <c r="G118">
        <v>3000</v>
      </c>
      <c r="H118">
        <v>5000</v>
      </c>
      <c r="I118" cm="1">
        <f t="array" ref="I118">_xlfn.IFS(F118=H118,1,F118=G118,0,F118&lt;&gt;G118,(F118-G118)/(G118))</f>
        <v>0</v>
      </c>
      <c r="J118" t="str">
        <f t="shared" si="1"/>
        <v>Минимум</v>
      </c>
    </row>
    <row r="119" spans="1:10" ht="16" x14ac:dyDescent="0.2">
      <c r="A119">
        <v>114</v>
      </c>
      <c r="B119" s="24">
        <v>45973</v>
      </c>
      <c r="C119" s="4" t="s">
        <v>161</v>
      </c>
      <c r="D119" t="s">
        <v>997</v>
      </c>
      <c r="E119" s="6" t="s">
        <v>23</v>
      </c>
      <c r="F119" s="11">
        <v>3000</v>
      </c>
      <c r="G119">
        <v>3000</v>
      </c>
      <c r="H119">
        <v>5000</v>
      </c>
      <c r="I119" cm="1">
        <f t="array" ref="I119">_xlfn.IFS(F119=H119,1,F119=G119,0,F119&lt;&gt;G119,(F119-G119)/(G119))</f>
        <v>0</v>
      </c>
      <c r="J119" t="str">
        <f t="shared" si="1"/>
        <v>Минимум</v>
      </c>
    </row>
    <row r="120" spans="1:10" ht="16" x14ac:dyDescent="0.2">
      <c r="A120">
        <v>115</v>
      </c>
      <c r="B120" s="24">
        <v>45972</v>
      </c>
      <c r="C120" s="4" t="s">
        <v>162</v>
      </c>
      <c r="D120" t="s">
        <v>997</v>
      </c>
      <c r="E120" s="6" t="s">
        <v>23</v>
      </c>
      <c r="F120" s="11">
        <v>3000</v>
      </c>
      <c r="G120">
        <v>3000</v>
      </c>
      <c r="H120">
        <v>5000</v>
      </c>
      <c r="I120" cm="1">
        <f t="array" ref="I120">_xlfn.IFS(F120=H120,1,F120=G120,0,F120&lt;&gt;G120,(F120-G120)/(G120))</f>
        <v>0</v>
      </c>
      <c r="J120" t="str">
        <f t="shared" si="1"/>
        <v>Минимум</v>
      </c>
    </row>
    <row r="121" spans="1:10" ht="16" x14ac:dyDescent="0.2">
      <c r="A121">
        <v>116</v>
      </c>
      <c r="B121" s="24">
        <v>45972</v>
      </c>
      <c r="C121" s="4" t="s">
        <v>163</v>
      </c>
      <c r="D121" t="s">
        <v>997</v>
      </c>
      <c r="E121" s="6" t="s">
        <v>23</v>
      </c>
      <c r="F121" s="11">
        <v>3000</v>
      </c>
      <c r="G121">
        <v>3000</v>
      </c>
      <c r="H121">
        <v>5000</v>
      </c>
      <c r="I121" cm="1">
        <f t="array" ref="I121">_xlfn.IFS(F121=H121,1,F121=G121,0,F121&lt;&gt;G121,(F121-G121)/(G121))</f>
        <v>0</v>
      </c>
      <c r="J121" t="str">
        <f t="shared" si="1"/>
        <v>Минимум</v>
      </c>
    </row>
    <row r="122" spans="1:10" ht="16" x14ac:dyDescent="0.2">
      <c r="A122">
        <v>117</v>
      </c>
      <c r="B122" s="24">
        <v>45972</v>
      </c>
      <c r="C122" s="4" t="s">
        <v>164</v>
      </c>
      <c r="D122" t="s">
        <v>997</v>
      </c>
      <c r="E122" s="6" t="s">
        <v>23</v>
      </c>
      <c r="F122" s="11">
        <v>3000</v>
      </c>
      <c r="G122">
        <v>3000</v>
      </c>
      <c r="H122">
        <v>5000</v>
      </c>
      <c r="I122" cm="1">
        <f t="array" ref="I122">_xlfn.IFS(F122=H122,1,F122=G122,0,F122&lt;&gt;G122,(F122-G122)/(G122))</f>
        <v>0</v>
      </c>
      <c r="J122" t="str">
        <f t="shared" si="1"/>
        <v>Минимум</v>
      </c>
    </row>
    <row r="123" spans="1:10" ht="16" x14ac:dyDescent="0.2">
      <c r="A123">
        <v>118</v>
      </c>
      <c r="B123" s="24">
        <v>45972</v>
      </c>
      <c r="C123" s="4" t="s">
        <v>165</v>
      </c>
      <c r="D123" t="s">
        <v>997</v>
      </c>
      <c r="E123" s="6" t="s">
        <v>23</v>
      </c>
      <c r="F123" s="11">
        <v>3000</v>
      </c>
      <c r="G123">
        <v>3000</v>
      </c>
      <c r="H123">
        <v>5000</v>
      </c>
      <c r="I123" cm="1">
        <f t="array" ref="I123">_xlfn.IFS(F123=H123,1,F123=G123,0,F123&lt;&gt;G123,(F123-G123)/(G123))</f>
        <v>0</v>
      </c>
      <c r="J123" t="str">
        <f t="shared" si="1"/>
        <v>Минимум</v>
      </c>
    </row>
    <row r="124" spans="1:10" ht="16" x14ac:dyDescent="0.2">
      <c r="A124">
        <v>119</v>
      </c>
      <c r="B124" s="24">
        <v>45972</v>
      </c>
      <c r="C124" s="4" t="s">
        <v>166</v>
      </c>
      <c r="D124" t="s">
        <v>996</v>
      </c>
      <c r="E124" s="6" t="s">
        <v>167</v>
      </c>
      <c r="F124" s="11">
        <v>50000</v>
      </c>
      <c r="G124">
        <v>30000</v>
      </c>
      <c r="H124">
        <v>50000</v>
      </c>
      <c r="I124" cm="1">
        <f t="array" ref="I124">_xlfn.IFS(F124=H124,1,F124=G124,0,F124&lt;&gt;G124,(F124-G124)/(G124))</f>
        <v>1</v>
      </c>
      <c r="J124" t="str">
        <f t="shared" si="1"/>
        <v>Максимум</v>
      </c>
    </row>
    <row r="125" spans="1:10" ht="16" x14ac:dyDescent="0.2">
      <c r="A125">
        <v>119</v>
      </c>
      <c r="B125" s="24">
        <v>45972</v>
      </c>
      <c r="C125" s="4" t="s">
        <v>166</v>
      </c>
      <c r="D125" t="s">
        <v>996</v>
      </c>
      <c r="E125" s="6" t="s">
        <v>168</v>
      </c>
      <c r="F125" s="11">
        <v>20000</v>
      </c>
      <c r="G125">
        <v>10000</v>
      </c>
      <c r="H125">
        <v>20000</v>
      </c>
      <c r="I125" cm="1">
        <f t="array" ref="I125">_xlfn.IFS(F125=H125,1,F125=G125,0,F125&lt;&gt;G125,(F125-G125)/(G125))</f>
        <v>1</v>
      </c>
      <c r="J125" t="str">
        <f t="shared" si="1"/>
        <v>Максимум</v>
      </c>
    </row>
    <row r="126" spans="1:10" ht="16" x14ac:dyDescent="0.2">
      <c r="A126">
        <v>119</v>
      </c>
      <c r="B126" s="24">
        <v>45972</v>
      </c>
      <c r="C126" s="4" t="s">
        <v>166</v>
      </c>
      <c r="D126" t="s">
        <v>996</v>
      </c>
      <c r="E126" s="6" t="s">
        <v>168</v>
      </c>
      <c r="F126" s="11">
        <v>20000</v>
      </c>
      <c r="G126">
        <v>10000</v>
      </c>
      <c r="H126">
        <v>20000</v>
      </c>
      <c r="I126" cm="1">
        <f t="array" ref="I126">_xlfn.IFS(F126=H126,1,F126=G126,0,F126&lt;&gt;G126,(F126-G126)/(G126))</f>
        <v>1</v>
      </c>
      <c r="J126" t="str">
        <f t="shared" si="1"/>
        <v>Максимум</v>
      </c>
    </row>
    <row r="127" spans="1:10" ht="16" x14ac:dyDescent="0.2">
      <c r="A127">
        <v>120</v>
      </c>
      <c r="B127" s="24">
        <v>45972</v>
      </c>
      <c r="C127" s="4" t="s">
        <v>140</v>
      </c>
      <c r="D127" t="s">
        <v>996</v>
      </c>
      <c r="E127" s="6" t="s">
        <v>8</v>
      </c>
      <c r="F127" s="11">
        <v>150000</v>
      </c>
      <c r="G127">
        <v>300000</v>
      </c>
      <c r="H127">
        <v>500000</v>
      </c>
      <c r="I127" cm="1">
        <f t="array" ref="I127">_xlfn.IFS(F127=H127,1,F127=G127,0,F127&lt;&gt;G127,(F127-G127)/(G127))</f>
        <v>-0.5</v>
      </c>
      <c r="J127" t="str">
        <f t="shared" si="1"/>
        <v>Ниже минимума</v>
      </c>
    </row>
    <row r="128" spans="1:10" ht="48" x14ac:dyDescent="0.2">
      <c r="A128">
        <v>121</v>
      </c>
      <c r="B128" s="24">
        <v>45972</v>
      </c>
      <c r="C128" s="4" t="s">
        <v>169</v>
      </c>
      <c r="D128" t="s">
        <v>996</v>
      </c>
      <c r="E128" s="6" t="s">
        <v>83</v>
      </c>
      <c r="F128" s="11">
        <v>550000</v>
      </c>
      <c r="G128">
        <v>500000</v>
      </c>
      <c r="H128">
        <v>700000</v>
      </c>
      <c r="I128" cm="1">
        <f t="array" ref="I128">_xlfn.IFS(F128=H128,1,F128=G128,0,F128&lt;&gt;G128,(F128-G128)/(G128))</f>
        <v>0.1</v>
      </c>
      <c r="J128" t="str">
        <f t="shared" si="1"/>
        <v>В диапазоне</v>
      </c>
    </row>
    <row r="129" spans="1:10" ht="32" x14ac:dyDescent="0.2">
      <c r="A129">
        <v>122</v>
      </c>
      <c r="B129" s="24">
        <v>45972</v>
      </c>
      <c r="C129" s="4" t="s">
        <v>170</v>
      </c>
      <c r="D129" t="s">
        <v>996</v>
      </c>
      <c r="E129" s="6" t="s">
        <v>5</v>
      </c>
      <c r="F129" s="11">
        <v>350000</v>
      </c>
      <c r="G129">
        <v>700000</v>
      </c>
      <c r="H129">
        <v>1000000</v>
      </c>
      <c r="I129" cm="1">
        <f t="array" ref="I129">_xlfn.IFS(F129=H129,1,F129=G129,0,F129&lt;&gt;G129,(F129-G129)/(G129))</f>
        <v>-0.5</v>
      </c>
      <c r="J129" t="str">
        <f t="shared" si="1"/>
        <v>Ниже минимума</v>
      </c>
    </row>
    <row r="130" spans="1:10" ht="32" x14ac:dyDescent="0.2">
      <c r="A130">
        <v>122</v>
      </c>
      <c r="B130" s="24">
        <v>45972</v>
      </c>
      <c r="C130" s="4" t="s">
        <v>170</v>
      </c>
      <c r="D130" t="s">
        <v>996</v>
      </c>
      <c r="E130" s="6" t="s">
        <v>5</v>
      </c>
      <c r="F130" s="11">
        <v>350000</v>
      </c>
      <c r="G130">
        <v>700000</v>
      </c>
      <c r="H130">
        <v>1000000</v>
      </c>
      <c r="I130" cm="1">
        <f t="array" ref="I130">_xlfn.IFS(F130=H130,1,F130=G130,0,F130&lt;&gt;G130,(F130-G130)/(G130))</f>
        <v>-0.5</v>
      </c>
      <c r="J130" t="str">
        <f t="shared" si="1"/>
        <v>Ниже минимума</v>
      </c>
    </row>
    <row r="131" spans="1:10" ht="32" x14ac:dyDescent="0.2">
      <c r="A131">
        <v>122</v>
      </c>
      <c r="B131" s="24">
        <v>45972</v>
      </c>
      <c r="C131" s="4" t="s">
        <v>170</v>
      </c>
      <c r="D131" t="s">
        <v>996</v>
      </c>
      <c r="E131" s="6" t="s">
        <v>5</v>
      </c>
      <c r="F131" s="11">
        <v>350000</v>
      </c>
      <c r="G131">
        <v>700000</v>
      </c>
      <c r="H131">
        <v>1000000</v>
      </c>
      <c r="I131" cm="1">
        <f t="array" ref="I131">_xlfn.IFS(F131=H131,1,F131=G131,0,F131&lt;&gt;G131,(F131-G131)/(G131))</f>
        <v>-0.5</v>
      </c>
      <c r="J131" t="str">
        <f t="shared" ref="J131:J194" si="2">IF(ISERROR(I131),"Предупреждение",
IF(I131&lt;0,"Ниже минимума",
IF(I131=0,"Минимум",
IF(I131&lt;1,"В диапазоне",
IF(I131=1,"Максимум",
"Выше максимума")))))</f>
        <v>Ниже минимума</v>
      </c>
    </row>
    <row r="132" spans="1:10" ht="32" x14ac:dyDescent="0.2">
      <c r="A132">
        <v>122</v>
      </c>
      <c r="B132" s="24">
        <v>45972</v>
      </c>
      <c r="C132" s="4" t="s">
        <v>170</v>
      </c>
      <c r="D132" t="s">
        <v>996</v>
      </c>
      <c r="E132" s="6" t="s">
        <v>5</v>
      </c>
      <c r="F132" s="11">
        <v>350000</v>
      </c>
      <c r="G132">
        <v>700000</v>
      </c>
      <c r="H132">
        <v>1000000</v>
      </c>
      <c r="I132" cm="1">
        <f t="array" ref="I132">_xlfn.IFS(F132=H132,1,F132=G132,0,F132&lt;&gt;G132,(F132-G132)/(G132))</f>
        <v>-0.5</v>
      </c>
      <c r="J132" t="str">
        <f t="shared" si="2"/>
        <v>Ниже минимума</v>
      </c>
    </row>
    <row r="133" spans="1:10" ht="32" x14ac:dyDescent="0.2">
      <c r="A133">
        <v>122</v>
      </c>
      <c r="B133" s="24">
        <v>45972</v>
      </c>
      <c r="C133" s="4" t="s">
        <v>170</v>
      </c>
      <c r="D133" t="s">
        <v>996</v>
      </c>
      <c r="E133" s="6" t="s">
        <v>5</v>
      </c>
      <c r="F133" s="11">
        <v>350000</v>
      </c>
      <c r="G133">
        <v>700000</v>
      </c>
      <c r="H133">
        <v>1000000</v>
      </c>
      <c r="I133" cm="1">
        <f t="array" ref="I133">_xlfn.IFS(F133=H133,1,F133=G133,0,F133&lt;&gt;G133,(F133-G133)/(G133))</f>
        <v>-0.5</v>
      </c>
      <c r="J133" t="str">
        <f t="shared" si="2"/>
        <v>Ниже минимума</v>
      </c>
    </row>
    <row r="134" spans="1:10" ht="32" x14ac:dyDescent="0.2">
      <c r="A134">
        <v>122</v>
      </c>
      <c r="B134" s="24">
        <v>45972</v>
      </c>
      <c r="C134" s="4" t="s">
        <v>170</v>
      </c>
      <c r="D134" t="s">
        <v>996</v>
      </c>
      <c r="E134" s="6" t="s">
        <v>5</v>
      </c>
      <c r="F134" s="11">
        <v>350000</v>
      </c>
      <c r="G134">
        <v>700000</v>
      </c>
      <c r="H134">
        <v>1000000</v>
      </c>
      <c r="I134" cm="1">
        <f t="array" ref="I134">_xlfn.IFS(F134=H134,1,F134=G134,0,F134&lt;&gt;G134,(F134-G134)/(G134))</f>
        <v>-0.5</v>
      </c>
      <c r="J134" t="str">
        <f t="shared" si="2"/>
        <v>Ниже минимума</v>
      </c>
    </row>
    <row r="135" spans="1:10" ht="32" x14ac:dyDescent="0.2">
      <c r="A135">
        <v>122</v>
      </c>
      <c r="B135" s="24">
        <v>45972</v>
      </c>
      <c r="C135" s="4" t="s">
        <v>170</v>
      </c>
      <c r="D135" t="s">
        <v>996</v>
      </c>
      <c r="E135" s="6" t="s">
        <v>5</v>
      </c>
      <c r="F135" s="11">
        <v>350000</v>
      </c>
      <c r="G135">
        <v>700000</v>
      </c>
      <c r="H135">
        <v>1000000</v>
      </c>
      <c r="I135" cm="1">
        <f t="array" ref="I135">_xlfn.IFS(F135=H135,1,F135=G135,0,F135&lt;&gt;G135,(F135-G135)/(G135))</f>
        <v>-0.5</v>
      </c>
      <c r="J135" t="str">
        <f t="shared" si="2"/>
        <v>Ниже минимума</v>
      </c>
    </row>
    <row r="136" spans="1:10" ht="16" x14ac:dyDescent="0.2">
      <c r="A136">
        <v>123</v>
      </c>
      <c r="B136" s="24">
        <v>45972</v>
      </c>
      <c r="C136" s="4" t="s">
        <v>99</v>
      </c>
      <c r="D136" t="s">
        <v>996</v>
      </c>
      <c r="E136" s="6" t="s">
        <v>7</v>
      </c>
      <c r="F136" s="11">
        <v>700000</v>
      </c>
      <c r="G136">
        <v>700000</v>
      </c>
      <c r="H136">
        <v>1000000</v>
      </c>
      <c r="I136" cm="1">
        <f t="array" ref="I136">_xlfn.IFS(F136=H136,1,F136=G136,0,F136&lt;&gt;G136,(F136-G136)/(G136))</f>
        <v>0</v>
      </c>
      <c r="J136" t="str">
        <f t="shared" si="2"/>
        <v>Минимум</v>
      </c>
    </row>
    <row r="137" spans="1:10" ht="16" x14ac:dyDescent="0.2">
      <c r="A137">
        <v>124</v>
      </c>
      <c r="B137" s="24">
        <v>45971</v>
      </c>
      <c r="C137" s="4" t="s">
        <v>59</v>
      </c>
      <c r="D137" t="s">
        <v>997</v>
      </c>
      <c r="E137" s="6" t="s">
        <v>23</v>
      </c>
      <c r="F137" s="11">
        <v>3000</v>
      </c>
      <c r="G137">
        <v>3000</v>
      </c>
      <c r="H137">
        <v>5000</v>
      </c>
      <c r="I137" cm="1">
        <f t="array" ref="I137">_xlfn.IFS(F137=H137,1,F137=G137,0,F137&lt;&gt;G137,(F137-G137)/(G137))</f>
        <v>0</v>
      </c>
      <c r="J137" t="str">
        <f t="shared" si="2"/>
        <v>Минимум</v>
      </c>
    </row>
    <row r="138" spans="1:10" ht="16" x14ac:dyDescent="0.2">
      <c r="A138">
        <v>125</v>
      </c>
      <c r="B138" s="24">
        <v>45971</v>
      </c>
      <c r="C138" s="4" t="s">
        <v>173</v>
      </c>
      <c r="D138" t="s">
        <v>997</v>
      </c>
      <c r="E138" s="6" t="s">
        <v>23</v>
      </c>
      <c r="F138" s="11">
        <v>3000</v>
      </c>
      <c r="G138">
        <v>3000</v>
      </c>
      <c r="H138">
        <v>5000</v>
      </c>
      <c r="I138" cm="1">
        <f t="array" ref="I138">_xlfn.IFS(F138=H138,1,F138=G138,0,F138&lt;&gt;G138,(F138-G138)/(G138))</f>
        <v>0</v>
      </c>
      <c r="J138" t="str">
        <f t="shared" si="2"/>
        <v>Минимум</v>
      </c>
    </row>
    <row r="139" spans="1:10" ht="16" x14ac:dyDescent="0.2">
      <c r="A139">
        <v>126</v>
      </c>
      <c r="B139" s="24">
        <v>45971</v>
      </c>
      <c r="C139" s="4" t="s">
        <v>174</v>
      </c>
      <c r="D139" t="s">
        <v>997</v>
      </c>
      <c r="E139" s="6" t="s">
        <v>23</v>
      </c>
      <c r="F139" s="11">
        <v>3000</v>
      </c>
      <c r="G139">
        <v>3000</v>
      </c>
      <c r="H139">
        <v>5000</v>
      </c>
      <c r="I139" cm="1">
        <f t="array" ref="I139">_xlfn.IFS(F139=H139,1,F139=G139,0,F139&lt;&gt;G139,(F139-G139)/(G139))</f>
        <v>0</v>
      </c>
      <c r="J139" t="str">
        <f t="shared" si="2"/>
        <v>Минимум</v>
      </c>
    </row>
    <row r="140" spans="1:10" ht="16" x14ac:dyDescent="0.2">
      <c r="A140">
        <v>127</v>
      </c>
      <c r="B140" s="24">
        <v>45971</v>
      </c>
      <c r="C140" s="4" t="s">
        <v>175</v>
      </c>
      <c r="D140" t="s">
        <v>997</v>
      </c>
      <c r="E140" s="6" t="s">
        <v>23</v>
      </c>
      <c r="F140" s="11">
        <v>3000</v>
      </c>
      <c r="G140">
        <v>3000</v>
      </c>
      <c r="H140">
        <v>5000</v>
      </c>
      <c r="I140" cm="1">
        <f t="array" ref="I140">_xlfn.IFS(F140=H140,1,F140=G140,0,F140&lt;&gt;G140,(F140-G140)/(G140))</f>
        <v>0</v>
      </c>
      <c r="J140" t="str">
        <f t="shared" si="2"/>
        <v>Минимум</v>
      </c>
    </row>
    <row r="141" spans="1:10" ht="16" x14ac:dyDescent="0.2">
      <c r="A141">
        <v>128</v>
      </c>
      <c r="B141" s="24">
        <v>45968</v>
      </c>
      <c r="C141" s="4" t="s">
        <v>177</v>
      </c>
      <c r="D141" t="s">
        <v>996</v>
      </c>
      <c r="E141" s="6" t="s">
        <v>75</v>
      </c>
      <c r="F141" s="11">
        <v>700000</v>
      </c>
      <c r="G141">
        <v>500000</v>
      </c>
      <c r="H141">
        <v>700000</v>
      </c>
      <c r="I141" cm="1">
        <f t="array" ref="I141">_xlfn.IFS(F141=H141,1,F141=G141,0,F141&lt;&gt;G141,(F141-G141)/(G141))</f>
        <v>1</v>
      </c>
      <c r="J141" t="str">
        <f t="shared" si="2"/>
        <v>Максимум</v>
      </c>
    </row>
    <row r="142" spans="1:10" ht="16" x14ac:dyDescent="0.2">
      <c r="A142">
        <v>129</v>
      </c>
      <c r="B142" s="24">
        <v>45968</v>
      </c>
      <c r="C142" s="4" t="s">
        <v>178</v>
      </c>
      <c r="D142" t="s">
        <v>997</v>
      </c>
      <c r="E142" s="6" t="s">
        <v>23</v>
      </c>
      <c r="F142" s="11">
        <v>3000</v>
      </c>
      <c r="G142">
        <v>3000</v>
      </c>
      <c r="H142">
        <v>5000</v>
      </c>
      <c r="I142" cm="1">
        <f t="array" ref="I142">_xlfn.IFS(F142=H142,1,F142=G142,0,F142&lt;&gt;G142,(F142-G142)/(G142))</f>
        <v>0</v>
      </c>
      <c r="J142" t="str">
        <f t="shared" si="2"/>
        <v>Минимум</v>
      </c>
    </row>
    <row r="143" spans="1:10" ht="16" x14ac:dyDescent="0.2">
      <c r="A143">
        <v>130</v>
      </c>
      <c r="B143" s="24">
        <v>45968</v>
      </c>
      <c r="C143" s="4" t="s">
        <v>179</v>
      </c>
      <c r="D143" t="s">
        <v>997</v>
      </c>
      <c r="E143" s="6" t="s">
        <v>23</v>
      </c>
      <c r="F143" s="11">
        <v>3000</v>
      </c>
      <c r="G143">
        <v>3000</v>
      </c>
      <c r="H143">
        <v>5000</v>
      </c>
      <c r="I143" cm="1">
        <f t="array" ref="I143">_xlfn.IFS(F143=H143,1,F143=G143,0,F143&lt;&gt;G143,(F143-G143)/(G143))</f>
        <v>0</v>
      </c>
      <c r="J143" t="str">
        <f t="shared" si="2"/>
        <v>Минимум</v>
      </c>
    </row>
    <row r="144" spans="1:10" ht="16" x14ac:dyDescent="0.2">
      <c r="A144">
        <v>131</v>
      </c>
      <c r="B144" s="24">
        <v>45968</v>
      </c>
      <c r="C144" s="4" t="s">
        <v>180</v>
      </c>
      <c r="D144" t="s">
        <v>997</v>
      </c>
      <c r="E144" s="6" t="s">
        <v>23</v>
      </c>
      <c r="F144" s="11">
        <v>3000</v>
      </c>
      <c r="G144">
        <v>3000</v>
      </c>
      <c r="H144">
        <v>5000</v>
      </c>
      <c r="I144" cm="1">
        <f t="array" ref="I144">_xlfn.IFS(F144=H144,1,F144=G144,0,F144&lt;&gt;G144,(F144-G144)/(G144))</f>
        <v>0</v>
      </c>
      <c r="J144" t="str">
        <f t="shared" si="2"/>
        <v>Минимум</v>
      </c>
    </row>
    <row r="145" spans="1:10" ht="16" x14ac:dyDescent="0.2">
      <c r="A145">
        <v>132</v>
      </c>
      <c r="B145" s="24">
        <v>45968</v>
      </c>
      <c r="C145" s="4" t="s">
        <v>181</v>
      </c>
      <c r="D145" t="s">
        <v>997</v>
      </c>
      <c r="E145" s="6" t="s">
        <v>23</v>
      </c>
      <c r="F145" s="11">
        <v>3000</v>
      </c>
      <c r="G145">
        <v>3000</v>
      </c>
      <c r="H145">
        <v>5000</v>
      </c>
      <c r="I145" cm="1">
        <f t="array" ref="I145">_xlfn.IFS(F145=H145,1,F145=G145,0,F145&lt;&gt;G145,(F145-G145)/(G145))</f>
        <v>0</v>
      </c>
      <c r="J145" t="str">
        <f t="shared" si="2"/>
        <v>Минимум</v>
      </c>
    </row>
    <row r="146" spans="1:10" ht="16" x14ac:dyDescent="0.2">
      <c r="A146">
        <v>133</v>
      </c>
      <c r="B146" s="24">
        <v>45968</v>
      </c>
      <c r="C146" s="4" t="s">
        <v>182</v>
      </c>
      <c r="D146" t="s">
        <v>996</v>
      </c>
      <c r="E146" s="6" t="s">
        <v>129</v>
      </c>
      <c r="F146" s="11">
        <v>10000</v>
      </c>
      <c r="G146">
        <v>10000</v>
      </c>
      <c r="H146">
        <v>20000</v>
      </c>
      <c r="I146" cm="1">
        <f t="array" ref="I146">_xlfn.IFS(F146=H146,1,F146=G146,0,F146&lt;&gt;G146,(F146-G146)/(G146))</f>
        <v>0</v>
      </c>
      <c r="J146" t="str">
        <f t="shared" si="2"/>
        <v>Минимум</v>
      </c>
    </row>
    <row r="147" spans="1:10" ht="16" x14ac:dyDescent="0.2">
      <c r="A147">
        <v>134</v>
      </c>
      <c r="B147" s="24">
        <v>45967</v>
      </c>
      <c r="C147" s="4" t="s">
        <v>184</v>
      </c>
      <c r="D147" t="s">
        <v>997</v>
      </c>
      <c r="E147" s="6" t="s">
        <v>23</v>
      </c>
      <c r="F147" s="11">
        <v>3000</v>
      </c>
      <c r="G147">
        <v>3000</v>
      </c>
      <c r="H147">
        <v>5000</v>
      </c>
      <c r="I147" cm="1">
        <f t="array" ref="I147">_xlfn.IFS(F147=H147,1,F147=G147,0,F147&lt;&gt;G147,(F147-G147)/(G147))</f>
        <v>0</v>
      </c>
      <c r="J147" t="str">
        <f t="shared" si="2"/>
        <v>Минимум</v>
      </c>
    </row>
    <row r="148" spans="1:10" ht="16" x14ac:dyDescent="0.2">
      <c r="A148">
        <v>135</v>
      </c>
      <c r="B148" s="24">
        <v>45967</v>
      </c>
      <c r="C148" s="4" t="s">
        <v>185</v>
      </c>
      <c r="D148" t="s">
        <v>997</v>
      </c>
      <c r="E148" s="6" t="s">
        <v>23</v>
      </c>
      <c r="F148" s="11">
        <v>3000</v>
      </c>
      <c r="G148">
        <v>3000</v>
      </c>
      <c r="H148">
        <v>5000</v>
      </c>
      <c r="I148" cm="1">
        <f t="array" ref="I148">_xlfn.IFS(F148=H148,1,F148=G148,0,F148&lt;&gt;G148,(F148-G148)/(G148))</f>
        <v>0</v>
      </c>
      <c r="J148" t="str">
        <f t="shared" si="2"/>
        <v>Минимум</v>
      </c>
    </row>
    <row r="149" spans="1:10" ht="16" x14ac:dyDescent="0.2">
      <c r="A149">
        <v>136</v>
      </c>
      <c r="B149" s="24">
        <v>45967</v>
      </c>
      <c r="C149" s="4" t="s">
        <v>186</v>
      </c>
      <c r="D149" t="s">
        <v>997</v>
      </c>
      <c r="E149" s="6" t="s">
        <v>23</v>
      </c>
      <c r="F149" s="11">
        <v>3000</v>
      </c>
      <c r="G149">
        <v>3000</v>
      </c>
      <c r="H149">
        <v>5000</v>
      </c>
      <c r="I149" cm="1">
        <f t="array" ref="I149">_xlfn.IFS(F149=H149,1,F149=G149,0,F149&lt;&gt;G149,(F149-G149)/(G149))</f>
        <v>0</v>
      </c>
      <c r="J149" t="str">
        <f t="shared" si="2"/>
        <v>Минимум</v>
      </c>
    </row>
    <row r="150" spans="1:10" ht="16" x14ac:dyDescent="0.2">
      <c r="A150">
        <v>137</v>
      </c>
      <c r="B150" s="24">
        <v>45966</v>
      </c>
      <c r="C150" s="4" t="s">
        <v>188</v>
      </c>
      <c r="D150" t="s">
        <v>997</v>
      </c>
      <c r="E150" s="6" t="s">
        <v>23</v>
      </c>
      <c r="F150" s="11">
        <v>3000</v>
      </c>
      <c r="G150">
        <v>3000</v>
      </c>
      <c r="H150">
        <v>5000</v>
      </c>
      <c r="I150" cm="1">
        <f t="array" ref="I150">_xlfn.IFS(F150=H150,1,F150=G150,0,F150&lt;&gt;G150,(F150-G150)/(G150))</f>
        <v>0</v>
      </c>
      <c r="J150" t="str">
        <f t="shared" si="2"/>
        <v>Минимум</v>
      </c>
    </row>
    <row r="151" spans="1:10" ht="16" x14ac:dyDescent="0.2">
      <c r="A151">
        <v>138</v>
      </c>
      <c r="B151" s="24">
        <v>45966</v>
      </c>
      <c r="C151" s="4" t="s">
        <v>189</v>
      </c>
      <c r="D151" t="s">
        <v>997</v>
      </c>
      <c r="E151" s="6" t="s">
        <v>23</v>
      </c>
      <c r="F151" s="11">
        <v>3000</v>
      </c>
      <c r="G151">
        <v>3000</v>
      </c>
      <c r="H151">
        <v>5000</v>
      </c>
      <c r="I151" cm="1">
        <f t="array" ref="I151">_xlfn.IFS(F151=H151,1,F151=G151,0,F151&lt;&gt;G151,(F151-G151)/(G151))</f>
        <v>0</v>
      </c>
      <c r="J151" t="str">
        <f t="shared" si="2"/>
        <v>Минимум</v>
      </c>
    </row>
    <row r="152" spans="1:10" ht="16" x14ac:dyDescent="0.2">
      <c r="A152">
        <v>139</v>
      </c>
      <c r="B152" s="24">
        <v>45966</v>
      </c>
      <c r="C152" s="4" t="s">
        <v>190</v>
      </c>
      <c r="D152" t="s">
        <v>997</v>
      </c>
      <c r="E152" s="6" t="s">
        <v>23</v>
      </c>
      <c r="F152" s="11">
        <v>3000</v>
      </c>
      <c r="G152">
        <v>3000</v>
      </c>
      <c r="H152">
        <v>5000</v>
      </c>
      <c r="I152" cm="1">
        <f t="array" ref="I152">_xlfn.IFS(F152=H152,1,F152=G152,0,F152&lt;&gt;G152,(F152-G152)/(G152))</f>
        <v>0</v>
      </c>
      <c r="J152" t="str">
        <f t="shared" si="2"/>
        <v>Минимум</v>
      </c>
    </row>
    <row r="153" spans="1:10" ht="32" x14ac:dyDescent="0.2">
      <c r="A153">
        <v>140</v>
      </c>
      <c r="B153" s="24">
        <v>45966</v>
      </c>
      <c r="C153" s="4" t="s">
        <v>191</v>
      </c>
      <c r="D153" t="s">
        <v>996</v>
      </c>
      <c r="E153" s="6" t="s">
        <v>5</v>
      </c>
      <c r="F153" s="11" t="s">
        <v>11</v>
      </c>
      <c r="G153">
        <v>700000</v>
      </c>
      <c r="H153">
        <v>1000000</v>
      </c>
      <c r="I153" t="e" cm="1">
        <f t="array" ref="I153">_xlfn.IFS(F153=H153,1,F153=G153,0,F153&lt;&gt;G153,(F153-G153)/(G153))</f>
        <v>#VALUE!</v>
      </c>
      <c r="J153" t="str">
        <f t="shared" si="2"/>
        <v>Предупреждение</v>
      </c>
    </row>
    <row r="154" spans="1:10" ht="16" x14ac:dyDescent="0.2">
      <c r="A154">
        <v>141</v>
      </c>
      <c r="B154" s="24">
        <v>45962</v>
      </c>
      <c r="C154" s="4" t="s">
        <v>192</v>
      </c>
      <c r="D154" t="s">
        <v>997</v>
      </c>
      <c r="E154" s="6" t="s">
        <v>23</v>
      </c>
      <c r="F154" s="11">
        <v>3000</v>
      </c>
      <c r="G154">
        <v>3000</v>
      </c>
      <c r="H154">
        <v>5000</v>
      </c>
      <c r="I154" cm="1">
        <f t="array" ref="I154">_xlfn.IFS(F154=H154,1,F154=G154,0,F154&lt;&gt;G154,(F154-G154)/(G154))</f>
        <v>0</v>
      </c>
      <c r="J154" t="str">
        <f t="shared" si="2"/>
        <v>Минимум</v>
      </c>
    </row>
    <row r="155" spans="1:10" ht="16" x14ac:dyDescent="0.2">
      <c r="A155">
        <v>142</v>
      </c>
      <c r="B155" s="24">
        <v>45961</v>
      </c>
      <c r="C155" s="4" t="s">
        <v>194</v>
      </c>
      <c r="D155" t="s">
        <v>997</v>
      </c>
      <c r="E155" s="6" t="s">
        <v>23</v>
      </c>
      <c r="F155" s="11">
        <v>3000</v>
      </c>
      <c r="G155">
        <v>3000</v>
      </c>
      <c r="H155">
        <v>5000</v>
      </c>
      <c r="I155" cm="1">
        <f t="array" ref="I155">_xlfn.IFS(F155=H155,1,F155=G155,0,F155&lt;&gt;G155,(F155-G155)/(G155))</f>
        <v>0</v>
      </c>
      <c r="J155" t="str">
        <f t="shared" si="2"/>
        <v>Минимум</v>
      </c>
    </row>
    <row r="156" spans="1:10" ht="16" x14ac:dyDescent="0.2">
      <c r="A156">
        <v>143</v>
      </c>
      <c r="B156" s="24">
        <v>45961</v>
      </c>
      <c r="C156" s="4" t="s">
        <v>196</v>
      </c>
      <c r="D156" t="s">
        <v>997</v>
      </c>
      <c r="E156" s="6" t="s">
        <v>23</v>
      </c>
      <c r="F156" s="11">
        <v>3000</v>
      </c>
      <c r="G156">
        <v>3000</v>
      </c>
      <c r="H156">
        <v>5000</v>
      </c>
      <c r="I156" cm="1">
        <f t="array" ref="I156">_xlfn.IFS(F156=H156,1,F156=G156,0,F156&lt;&gt;G156,(F156-G156)/(G156))</f>
        <v>0</v>
      </c>
      <c r="J156" t="str">
        <f t="shared" si="2"/>
        <v>Минимум</v>
      </c>
    </row>
    <row r="157" spans="1:10" ht="16" x14ac:dyDescent="0.2">
      <c r="A157">
        <v>144</v>
      </c>
      <c r="B157" s="24">
        <v>45961</v>
      </c>
      <c r="C157" s="4" t="s">
        <v>197</v>
      </c>
      <c r="D157" t="s">
        <v>997</v>
      </c>
      <c r="E157" s="6" t="s">
        <v>23</v>
      </c>
      <c r="F157" s="11">
        <v>3000</v>
      </c>
      <c r="G157">
        <v>3000</v>
      </c>
      <c r="H157">
        <v>5000</v>
      </c>
      <c r="I157" cm="1">
        <f t="array" ref="I157">_xlfn.IFS(F157=H157,1,F157=G157,0,F157&lt;&gt;G157,(F157-G157)/(G157))</f>
        <v>0</v>
      </c>
      <c r="J157" t="str">
        <f t="shared" si="2"/>
        <v>Минимум</v>
      </c>
    </row>
    <row r="158" spans="1:10" ht="16" x14ac:dyDescent="0.2">
      <c r="A158">
        <v>145</v>
      </c>
      <c r="B158" s="24">
        <v>45961</v>
      </c>
      <c r="C158" s="4" t="s">
        <v>198</v>
      </c>
      <c r="D158" t="s">
        <v>997</v>
      </c>
      <c r="E158" s="6" t="s">
        <v>23</v>
      </c>
      <c r="F158" s="11">
        <v>3000</v>
      </c>
      <c r="G158">
        <v>3000</v>
      </c>
      <c r="H158">
        <v>5000</v>
      </c>
      <c r="I158" cm="1">
        <f t="array" ref="I158">_xlfn.IFS(F158=H158,1,F158=G158,0,F158&lt;&gt;G158,(F158-G158)/(G158))</f>
        <v>0</v>
      </c>
      <c r="J158" t="str">
        <f t="shared" si="2"/>
        <v>Минимум</v>
      </c>
    </row>
    <row r="159" spans="1:10" ht="16" x14ac:dyDescent="0.2">
      <c r="A159">
        <v>146</v>
      </c>
      <c r="B159" s="24">
        <v>45961</v>
      </c>
      <c r="C159" s="4" t="s">
        <v>199</v>
      </c>
      <c r="D159" t="s">
        <v>997</v>
      </c>
      <c r="E159" s="6" t="s">
        <v>23</v>
      </c>
      <c r="F159" s="11">
        <v>3000</v>
      </c>
      <c r="G159">
        <v>3000</v>
      </c>
      <c r="H159">
        <v>5000</v>
      </c>
      <c r="I159" cm="1">
        <f t="array" ref="I159">_xlfn.IFS(F159=H159,1,F159=G159,0,F159&lt;&gt;G159,(F159-G159)/(G159))</f>
        <v>0</v>
      </c>
      <c r="J159" t="str">
        <f t="shared" si="2"/>
        <v>Минимум</v>
      </c>
    </row>
    <row r="160" spans="1:10" ht="16" x14ac:dyDescent="0.2">
      <c r="A160">
        <v>147</v>
      </c>
      <c r="B160" s="24">
        <v>45961</v>
      </c>
      <c r="C160" s="4" t="s">
        <v>200</v>
      </c>
      <c r="D160" t="s">
        <v>997</v>
      </c>
      <c r="E160" s="6" t="s">
        <v>23</v>
      </c>
      <c r="F160" s="11">
        <v>3000</v>
      </c>
      <c r="G160">
        <v>3000</v>
      </c>
      <c r="H160">
        <v>5000</v>
      </c>
      <c r="I160" cm="1">
        <f t="array" ref="I160">_xlfn.IFS(F160=H160,1,F160=G160,0,F160&lt;&gt;G160,(F160-G160)/(G160))</f>
        <v>0</v>
      </c>
      <c r="J160" t="str">
        <f t="shared" si="2"/>
        <v>Минимум</v>
      </c>
    </row>
    <row r="161" spans="1:10" ht="16" x14ac:dyDescent="0.2">
      <c r="A161">
        <v>149</v>
      </c>
      <c r="B161" s="24">
        <v>45958</v>
      </c>
      <c r="C161" s="4" t="s">
        <v>201</v>
      </c>
      <c r="D161" t="s">
        <v>996</v>
      </c>
      <c r="E161" s="6" t="s">
        <v>8</v>
      </c>
      <c r="F161" s="11" t="s">
        <v>11</v>
      </c>
      <c r="G161">
        <v>300000</v>
      </c>
      <c r="H161">
        <v>500000</v>
      </c>
      <c r="I161" t="e" cm="1">
        <f t="array" ref="I161">_xlfn.IFS(F161=H161,1,F161=G161,0,F161&lt;&gt;G161,(F161-G161)/(G161))</f>
        <v>#VALUE!</v>
      </c>
      <c r="J161" t="str">
        <f t="shared" si="2"/>
        <v>Предупреждение</v>
      </c>
    </row>
    <row r="162" spans="1:10" ht="16" x14ac:dyDescent="0.2">
      <c r="A162">
        <v>150</v>
      </c>
      <c r="B162" s="24">
        <v>45958</v>
      </c>
      <c r="C162" s="4" t="s">
        <v>203</v>
      </c>
      <c r="D162" t="s">
        <v>996</v>
      </c>
      <c r="E162" s="6" t="s">
        <v>5</v>
      </c>
      <c r="F162" s="11" t="s">
        <v>11</v>
      </c>
      <c r="G162">
        <v>700000</v>
      </c>
      <c r="H162">
        <v>1000000</v>
      </c>
      <c r="I162" t="e" cm="1">
        <f t="array" ref="I162">_xlfn.IFS(F162=H162,1,F162=G162,0,F162&lt;&gt;G162,(F162-G162)/(G162))</f>
        <v>#VALUE!</v>
      </c>
      <c r="J162" t="str">
        <f t="shared" si="2"/>
        <v>Предупреждение</v>
      </c>
    </row>
    <row r="163" spans="1:10" ht="16" x14ac:dyDescent="0.2">
      <c r="A163">
        <v>151</v>
      </c>
      <c r="B163" s="24">
        <v>45958</v>
      </c>
      <c r="C163" s="4" t="s">
        <v>204</v>
      </c>
      <c r="D163" t="s">
        <v>996</v>
      </c>
      <c r="E163" s="6" t="s">
        <v>75</v>
      </c>
      <c r="F163" s="11" t="s">
        <v>11</v>
      </c>
      <c r="G163">
        <v>500000</v>
      </c>
      <c r="H163">
        <v>700000</v>
      </c>
      <c r="I163" t="e" cm="1">
        <f t="array" ref="I163">_xlfn.IFS(F163=H163,1,F163=G163,0,F163&lt;&gt;G163,(F163-G163)/(G163))</f>
        <v>#VALUE!</v>
      </c>
      <c r="J163" t="str">
        <f t="shared" si="2"/>
        <v>Предупреждение</v>
      </c>
    </row>
    <row r="164" spans="1:10" ht="64" x14ac:dyDescent="0.2">
      <c r="A164">
        <v>152</v>
      </c>
      <c r="B164" s="24">
        <v>45958</v>
      </c>
      <c r="C164" s="4" t="s">
        <v>206</v>
      </c>
      <c r="D164" t="s">
        <v>996</v>
      </c>
      <c r="E164" s="6" t="s">
        <v>8</v>
      </c>
      <c r="F164" s="11">
        <v>300000</v>
      </c>
      <c r="G164">
        <v>300000</v>
      </c>
      <c r="H164">
        <v>500000</v>
      </c>
      <c r="I164" cm="1">
        <f t="array" ref="I164">_xlfn.IFS(F164=H164,1,F164=G164,0,F164&lt;&gt;G164,(F164-G164)/(G164))</f>
        <v>0</v>
      </c>
      <c r="J164" t="str">
        <f t="shared" si="2"/>
        <v>Минимум</v>
      </c>
    </row>
    <row r="165" spans="1:10" ht="16" x14ac:dyDescent="0.2">
      <c r="A165">
        <v>153</v>
      </c>
      <c r="B165" s="24">
        <v>45958</v>
      </c>
      <c r="C165" s="4" t="s">
        <v>207</v>
      </c>
      <c r="D165" t="s">
        <v>997</v>
      </c>
      <c r="E165" s="6" t="s">
        <v>23</v>
      </c>
      <c r="F165" s="11">
        <v>3000</v>
      </c>
      <c r="G165">
        <v>3000</v>
      </c>
      <c r="H165">
        <v>5000</v>
      </c>
      <c r="I165" cm="1">
        <f t="array" ref="I165">_xlfn.IFS(F165=H165,1,F165=G165,0,F165&lt;&gt;G165,(F165-G165)/(G165))</f>
        <v>0</v>
      </c>
      <c r="J165" t="str">
        <f t="shared" si="2"/>
        <v>Минимум</v>
      </c>
    </row>
    <row r="166" spans="1:10" ht="16" x14ac:dyDescent="0.2">
      <c r="A166">
        <v>154</v>
      </c>
      <c r="B166" s="24">
        <v>45958</v>
      </c>
      <c r="C166" s="4" t="s">
        <v>208</v>
      </c>
      <c r="D166" t="s">
        <v>997</v>
      </c>
      <c r="E166" s="6" t="s">
        <v>23</v>
      </c>
      <c r="F166" s="11">
        <v>3000</v>
      </c>
      <c r="G166">
        <v>3000</v>
      </c>
      <c r="H166">
        <v>5000</v>
      </c>
      <c r="I166" cm="1">
        <f t="array" ref="I166">_xlfn.IFS(F166=H166,1,F166=G166,0,F166&lt;&gt;G166,(F166-G166)/(G166))</f>
        <v>0</v>
      </c>
      <c r="J166" t="str">
        <f t="shared" si="2"/>
        <v>Минимум</v>
      </c>
    </row>
    <row r="167" spans="1:10" ht="16" x14ac:dyDescent="0.2">
      <c r="A167">
        <v>155</v>
      </c>
      <c r="B167" s="24">
        <v>45958</v>
      </c>
      <c r="C167" s="4" t="s">
        <v>209</v>
      </c>
      <c r="D167" t="s">
        <v>997</v>
      </c>
      <c r="E167" s="6" t="s">
        <v>23</v>
      </c>
      <c r="F167" s="11">
        <v>3000</v>
      </c>
      <c r="G167">
        <v>3000</v>
      </c>
      <c r="H167">
        <v>5000</v>
      </c>
      <c r="I167" cm="1">
        <f t="array" ref="I167">_xlfn.IFS(F167=H167,1,F167=G167,0,F167&lt;&gt;G167,(F167-G167)/(G167))</f>
        <v>0</v>
      </c>
      <c r="J167" t="str">
        <f t="shared" si="2"/>
        <v>Минимум</v>
      </c>
    </row>
    <row r="168" spans="1:10" ht="32" x14ac:dyDescent="0.2">
      <c r="A168">
        <v>156</v>
      </c>
      <c r="B168" s="24">
        <v>45958</v>
      </c>
      <c r="C168" s="4" t="s">
        <v>210</v>
      </c>
      <c r="D168" t="s">
        <v>996</v>
      </c>
      <c r="E168" s="6" t="s">
        <v>8</v>
      </c>
      <c r="F168" s="11">
        <v>250000</v>
      </c>
      <c r="G168">
        <v>300000</v>
      </c>
      <c r="H168">
        <v>500000</v>
      </c>
      <c r="I168" cm="1">
        <f t="array" ref="I168">_xlfn.IFS(F168=H168,1,F168=G168,0,F168&lt;&gt;G168,(F168-G168)/(G168))</f>
        <v>-0.16666666666666666</v>
      </c>
      <c r="J168" t="str">
        <f t="shared" si="2"/>
        <v>Ниже минимума</v>
      </c>
    </row>
    <row r="169" spans="1:10" ht="16" x14ac:dyDescent="0.2">
      <c r="A169">
        <v>157</v>
      </c>
      <c r="B169" s="24">
        <v>45957</v>
      </c>
      <c r="C169" s="4" t="s">
        <v>212</v>
      </c>
      <c r="D169" t="s">
        <v>996</v>
      </c>
      <c r="E169" s="6" t="s">
        <v>72</v>
      </c>
      <c r="F169" s="11">
        <v>300000</v>
      </c>
      <c r="G169">
        <v>500000</v>
      </c>
      <c r="H169">
        <v>700000</v>
      </c>
      <c r="I169" cm="1">
        <f t="array" ref="I169">_xlfn.IFS(F169=H169,1,F169=G169,0,F169&lt;&gt;G169,(F169-G169)/(G169))</f>
        <v>-0.4</v>
      </c>
      <c r="J169" t="str">
        <f t="shared" si="2"/>
        <v>Ниже минимума</v>
      </c>
    </row>
    <row r="170" spans="1:10" ht="16" x14ac:dyDescent="0.2">
      <c r="A170">
        <v>158</v>
      </c>
      <c r="B170" s="24">
        <v>45957</v>
      </c>
      <c r="C170" s="4" t="s">
        <v>214</v>
      </c>
      <c r="D170" t="s">
        <v>996</v>
      </c>
      <c r="E170" s="6" t="s">
        <v>75</v>
      </c>
      <c r="F170" s="11" t="s">
        <v>11</v>
      </c>
      <c r="G170">
        <v>500000</v>
      </c>
      <c r="H170">
        <v>700000</v>
      </c>
      <c r="I170" t="e" cm="1">
        <f t="array" ref="I170">_xlfn.IFS(F170=H170,1,F170=G170,0,F170&lt;&gt;G170,(F170-G170)/(G170))</f>
        <v>#VALUE!</v>
      </c>
      <c r="J170" t="str">
        <f t="shared" si="2"/>
        <v>Предупреждение</v>
      </c>
    </row>
    <row r="171" spans="1:10" ht="16" x14ac:dyDescent="0.2">
      <c r="A171">
        <v>159</v>
      </c>
      <c r="B171" s="24">
        <v>45957</v>
      </c>
      <c r="C171" s="4" t="s">
        <v>215</v>
      </c>
      <c r="D171" t="s">
        <v>996</v>
      </c>
      <c r="E171" s="6" t="s">
        <v>75</v>
      </c>
      <c r="F171" s="11" t="s">
        <v>11</v>
      </c>
      <c r="G171">
        <v>500000</v>
      </c>
      <c r="H171">
        <v>700000</v>
      </c>
      <c r="I171" t="e" cm="1">
        <f t="array" ref="I171">_xlfn.IFS(F171=H171,1,F171=G171,0,F171&lt;&gt;G171,(F171-G171)/(G171))</f>
        <v>#VALUE!</v>
      </c>
      <c r="J171" t="str">
        <f t="shared" si="2"/>
        <v>Предупреждение</v>
      </c>
    </row>
    <row r="172" spans="1:10" ht="16" x14ac:dyDescent="0.2">
      <c r="A172">
        <v>160</v>
      </c>
      <c r="B172" s="24">
        <v>45957</v>
      </c>
      <c r="C172" s="4" t="s">
        <v>217</v>
      </c>
      <c r="D172" t="s">
        <v>997</v>
      </c>
      <c r="E172" s="6" t="s">
        <v>23</v>
      </c>
      <c r="F172" s="11">
        <v>3000</v>
      </c>
      <c r="G172">
        <v>3000</v>
      </c>
      <c r="H172">
        <v>5000</v>
      </c>
      <c r="I172" cm="1">
        <f t="array" ref="I172">_xlfn.IFS(F172=H172,1,F172=G172,0,F172&lt;&gt;G172,(F172-G172)/(G172))</f>
        <v>0</v>
      </c>
      <c r="J172" t="str">
        <f t="shared" si="2"/>
        <v>Минимум</v>
      </c>
    </row>
    <row r="173" spans="1:10" ht="16" x14ac:dyDescent="0.2">
      <c r="A173">
        <v>161</v>
      </c>
      <c r="B173" s="24">
        <v>45957</v>
      </c>
      <c r="C173" s="4" t="s">
        <v>218</v>
      </c>
      <c r="D173" t="s">
        <v>997</v>
      </c>
      <c r="E173" s="6" t="s">
        <v>23</v>
      </c>
      <c r="F173" s="11">
        <v>3000</v>
      </c>
      <c r="G173">
        <v>3000</v>
      </c>
      <c r="H173">
        <v>5000</v>
      </c>
      <c r="I173" cm="1">
        <f t="array" ref="I173">_xlfn.IFS(F173=H173,1,F173=G173,0,F173&lt;&gt;G173,(F173-G173)/(G173))</f>
        <v>0</v>
      </c>
      <c r="J173" t="str">
        <f t="shared" si="2"/>
        <v>Минимум</v>
      </c>
    </row>
    <row r="174" spans="1:10" ht="32" x14ac:dyDescent="0.2">
      <c r="A174">
        <v>162</v>
      </c>
      <c r="B174" s="24">
        <v>45957</v>
      </c>
      <c r="C174" s="4" t="s">
        <v>100</v>
      </c>
      <c r="D174" t="s">
        <v>996</v>
      </c>
      <c r="E174" s="6" t="s">
        <v>8</v>
      </c>
      <c r="F174" s="11">
        <v>150000</v>
      </c>
      <c r="G174">
        <v>300000</v>
      </c>
      <c r="H174">
        <v>500000</v>
      </c>
      <c r="I174" cm="1">
        <f t="array" ref="I174">_xlfn.IFS(F174=H174,1,F174=G174,0,F174&lt;&gt;G174,(F174-G174)/(G174))</f>
        <v>-0.5</v>
      </c>
      <c r="J174" t="str">
        <f t="shared" si="2"/>
        <v>Ниже минимума</v>
      </c>
    </row>
    <row r="175" spans="1:10" ht="16" x14ac:dyDescent="0.2">
      <c r="A175">
        <v>163</v>
      </c>
      <c r="B175" s="24">
        <v>45957</v>
      </c>
      <c r="C175" s="4" t="s">
        <v>219</v>
      </c>
      <c r="D175" t="s">
        <v>997</v>
      </c>
      <c r="E175" s="6" t="s">
        <v>23</v>
      </c>
      <c r="F175" s="11">
        <v>3000</v>
      </c>
      <c r="G175">
        <v>3000</v>
      </c>
      <c r="H175">
        <v>5000</v>
      </c>
      <c r="I175" cm="1">
        <f t="array" ref="I175">_xlfn.IFS(F175=H175,1,F175=G175,0,F175&lt;&gt;G175,(F175-G175)/(G175))</f>
        <v>0</v>
      </c>
      <c r="J175" t="str">
        <f t="shared" si="2"/>
        <v>Минимум</v>
      </c>
    </row>
    <row r="176" spans="1:10" ht="16" x14ac:dyDescent="0.2">
      <c r="A176">
        <v>164</v>
      </c>
      <c r="B176" s="24">
        <v>45957</v>
      </c>
      <c r="C176" s="4" t="s">
        <v>220</v>
      </c>
      <c r="D176" t="s">
        <v>997</v>
      </c>
      <c r="E176" s="6" t="s">
        <v>23</v>
      </c>
      <c r="F176" s="11">
        <v>3000</v>
      </c>
      <c r="G176">
        <v>3000</v>
      </c>
      <c r="H176">
        <v>5000</v>
      </c>
      <c r="I176" cm="1">
        <f t="array" ref="I176">_xlfn.IFS(F176=H176,1,F176=G176,0,F176&lt;&gt;G176,(F176-G176)/(G176))</f>
        <v>0</v>
      </c>
      <c r="J176" t="str">
        <f t="shared" si="2"/>
        <v>Минимум</v>
      </c>
    </row>
    <row r="177" spans="1:10" ht="16" x14ac:dyDescent="0.2">
      <c r="A177">
        <v>165</v>
      </c>
      <c r="B177" s="24">
        <v>45954</v>
      </c>
      <c r="C177" s="4" t="s">
        <v>221</v>
      </c>
      <c r="D177" t="s">
        <v>997</v>
      </c>
      <c r="E177" s="6" t="s">
        <v>23</v>
      </c>
      <c r="F177" s="11">
        <v>3000</v>
      </c>
      <c r="G177">
        <v>3000</v>
      </c>
      <c r="H177">
        <v>5000</v>
      </c>
      <c r="I177" cm="1">
        <f t="array" ref="I177">_xlfn.IFS(F177=H177,1,F177=G177,0,F177&lt;&gt;G177,(F177-G177)/(G177))</f>
        <v>0</v>
      </c>
      <c r="J177" t="str">
        <f t="shared" si="2"/>
        <v>Минимум</v>
      </c>
    </row>
    <row r="178" spans="1:10" ht="16" x14ac:dyDescent="0.2">
      <c r="A178">
        <v>166</v>
      </c>
      <c r="B178" s="24">
        <v>45954</v>
      </c>
      <c r="C178" s="4" t="s">
        <v>222</v>
      </c>
      <c r="D178" t="s">
        <v>997</v>
      </c>
      <c r="E178" s="6" t="s">
        <v>23</v>
      </c>
      <c r="F178" s="11">
        <v>3000</v>
      </c>
      <c r="G178">
        <v>3000</v>
      </c>
      <c r="H178">
        <v>5000</v>
      </c>
      <c r="I178" cm="1">
        <f t="array" ref="I178">_xlfn.IFS(F178=H178,1,F178=G178,0,F178&lt;&gt;G178,(F178-G178)/(G178))</f>
        <v>0</v>
      </c>
      <c r="J178" t="str">
        <f t="shared" si="2"/>
        <v>Минимум</v>
      </c>
    </row>
    <row r="179" spans="1:10" ht="16" x14ac:dyDescent="0.2">
      <c r="A179">
        <v>167</v>
      </c>
      <c r="B179" s="24">
        <v>45954</v>
      </c>
      <c r="C179" s="4" t="s">
        <v>223</v>
      </c>
      <c r="D179" t="s">
        <v>997</v>
      </c>
      <c r="E179" s="6" t="s">
        <v>23</v>
      </c>
      <c r="F179" s="11">
        <v>3000</v>
      </c>
      <c r="G179">
        <v>3000</v>
      </c>
      <c r="H179">
        <v>5000</v>
      </c>
      <c r="I179" cm="1">
        <f t="array" ref="I179">_xlfn.IFS(F179=H179,1,F179=G179,0,F179&lt;&gt;G179,(F179-G179)/(G179))</f>
        <v>0</v>
      </c>
      <c r="J179" t="str">
        <f t="shared" si="2"/>
        <v>Минимум</v>
      </c>
    </row>
    <row r="180" spans="1:10" ht="16" x14ac:dyDescent="0.2">
      <c r="A180">
        <v>168</v>
      </c>
      <c r="B180" s="24">
        <v>45951</v>
      </c>
      <c r="C180" s="4" t="s">
        <v>225</v>
      </c>
      <c r="D180" t="s">
        <v>997</v>
      </c>
      <c r="E180" s="6" t="s">
        <v>23</v>
      </c>
      <c r="F180" s="11">
        <v>3000</v>
      </c>
      <c r="G180">
        <v>3000</v>
      </c>
      <c r="H180">
        <v>5000</v>
      </c>
      <c r="I180" cm="1">
        <f t="array" ref="I180">_xlfn.IFS(F180=H180,1,F180=G180,0,F180&lt;&gt;G180,(F180-G180)/(G180))</f>
        <v>0</v>
      </c>
      <c r="J180" t="str">
        <f t="shared" si="2"/>
        <v>Минимум</v>
      </c>
    </row>
    <row r="181" spans="1:10" ht="16" x14ac:dyDescent="0.2">
      <c r="A181">
        <v>169</v>
      </c>
      <c r="B181" s="24">
        <v>45951</v>
      </c>
      <c r="C181" s="4" t="s">
        <v>226</v>
      </c>
      <c r="D181" t="s">
        <v>997</v>
      </c>
      <c r="E181" s="6" t="s">
        <v>23</v>
      </c>
      <c r="F181" s="11">
        <v>3000</v>
      </c>
      <c r="G181">
        <v>3000</v>
      </c>
      <c r="H181">
        <v>5000</v>
      </c>
      <c r="I181" cm="1">
        <f t="array" ref="I181">_xlfn.IFS(F181=H181,1,F181=G181,0,F181&lt;&gt;G181,(F181-G181)/(G181))</f>
        <v>0</v>
      </c>
      <c r="J181" t="str">
        <f t="shared" si="2"/>
        <v>Минимум</v>
      </c>
    </row>
    <row r="182" spans="1:10" ht="16" x14ac:dyDescent="0.2">
      <c r="A182">
        <v>170</v>
      </c>
      <c r="B182" s="24">
        <v>45951</v>
      </c>
      <c r="C182" s="4" t="s">
        <v>227</v>
      </c>
      <c r="D182" t="s">
        <v>996</v>
      </c>
      <c r="E182" s="6" t="s">
        <v>168</v>
      </c>
      <c r="F182" s="11">
        <v>20000</v>
      </c>
      <c r="G182">
        <v>10000</v>
      </c>
      <c r="H182">
        <v>20000</v>
      </c>
      <c r="I182" cm="1">
        <f t="array" ref="I182">_xlfn.IFS(F182=H182,1,F182=G182,0,F182&lt;&gt;G182,(F182-G182)/(G182))</f>
        <v>1</v>
      </c>
      <c r="J182" t="str">
        <f t="shared" si="2"/>
        <v>Максимум</v>
      </c>
    </row>
    <row r="183" spans="1:10" ht="16" x14ac:dyDescent="0.2">
      <c r="A183">
        <v>170</v>
      </c>
      <c r="B183" s="24">
        <v>45951</v>
      </c>
      <c r="C183" s="4" t="s">
        <v>227</v>
      </c>
      <c r="D183" t="s">
        <v>996</v>
      </c>
      <c r="E183" s="6" t="s">
        <v>168</v>
      </c>
      <c r="F183" s="11">
        <v>20000</v>
      </c>
      <c r="G183">
        <v>10000</v>
      </c>
      <c r="H183">
        <v>20000</v>
      </c>
      <c r="I183" cm="1">
        <f t="array" ref="I183">_xlfn.IFS(F183=H183,1,F183=G183,0,F183&lt;&gt;G183,(F183-G183)/(G183))</f>
        <v>1</v>
      </c>
      <c r="J183" t="str">
        <f t="shared" si="2"/>
        <v>Максимум</v>
      </c>
    </row>
    <row r="184" spans="1:10" ht="16" x14ac:dyDescent="0.2">
      <c r="A184">
        <v>171</v>
      </c>
      <c r="B184" s="24">
        <v>45950</v>
      </c>
      <c r="C184" s="4" t="s">
        <v>229</v>
      </c>
      <c r="D184" t="s">
        <v>997</v>
      </c>
      <c r="E184" s="6" t="s">
        <v>23</v>
      </c>
      <c r="F184" s="11">
        <v>3000</v>
      </c>
      <c r="G184">
        <v>3000</v>
      </c>
      <c r="H184">
        <v>5000</v>
      </c>
      <c r="I184" cm="1">
        <f t="array" ref="I184">_xlfn.IFS(F184=H184,1,F184=G184,0,F184&lt;&gt;G184,(F184-G184)/(G184))</f>
        <v>0</v>
      </c>
      <c r="J184" t="str">
        <f t="shared" si="2"/>
        <v>Минимум</v>
      </c>
    </row>
    <row r="185" spans="1:10" ht="16" x14ac:dyDescent="0.2">
      <c r="A185">
        <v>172</v>
      </c>
      <c r="B185" s="24">
        <v>45947</v>
      </c>
      <c r="C185" s="4" t="s">
        <v>231</v>
      </c>
      <c r="D185" t="s">
        <v>996</v>
      </c>
      <c r="E185" s="6" t="s">
        <v>8</v>
      </c>
      <c r="F185" s="11">
        <v>300000</v>
      </c>
      <c r="G185">
        <v>300000</v>
      </c>
      <c r="H185">
        <v>500000</v>
      </c>
      <c r="I185" cm="1">
        <f t="array" ref="I185">_xlfn.IFS(F185=H185,1,F185=G185,0,F185&lt;&gt;G185,(F185-G185)/(G185))</f>
        <v>0</v>
      </c>
      <c r="J185" t="str">
        <f t="shared" si="2"/>
        <v>Минимум</v>
      </c>
    </row>
    <row r="186" spans="1:10" ht="16" x14ac:dyDescent="0.2">
      <c r="A186">
        <v>173</v>
      </c>
      <c r="B186" s="24">
        <v>45947</v>
      </c>
      <c r="C186" s="4" t="s">
        <v>232</v>
      </c>
      <c r="D186" t="s">
        <v>996</v>
      </c>
      <c r="E186" s="6" t="s">
        <v>83</v>
      </c>
      <c r="F186" s="11" t="s">
        <v>11</v>
      </c>
      <c r="G186">
        <v>500000</v>
      </c>
      <c r="H186">
        <v>700000</v>
      </c>
      <c r="I186" t="e" cm="1">
        <f t="array" ref="I186">_xlfn.IFS(F186=H186,1,F186=G186,0,F186&lt;&gt;G186,(F186-G186)/(G186))</f>
        <v>#VALUE!</v>
      </c>
      <c r="J186" t="str">
        <f t="shared" si="2"/>
        <v>Предупреждение</v>
      </c>
    </row>
    <row r="187" spans="1:10" ht="16" x14ac:dyDescent="0.2">
      <c r="A187">
        <v>173</v>
      </c>
      <c r="B187" s="24">
        <v>45947</v>
      </c>
      <c r="C187" s="4" t="s">
        <v>232</v>
      </c>
      <c r="D187" t="s">
        <v>996</v>
      </c>
      <c r="E187" s="6" t="s">
        <v>83</v>
      </c>
      <c r="F187" s="11" t="s">
        <v>11</v>
      </c>
      <c r="G187">
        <v>500000</v>
      </c>
      <c r="H187">
        <v>700000</v>
      </c>
      <c r="I187" t="e" cm="1">
        <f t="array" ref="I187">_xlfn.IFS(F187=H187,1,F187=G187,0,F187&lt;&gt;G187,(F187-G187)/(G187))</f>
        <v>#VALUE!</v>
      </c>
      <c r="J187" t="str">
        <f t="shared" si="2"/>
        <v>Предупреждение</v>
      </c>
    </row>
    <row r="188" spans="1:10" ht="16" x14ac:dyDescent="0.2">
      <c r="A188">
        <v>174</v>
      </c>
      <c r="B188" s="24">
        <v>45947</v>
      </c>
      <c r="C188" s="4" t="s">
        <v>233</v>
      </c>
      <c r="D188" t="s">
        <v>997</v>
      </c>
      <c r="E188" s="6" t="s">
        <v>23</v>
      </c>
      <c r="F188" s="11">
        <v>3000</v>
      </c>
      <c r="G188">
        <v>3000</v>
      </c>
      <c r="H188">
        <v>5000</v>
      </c>
      <c r="I188" cm="1">
        <f t="array" ref="I188">_xlfn.IFS(F188=H188,1,F188=G188,0,F188&lt;&gt;G188,(F188-G188)/(G188))</f>
        <v>0</v>
      </c>
      <c r="J188" t="str">
        <f t="shared" si="2"/>
        <v>Минимум</v>
      </c>
    </row>
    <row r="189" spans="1:10" ht="16" x14ac:dyDescent="0.2">
      <c r="A189">
        <v>175</v>
      </c>
      <c r="B189" s="24">
        <v>45947</v>
      </c>
      <c r="C189" s="4" t="s">
        <v>235</v>
      </c>
      <c r="D189" t="s">
        <v>997</v>
      </c>
      <c r="E189" s="6" t="s">
        <v>23</v>
      </c>
      <c r="F189" s="11">
        <v>3000</v>
      </c>
      <c r="G189">
        <v>3000</v>
      </c>
      <c r="H189">
        <v>5000</v>
      </c>
      <c r="I189" cm="1">
        <f t="array" ref="I189">_xlfn.IFS(F189=H189,1,F189=G189,0,F189&lt;&gt;G189,(F189-G189)/(G189))</f>
        <v>0</v>
      </c>
      <c r="J189" t="str">
        <f t="shared" si="2"/>
        <v>Минимум</v>
      </c>
    </row>
    <row r="190" spans="1:10" ht="16" x14ac:dyDescent="0.2">
      <c r="A190">
        <v>176</v>
      </c>
      <c r="B190" s="24">
        <v>45947</v>
      </c>
      <c r="C190" s="4" t="s">
        <v>236</v>
      </c>
      <c r="D190" t="s">
        <v>997</v>
      </c>
      <c r="E190" s="6" t="s">
        <v>23</v>
      </c>
      <c r="F190" s="11">
        <v>3000</v>
      </c>
      <c r="G190">
        <v>3000</v>
      </c>
      <c r="H190">
        <v>5000</v>
      </c>
      <c r="I190" cm="1">
        <f t="array" ref="I190">_xlfn.IFS(F190=H190,1,F190=G190,0,F190&lt;&gt;G190,(F190-G190)/(G190))</f>
        <v>0</v>
      </c>
      <c r="J190" t="str">
        <f t="shared" si="2"/>
        <v>Минимум</v>
      </c>
    </row>
    <row r="191" spans="1:10" ht="16" x14ac:dyDescent="0.2">
      <c r="A191">
        <v>177</v>
      </c>
      <c r="B191" s="24">
        <v>45946</v>
      </c>
      <c r="C191" s="4" t="s">
        <v>238</v>
      </c>
      <c r="D191" t="s">
        <v>997</v>
      </c>
      <c r="E191" s="6" t="s">
        <v>23</v>
      </c>
      <c r="F191" s="11">
        <v>3000</v>
      </c>
      <c r="G191">
        <v>3000</v>
      </c>
      <c r="H191">
        <v>5000</v>
      </c>
      <c r="I191" cm="1">
        <f t="array" ref="I191">_xlfn.IFS(F191=H191,1,F191=G191,0,F191&lt;&gt;G191,(F191-G191)/(G191))</f>
        <v>0</v>
      </c>
      <c r="J191" t="str">
        <f t="shared" si="2"/>
        <v>Минимум</v>
      </c>
    </row>
    <row r="192" spans="1:10" ht="16" x14ac:dyDescent="0.2">
      <c r="A192">
        <v>178</v>
      </c>
      <c r="B192" s="24">
        <v>45944</v>
      </c>
      <c r="C192" s="4" t="s">
        <v>240</v>
      </c>
      <c r="D192" t="s">
        <v>996</v>
      </c>
      <c r="E192" s="6" t="s">
        <v>8</v>
      </c>
      <c r="F192" s="11" t="s">
        <v>11</v>
      </c>
      <c r="G192">
        <v>300000</v>
      </c>
      <c r="H192">
        <v>500000</v>
      </c>
      <c r="I192" t="e" cm="1">
        <f t="array" ref="I192">_xlfn.IFS(F192=H192,1,F192=G192,0,F192&lt;&gt;G192,(F192-G192)/(G192))</f>
        <v>#VALUE!</v>
      </c>
      <c r="J192" t="str">
        <f t="shared" si="2"/>
        <v>Предупреждение</v>
      </c>
    </row>
    <row r="193" spans="1:10" ht="16" x14ac:dyDescent="0.2">
      <c r="A193">
        <v>179</v>
      </c>
      <c r="B193" s="24">
        <v>45940</v>
      </c>
      <c r="C193" s="4" t="s">
        <v>241</v>
      </c>
      <c r="D193" t="s">
        <v>997</v>
      </c>
      <c r="E193" s="6" t="s">
        <v>23</v>
      </c>
      <c r="F193" s="11">
        <v>3000</v>
      </c>
      <c r="G193">
        <v>3000</v>
      </c>
      <c r="H193">
        <v>5000</v>
      </c>
      <c r="I193" cm="1">
        <f t="array" ref="I193">_xlfn.IFS(F193=H193,1,F193=G193,0,F193&lt;&gt;G193,(F193-G193)/(G193))</f>
        <v>0</v>
      </c>
      <c r="J193" t="str">
        <f t="shared" si="2"/>
        <v>Минимум</v>
      </c>
    </row>
    <row r="194" spans="1:10" ht="16" x14ac:dyDescent="0.2">
      <c r="A194">
        <v>180</v>
      </c>
      <c r="B194" s="24">
        <v>45940</v>
      </c>
      <c r="C194" s="4" t="s">
        <v>242</v>
      </c>
      <c r="D194" t="s">
        <v>997</v>
      </c>
      <c r="E194" s="6" t="s">
        <v>23</v>
      </c>
      <c r="F194" s="11">
        <v>3000</v>
      </c>
      <c r="G194">
        <v>3000</v>
      </c>
      <c r="H194">
        <v>5000</v>
      </c>
      <c r="I194" cm="1">
        <f t="array" ref="I194">_xlfn.IFS(F194=H194,1,F194=G194,0,F194&lt;&gt;G194,(F194-G194)/(G194))</f>
        <v>0</v>
      </c>
      <c r="J194" t="str">
        <f t="shared" si="2"/>
        <v>Минимум</v>
      </c>
    </row>
    <row r="195" spans="1:10" ht="16" x14ac:dyDescent="0.2">
      <c r="A195">
        <v>181</v>
      </c>
      <c r="B195" s="24">
        <v>45940</v>
      </c>
      <c r="C195" s="4" t="s">
        <v>243</v>
      </c>
      <c r="D195" t="s">
        <v>997</v>
      </c>
      <c r="E195" s="6" t="s">
        <v>23</v>
      </c>
      <c r="F195" s="11">
        <v>3000</v>
      </c>
      <c r="G195">
        <v>3000</v>
      </c>
      <c r="H195">
        <v>5000</v>
      </c>
      <c r="I195" cm="1">
        <f t="array" ref="I195">_xlfn.IFS(F195=H195,1,F195=G195,0,F195&lt;&gt;G195,(F195-G195)/(G195))</f>
        <v>0</v>
      </c>
      <c r="J195" t="str">
        <f t="shared" ref="J195:J258" si="3">IF(ISERROR(I195),"Предупреждение",
IF(I195&lt;0,"Ниже минимума",
IF(I195=0,"Минимум",
IF(I195&lt;1,"В диапазоне",
IF(I195=1,"Максимум",
"Выше максимума")))))</f>
        <v>Минимум</v>
      </c>
    </row>
    <row r="196" spans="1:10" ht="16" x14ac:dyDescent="0.2">
      <c r="A196">
        <v>182</v>
      </c>
      <c r="B196" s="24">
        <v>45940</v>
      </c>
      <c r="C196" s="4" t="s">
        <v>227</v>
      </c>
      <c r="D196" t="s">
        <v>996</v>
      </c>
      <c r="E196" s="6" t="s">
        <v>168</v>
      </c>
      <c r="F196" s="11">
        <v>20000</v>
      </c>
      <c r="G196">
        <v>10000</v>
      </c>
      <c r="H196">
        <v>20000</v>
      </c>
      <c r="I196" cm="1">
        <f t="array" ref="I196">_xlfn.IFS(F196=H196,1,F196=G196,0,F196&lt;&gt;G196,(F196-G196)/(G196))</f>
        <v>1</v>
      </c>
      <c r="J196" t="str">
        <f t="shared" si="3"/>
        <v>Максимум</v>
      </c>
    </row>
    <row r="197" spans="1:10" ht="16" x14ac:dyDescent="0.2">
      <c r="A197">
        <v>183</v>
      </c>
      <c r="B197" s="24">
        <v>45939</v>
      </c>
      <c r="C197" s="4" t="s">
        <v>245</v>
      </c>
      <c r="D197" t="s">
        <v>997</v>
      </c>
      <c r="E197" s="6" t="s">
        <v>23</v>
      </c>
      <c r="F197" s="11">
        <v>3000</v>
      </c>
      <c r="G197">
        <v>3000</v>
      </c>
      <c r="H197">
        <v>5000</v>
      </c>
      <c r="I197" cm="1">
        <f t="array" ref="I197">_xlfn.IFS(F197=H197,1,F197=G197,0,F197&lt;&gt;G197,(F197-G197)/(G197))</f>
        <v>0</v>
      </c>
      <c r="J197" t="str">
        <f t="shared" si="3"/>
        <v>Минимум</v>
      </c>
    </row>
    <row r="198" spans="1:10" ht="16" x14ac:dyDescent="0.2">
      <c r="A198">
        <v>184</v>
      </c>
      <c r="B198" s="24">
        <v>45938</v>
      </c>
      <c r="C198" s="4" t="s">
        <v>247</v>
      </c>
      <c r="D198" t="s">
        <v>997</v>
      </c>
      <c r="E198" s="6" t="s">
        <v>23</v>
      </c>
      <c r="F198" s="11">
        <v>3000</v>
      </c>
      <c r="G198">
        <v>3000</v>
      </c>
      <c r="H198">
        <v>5000</v>
      </c>
      <c r="I198" cm="1">
        <f t="array" ref="I198">_xlfn.IFS(F198=H198,1,F198=G198,0,F198&lt;&gt;G198,(F198-G198)/(G198))</f>
        <v>0</v>
      </c>
      <c r="J198" t="str">
        <f t="shared" si="3"/>
        <v>Минимум</v>
      </c>
    </row>
    <row r="199" spans="1:10" ht="16" x14ac:dyDescent="0.2">
      <c r="A199">
        <v>185</v>
      </c>
      <c r="B199" s="24">
        <v>45937</v>
      </c>
      <c r="C199" s="4" t="s">
        <v>250</v>
      </c>
      <c r="D199" t="s">
        <v>997</v>
      </c>
      <c r="E199" s="6" t="s">
        <v>23</v>
      </c>
      <c r="F199" s="11">
        <v>3000</v>
      </c>
      <c r="G199">
        <v>3000</v>
      </c>
      <c r="H199">
        <v>5000</v>
      </c>
      <c r="I199" cm="1">
        <f t="array" ref="I199">_xlfn.IFS(F199=H199,1,F199=G199,0,F199&lt;&gt;G199,(F199-G199)/(G199))</f>
        <v>0</v>
      </c>
      <c r="J199" t="str">
        <f t="shared" si="3"/>
        <v>Минимум</v>
      </c>
    </row>
    <row r="200" spans="1:10" ht="16" x14ac:dyDescent="0.2">
      <c r="A200">
        <v>186</v>
      </c>
      <c r="B200" s="24">
        <v>45937</v>
      </c>
      <c r="C200" s="4" t="s">
        <v>251</v>
      </c>
      <c r="D200" t="s">
        <v>997</v>
      </c>
      <c r="E200" s="6" t="s">
        <v>23</v>
      </c>
      <c r="F200" s="11">
        <v>3000</v>
      </c>
      <c r="G200">
        <v>3000</v>
      </c>
      <c r="H200">
        <v>5000</v>
      </c>
      <c r="I200" cm="1">
        <f t="array" ref="I200">_xlfn.IFS(F200=H200,1,F200=G200,0,F200&lt;&gt;G200,(F200-G200)/(G200))</f>
        <v>0</v>
      </c>
      <c r="J200" t="str">
        <f t="shared" si="3"/>
        <v>Минимум</v>
      </c>
    </row>
    <row r="201" spans="1:10" ht="16" x14ac:dyDescent="0.2">
      <c r="A201">
        <v>187</v>
      </c>
      <c r="B201" s="24">
        <v>45937</v>
      </c>
      <c r="C201" s="4" t="s">
        <v>252</v>
      </c>
      <c r="D201" t="s">
        <v>997</v>
      </c>
      <c r="E201" s="6" t="s">
        <v>23</v>
      </c>
      <c r="F201" s="11">
        <v>3000</v>
      </c>
      <c r="G201">
        <v>3000</v>
      </c>
      <c r="H201">
        <v>5000</v>
      </c>
      <c r="I201" cm="1">
        <f t="array" ref="I201">_xlfn.IFS(F201=H201,1,F201=G201,0,F201&lt;&gt;G201,(F201-G201)/(G201))</f>
        <v>0</v>
      </c>
      <c r="J201" t="str">
        <f t="shared" si="3"/>
        <v>Минимум</v>
      </c>
    </row>
    <row r="202" spans="1:10" ht="16" x14ac:dyDescent="0.2">
      <c r="A202">
        <v>188</v>
      </c>
      <c r="B202" s="24">
        <v>45933</v>
      </c>
      <c r="C202" s="4" t="s">
        <v>253</v>
      </c>
      <c r="D202" t="s">
        <v>997</v>
      </c>
      <c r="E202" s="6" t="s">
        <v>23</v>
      </c>
      <c r="F202" s="11">
        <v>3000</v>
      </c>
      <c r="G202">
        <v>3000</v>
      </c>
      <c r="H202">
        <v>5000</v>
      </c>
      <c r="I202" cm="1">
        <f t="array" ref="I202">_xlfn.IFS(F202=H202,1,F202=G202,0,F202&lt;&gt;G202,(F202-G202)/(G202))</f>
        <v>0</v>
      </c>
      <c r="J202" t="str">
        <f t="shared" si="3"/>
        <v>Минимум</v>
      </c>
    </row>
    <row r="203" spans="1:10" ht="16" x14ac:dyDescent="0.2">
      <c r="A203">
        <v>189</v>
      </c>
      <c r="B203" s="24">
        <v>45933</v>
      </c>
      <c r="C203" s="4" t="s">
        <v>254</v>
      </c>
      <c r="D203" t="s">
        <v>997</v>
      </c>
      <c r="E203" s="6" t="s">
        <v>23</v>
      </c>
      <c r="F203" s="11">
        <v>3000</v>
      </c>
      <c r="G203">
        <v>3000</v>
      </c>
      <c r="H203">
        <v>5000</v>
      </c>
      <c r="I203" cm="1">
        <f t="array" ref="I203">_xlfn.IFS(F203=H203,1,F203=G203,0,F203&lt;&gt;G203,(F203-G203)/(G203))</f>
        <v>0</v>
      </c>
      <c r="J203" t="str">
        <f t="shared" si="3"/>
        <v>Минимум</v>
      </c>
    </row>
    <row r="204" spans="1:10" ht="16" x14ac:dyDescent="0.2">
      <c r="A204">
        <v>190</v>
      </c>
      <c r="B204" s="24">
        <v>45933</v>
      </c>
      <c r="C204" s="4" t="s">
        <v>255</v>
      </c>
      <c r="D204" t="s">
        <v>997</v>
      </c>
      <c r="E204" s="6" t="s">
        <v>23</v>
      </c>
      <c r="F204" s="11">
        <v>3000</v>
      </c>
      <c r="G204">
        <v>3000</v>
      </c>
      <c r="H204">
        <v>5000</v>
      </c>
      <c r="I204" cm="1">
        <f t="array" ref="I204">_xlfn.IFS(F204=H204,1,F204=G204,0,F204&lt;&gt;G204,(F204-G204)/(G204))</f>
        <v>0</v>
      </c>
      <c r="J204" t="str">
        <f t="shared" si="3"/>
        <v>Минимум</v>
      </c>
    </row>
    <row r="205" spans="1:10" ht="16" x14ac:dyDescent="0.2">
      <c r="A205">
        <v>191</v>
      </c>
      <c r="B205" s="24">
        <v>45933</v>
      </c>
      <c r="C205" s="4" t="s">
        <v>256</v>
      </c>
      <c r="D205" t="s">
        <v>997</v>
      </c>
      <c r="E205" s="6" t="s">
        <v>23</v>
      </c>
      <c r="F205" s="11">
        <v>3000</v>
      </c>
      <c r="G205">
        <v>3000</v>
      </c>
      <c r="H205">
        <v>5000</v>
      </c>
      <c r="I205" cm="1">
        <f t="array" ref="I205">_xlfn.IFS(F205=H205,1,F205=G205,0,F205&lt;&gt;G205,(F205-G205)/(G205))</f>
        <v>0</v>
      </c>
      <c r="J205" t="str">
        <f t="shared" si="3"/>
        <v>Минимум</v>
      </c>
    </row>
    <row r="206" spans="1:10" ht="16" x14ac:dyDescent="0.2">
      <c r="A206">
        <v>192</v>
      </c>
      <c r="B206" s="24">
        <v>45930</v>
      </c>
      <c r="C206" s="4" t="s">
        <v>258</v>
      </c>
      <c r="D206" t="s">
        <v>997</v>
      </c>
      <c r="E206" s="6" t="s">
        <v>23</v>
      </c>
      <c r="F206" s="11">
        <v>3000</v>
      </c>
      <c r="G206">
        <v>3000</v>
      </c>
      <c r="H206">
        <v>5000</v>
      </c>
      <c r="I206" cm="1">
        <f t="array" ref="I206">_xlfn.IFS(F206=H206,1,F206=G206,0,F206&lt;&gt;G206,(F206-G206)/(G206))</f>
        <v>0</v>
      </c>
      <c r="J206" t="str">
        <f t="shared" si="3"/>
        <v>Минимум</v>
      </c>
    </row>
    <row r="207" spans="1:10" ht="48" x14ac:dyDescent="0.2">
      <c r="A207">
        <v>193</v>
      </c>
      <c r="B207" s="24">
        <v>45930</v>
      </c>
      <c r="C207" s="4" t="s">
        <v>169</v>
      </c>
      <c r="D207" t="s">
        <v>996</v>
      </c>
      <c r="E207" s="6" t="s">
        <v>80</v>
      </c>
      <c r="F207" s="11">
        <v>700000</v>
      </c>
      <c r="G207">
        <v>700000</v>
      </c>
      <c r="H207">
        <v>1000000</v>
      </c>
      <c r="I207" cm="1">
        <f t="array" ref="I207">_xlfn.IFS(F207=H207,1,F207=G207,0,F207&lt;&gt;G207,(F207-G207)/(G207))</f>
        <v>0</v>
      </c>
      <c r="J207" t="str">
        <f t="shared" si="3"/>
        <v>Минимум</v>
      </c>
    </row>
    <row r="208" spans="1:10" ht="32" x14ac:dyDescent="0.2">
      <c r="A208">
        <v>194</v>
      </c>
      <c r="B208" s="24">
        <v>45930</v>
      </c>
      <c r="C208" s="4" t="s">
        <v>259</v>
      </c>
      <c r="D208" t="s">
        <v>996</v>
      </c>
      <c r="E208" s="6" t="s">
        <v>72</v>
      </c>
      <c r="F208" s="11">
        <v>250000</v>
      </c>
      <c r="G208">
        <v>500000</v>
      </c>
      <c r="H208">
        <v>700000</v>
      </c>
      <c r="I208" cm="1">
        <f t="array" ref="I208">_xlfn.IFS(F208=H208,1,F208=G208,0,F208&lt;&gt;G208,(F208-G208)/(G208))</f>
        <v>-0.5</v>
      </c>
      <c r="J208" t="str">
        <f t="shared" si="3"/>
        <v>Ниже минимума</v>
      </c>
    </row>
    <row r="209" spans="1:10" ht="16" x14ac:dyDescent="0.2">
      <c r="A209">
        <v>195</v>
      </c>
      <c r="B209" s="24">
        <v>45930</v>
      </c>
      <c r="C209" s="4" t="s">
        <v>260</v>
      </c>
      <c r="D209" t="s">
        <v>997</v>
      </c>
      <c r="E209" s="6" t="s">
        <v>23</v>
      </c>
      <c r="F209" s="11">
        <v>3000</v>
      </c>
      <c r="G209">
        <v>3000</v>
      </c>
      <c r="H209">
        <v>5000</v>
      </c>
      <c r="I209" cm="1">
        <f t="array" ref="I209">_xlfn.IFS(F209=H209,1,F209=G209,0,F209&lt;&gt;G209,(F209-G209)/(G209))</f>
        <v>0</v>
      </c>
      <c r="J209" t="str">
        <f t="shared" si="3"/>
        <v>Минимум</v>
      </c>
    </row>
    <row r="210" spans="1:10" ht="16" x14ac:dyDescent="0.2">
      <c r="A210">
        <v>197</v>
      </c>
      <c r="B210" s="24">
        <v>45926</v>
      </c>
      <c r="C210" s="4" t="s">
        <v>262</v>
      </c>
      <c r="D210" t="s">
        <v>996</v>
      </c>
      <c r="E210" s="6" t="s">
        <v>75</v>
      </c>
      <c r="F210" s="11">
        <v>250000</v>
      </c>
      <c r="G210">
        <v>500000</v>
      </c>
      <c r="H210">
        <v>700000</v>
      </c>
      <c r="I210" cm="1">
        <f t="array" ref="I210">_xlfn.IFS(F210=H210,1,F210=G210,0,F210&lt;&gt;G210,(F210-G210)/(G210))</f>
        <v>-0.5</v>
      </c>
      <c r="J210" t="str">
        <f t="shared" si="3"/>
        <v>Ниже минимума</v>
      </c>
    </row>
    <row r="211" spans="1:10" ht="16" x14ac:dyDescent="0.2">
      <c r="A211">
        <v>198</v>
      </c>
      <c r="B211" s="24">
        <v>45926</v>
      </c>
      <c r="C211" s="4" t="s">
        <v>263</v>
      </c>
      <c r="D211" t="s">
        <v>996</v>
      </c>
      <c r="E211" s="6" t="s">
        <v>264</v>
      </c>
      <c r="F211" s="11">
        <v>300000</v>
      </c>
      <c r="G211">
        <v>300000</v>
      </c>
      <c r="H211">
        <v>700000</v>
      </c>
      <c r="I211" cm="1">
        <f t="array" ref="I211">_xlfn.IFS(F211=H211,1,F211=G211,0,F211&lt;&gt;G211,(F211-G211)/(G211))</f>
        <v>0</v>
      </c>
      <c r="J211" t="str">
        <f t="shared" si="3"/>
        <v>Минимум</v>
      </c>
    </row>
    <row r="212" spans="1:10" ht="16" x14ac:dyDescent="0.2">
      <c r="A212">
        <v>198</v>
      </c>
      <c r="B212" s="24">
        <v>45926</v>
      </c>
      <c r="C212" s="4" t="s">
        <v>263</v>
      </c>
      <c r="D212" t="s">
        <v>996</v>
      </c>
      <c r="E212" s="6" t="s">
        <v>266</v>
      </c>
      <c r="F212" s="11" t="s">
        <v>11</v>
      </c>
      <c r="G212">
        <v>300000</v>
      </c>
      <c r="H212">
        <v>500000</v>
      </c>
      <c r="I212" t="e" cm="1">
        <f t="array" ref="I212">_xlfn.IFS(F212=H212,1,F212=G212,0,F212&lt;&gt;G212,(F212-G212)/(G212))</f>
        <v>#VALUE!</v>
      </c>
      <c r="J212" t="str">
        <f t="shared" si="3"/>
        <v>Предупреждение</v>
      </c>
    </row>
    <row r="213" spans="1:10" ht="16" x14ac:dyDescent="0.2">
      <c r="A213">
        <v>199</v>
      </c>
      <c r="B213" s="24">
        <v>45926</v>
      </c>
      <c r="C213" s="4" t="s">
        <v>267</v>
      </c>
      <c r="D213" t="s">
        <v>997</v>
      </c>
      <c r="E213" s="6" t="s">
        <v>23</v>
      </c>
      <c r="F213" s="11">
        <v>3000</v>
      </c>
      <c r="G213">
        <v>3000</v>
      </c>
      <c r="H213">
        <v>5000</v>
      </c>
      <c r="I213" cm="1">
        <f t="array" ref="I213">_xlfn.IFS(F213=H213,1,F213=G213,0,F213&lt;&gt;G213,(F213-G213)/(G213))</f>
        <v>0</v>
      </c>
      <c r="J213" t="str">
        <f t="shared" si="3"/>
        <v>Минимум</v>
      </c>
    </row>
    <row r="214" spans="1:10" ht="16" x14ac:dyDescent="0.2">
      <c r="A214">
        <v>200</v>
      </c>
      <c r="B214" s="24">
        <v>45926</v>
      </c>
      <c r="C214" s="4" t="s">
        <v>268</v>
      </c>
      <c r="D214" t="s">
        <v>996</v>
      </c>
      <c r="E214" s="6" t="s">
        <v>75</v>
      </c>
      <c r="F214" s="11">
        <v>350000</v>
      </c>
      <c r="G214">
        <v>500000</v>
      </c>
      <c r="H214">
        <v>700000</v>
      </c>
      <c r="I214" cm="1">
        <f t="array" ref="I214">_xlfn.IFS(F214=H214,1,F214=G214,0,F214&lt;&gt;G214,(F214-G214)/(G214))</f>
        <v>-0.3</v>
      </c>
      <c r="J214" t="str">
        <f t="shared" si="3"/>
        <v>Ниже минимума</v>
      </c>
    </row>
    <row r="215" spans="1:10" ht="16" x14ac:dyDescent="0.2">
      <c r="A215">
        <v>201</v>
      </c>
      <c r="B215" s="24">
        <v>45923</v>
      </c>
      <c r="C215" s="4" t="s">
        <v>269</v>
      </c>
      <c r="D215" t="s">
        <v>996</v>
      </c>
      <c r="E215" s="6" t="s">
        <v>168</v>
      </c>
      <c r="F215" s="11">
        <v>20000</v>
      </c>
      <c r="G215">
        <v>10000</v>
      </c>
      <c r="H215">
        <v>20000</v>
      </c>
      <c r="I215" cm="1">
        <f t="array" ref="I215">_xlfn.IFS(F215=H215,1,F215=G215,0,F215&lt;&gt;G215,(F215-G215)/(G215))</f>
        <v>1</v>
      </c>
      <c r="J215" t="str">
        <f t="shared" si="3"/>
        <v>Максимум</v>
      </c>
    </row>
    <row r="216" spans="1:10" ht="32" x14ac:dyDescent="0.2">
      <c r="A216">
        <v>202</v>
      </c>
      <c r="B216" s="24">
        <v>45923</v>
      </c>
      <c r="C216" s="4" t="s">
        <v>270</v>
      </c>
      <c r="D216" t="s">
        <v>996</v>
      </c>
      <c r="E216" s="6" t="s">
        <v>5</v>
      </c>
      <c r="F216" s="11">
        <v>700000</v>
      </c>
      <c r="G216">
        <v>700000</v>
      </c>
      <c r="H216">
        <v>1000000</v>
      </c>
      <c r="I216" cm="1">
        <f t="array" ref="I216">_xlfn.IFS(F216=H216,1,F216=G216,0,F216&lt;&gt;G216,(F216-G216)/(G216))</f>
        <v>0</v>
      </c>
      <c r="J216" t="str">
        <f t="shared" si="3"/>
        <v>Минимум</v>
      </c>
    </row>
    <row r="217" spans="1:10" ht="32" x14ac:dyDescent="0.2">
      <c r="A217">
        <v>202</v>
      </c>
      <c r="B217" s="24">
        <v>45923</v>
      </c>
      <c r="C217" s="4" t="s">
        <v>270</v>
      </c>
      <c r="D217" t="s">
        <v>996</v>
      </c>
      <c r="E217" s="6" t="s">
        <v>83</v>
      </c>
      <c r="F217" s="11">
        <v>500000</v>
      </c>
      <c r="G217">
        <v>500000</v>
      </c>
      <c r="H217">
        <v>700000</v>
      </c>
      <c r="I217" cm="1">
        <f t="array" ref="I217">_xlfn.IFS(F217=H217,1,F217=G217,0,F217&lt;&gt;G217,(F217-G217)/(G217))</f>
        <v>0</v>
      </c>
      <c r="J217" t="str">
        <f t="shared" si="3"/>
        <v>Минимум</v>
      </c>
    </row>
    <row r="218" spans="1:10" ht="16" x14ac:dyDescent="0.2">
      <c r="A218">
        <v>203</v>
      </c>
      <c r="B218" s="24">
        <v>45923</v>
      </c>
      <c r="C218" s="4" t="s">
        <v>271</v>
      </c>
      <c r="D218" t="s">
        <v>996</v>
      </c>
      <c r="E218" s="6" t="s">
        <v>8</v>
      </c>
      <c r="F218" s="11">
        <v>150000</v>
      </c>
      <c r="G218">
        <v>300000</v>
      </c>
      <c r="H218">
        <v>500000</v>
      </c>
      <c r="I218" cm="1">
        <f t="array" ref="I218">_xlfn.IFS(F218=H218,1,F218=G218,0,F218&lt;&gt;G218,(F218-G218)/(G218))</f>
        <v>-0.5</v>
      </c>
      <c r="J218" t="str">
        <f t="shared" si="3"/>
        <v>Ниже минимума</v>
      </c>
    </row>
    <row r="219" spans="1:10" ht="16" x14ac:dyDescent="0.2">
      <c r="A219">
        <v>204</v>
      </c>
      <c r="B219" s="24">
        <v>45922</v>
      </c>
      <c r="C219" s="4" t="s">
        <v>273</v>
      </c>
      <c r="D219" t="s">
        <v>996</v>
      </c>
      <c r="E219" s="6" t="s">
        <v>274</v>
      </c>
      <c r="F219" s="11" t="s">
        <v>11</v>
      </c>
      <c r="G219">
        <v>300000</v>
      </c>
      <c r="H219">
        <v>500000</v>
      </c>
      <c r="I219" t="e" cm="1">
        <f t="array" ref="I219">_xlfn.IFS(F219=H219,1,F219=G219,0,F219&lt;&gt;G219,(F219-G219)/(G219))</f>
        <v>#VALUE!</v>
      </c>
      <c r="J219" t="str">
        <f t="shared" si="3"/>
        <v>Предупреждение</v>
      </c>
    </row>
    <row r="220" spans="1:10" ht="16" x14ac:dyDescent="0.2">
      <c r="A220">
        <v>206</v>
      </c>
      <c r="B220" s="24">
        <v>45919</v>
      </c>
      <c r="C220" s="4" t="s">
        <v>275</v>
      </c>
      <c r="D220" t="s">
        <v>996</v>
      </c>
      <c r="E220" s="6" t="s">
        <v>8</v>
      </c>
      <c r="F220" s="11">
        <v>300000</v>
      </c>
      <c r="G220">
        <v>300000</v>
      </c>
      <c r="H220">
        <v>500000</v>
      </c>
      <c r="I220" cm="1">
        <f t="array" ref="I220">_xlfn.IFS(F220=H220,1,F220=G220,0,F220&lt;&gt;G220,(F220-G220)/(G220))</f>
        <v>0</v>
      </c>
      <c r="J220" t="str">
        <f t="shared" si="3"/>
        <v>Минимум</v>
      </c>
    </row>
    <row r="221" spans="1:10" ht="32" x14ac:dyDescent="0.2">
      <c r="A221">
        <v>207</v>
      </c>
      <c r="B221" s="24">
        <v>45916</v>
      </c>
      <c r="C221" s="4" t="s">
        <v>277</v>
      </c>
      <c r="D221" t="s">
        <v>996</v>
      </c>
      <c r="E221" s="6" t="s">
        <v>8</v>
      </c>
      <c r="F221" s="11" t="s">
        <v>11</v>
      </c>
      <c r="G221">
        <v>300000</v>
      </c>
      <c r="H221">
        <v>500000</v>
      </c>
      <c r="I221" t="e" cm="1">
        <f t="array" ref="I221">_xlfn.IFS(F221=H221,1,F221=G221,0,F221&lt;&gt;G221,(F221-G221)/(G221))</f>
        <v>#VALUE!</v>
      </c>
      <c r="J221" t="str">
        <f t="shared" si="3"/>
        <v>Предупреждение</v>
      </c>
    </row>
    <row r="222" spans="1:10" ht="32" x14ac:dyDescent="0.2">
      <c r="A222">
        <v>208</v>
      </c>
      <c r="B222" s="24">
        <v>45916</v>
      </c>
      <c r="C222" s="4" t="s">
        <v>85</v>
      </c>
      <c r="D222" t="s">
        <v>996</v>
      </c>
      <c r="E222" s="6" t="s">
        <v>8</v>
      </c>
      <c r="F222" s="11">
        <v>300000</v>
      </c>
      <c r="G222">
        <v>300000</v>
      </c>
      <c r="H222">
        <v>500000</v>
      </c>
      <c r="I222" cm="1">
        <f t="array" ref="I222">_xlfn.IFS(F222=H222,1,F222=G222,0,F222&lt;&gt;G222,(F222-G222)/(G222))</f>
        <v>0</v>
      </c>
      <c r="J222" t="str">
        <f t="shared" si="3"/>
        <v>Минимум</v>
      </c>
    </row>
    <row r="223" spans="1:10" ht="16" x14ac:dyDescent="0.2">
      <c r="A223">
        <v>209</v>
      </c>
      <c r="B223" s="24">
        <v>45912</v>
      </c>
      <c r="C223" s="4" t="s">
        <v>279</v>
      </c>
      <c r="D223" t="s">
        <v>997</v>
      </c>
      <c r="E223" s="6" t="s">
        <v>23</v>
      </c>
      <c r="F223" s="11">
        <v>3000</v>
      </c>
      <c r="G223">
        <v>3000</v>
      </c>
      <c r="H223">
        <v>5000</v>
      </c>
      <c r="I223" cm="1">
        <f t="array" ref="I223">_xlfn.IFS(F223=H223,1,F223=G223,0,F223&lt;&gt;G223,(F223-G223)/(G223))</f>
        <v>0</v>
      </c>
      <c r="J223" t="str">
        <f t="shared" si="3"/>
        <v>Минимум</v>
      </c>
    </row>
    <row r="224" spans="1:10" ht="16" x14ac:dyDescent="0.2">
      <c r="A224">
        <v>210</v>
      </c>
      <c r="B224" s="24">
        <v>45912</v>
      </c>
      <c r="C224" s="4" t="s">
        <v>281</v>
      </c>
      <c r="D224" t="s">
        <v>997</v>
      </c>
      <c r="E224" s="6" t="s">
        <v>23</v>
      </c>
      <c r="F224" s="11">
        <v>3000</v>
      </c>
      <c r="G224">
        <v>3000</v>
      </c>
      <c r="H224">
        <v>5000</v>
      </c>
      <c r="I224" cm="1">
        <f t="array" ref="I224">_xlfn.IFS(F224=H224,1,F224=G224,0,F224&lt;&gt;G224,(F224-G224)/(G224))</f>
        <v>0</v>
      </c>
      <c r="J224" t="str">
        <f t="shared" si="3"/>
        <v>Минимум</v>
      </c>
    </row>
    <row r="225" spans="1:10" ht="16" x14ac:dyDescent="0.2">
      <c r="A225">
        <v>211</v>
      </c>
      <c r="B225" s="24">
        <v>45912</v>
      </c>
      <c r="C225" s="4" t="s">
        <v>282</v>
      </c>
      <c r="D225" t="s">
        <v>997</v>
      </c>
      <c r="E225" s="6" t="s">
        <v>23</v>
      </c>
      <c r="F225" s="11">
        <v>3000</v>
      </c>
      <c r="G225">
        <v>3000</v>
      </c>
      <c r="H225">
        <v>5000</v>
      </c>
      <c r="I225" cm="1">
        <f t="array" ref="I225">_xlfn.IFS(F225=H225,1,F225=G225,0,F225&lt;&gt;G225,(F225-G225)/(G225))</f>
        <v>0</v>
      </c>
      <c r="J225" t="str">
        <f t="shared" si="3"/>
        <v>Минимум</v>
      </c>
    </row>
    <row r="226" spans="1:10" ht="16" x14ac:dyDescent="0.2">
      <c r="A226">
        <v>212</v>
      </c>
      <c r="B226" s="24">
        <v>45909</v>
      </c>
      <c r="C226" s="4" t="s">
        <v>269</v>
      </c>
      <c r="D226" t="s">
        <v>996</v>
      </c>
      <c r="E226" s="6" t="s">
        <v>168</v>
      </c>
      <c r="F226" s="11">
        <v>20000</v>
      </c>
      <c r="G226">
        <v>10000</v>
      </c>
      <c r="H226">
        <v>20000</v>
      </c>
      <c r="I226" cm="1">
        <f t="array" ref="I226">_xlfn.IFS(F226=H226,1,F226=G226,0,F226&lt;&gt;G226,(F226-G226)/(G226))</f>
        <v>1</v>
      </c>
      <c r="J226" t="str">
        <f t="shared" si="3"/>
        <v>Максимум</v>
      </c>
    </row>
    <row r="227" spans="1:10" ht="16" x14ac:dyDescent="0.2">
      <c r="A227">
        <v>215</v>
      </c>
      <c r="B227" s="24">
        <v>45902</v>
      </c>
      <c r="C227" s="4" t="s">
        <v>284</v>
      </c>
      <c r="D227" t="s">
        <v>996</v>
      </c>
      <c r="E227" s="6" t="s">
        <v>83</v>
      </c>
      <c r="F227" s="11">
        <v>500000</v>
      </c>
      <c r="G227">
        <v>500000</v>
      </c>
      <c r="H227">
        <v>700000</v>
      </c>
      <c r="I227" cm="1">
        <f t="array" ref="I227">_xlfn.IFS(F227=H227,1,F227=G227,0,F227&lt;&gt;G227,(F227-G227)/(G227))</f>
        <v>0</v>
      </c>
      <c r="J227" t="str">
        <f t="shared" si="3"/>
        <v>Минимум</v>
      </c>
    </row>
    <row r="228" spans="1:10" ht="32" x14ac:dyDescent="0.2">
      <c r="A228">
        <v>216</v>
      </c>
      <c r="B228" s="24">
        <v>45902</v>
      </c>
      <c r="C228" s="4" t="s">
        <v>133</v>
      </c>
      <c r="D228" t="s">
        <v>996</v>
      </c>
      <c r="E228" s="6" t="s">
        <v>8</v>
      </c>
      <c r="F228" s="11">
        <v>150000</v>
      </c>
      <c r="G228">
        <v>300000</v>
      </c>
      <c r="H228">
        <v>500000</v>
      </c>
      <c r="I228" cm="1">
        <f t="array" ref="I228">_xlfn.IFS(F228=H228,1,F228=G228,0,F228&lt;&gt;G228,(F228-G228)/(G228))</f>
        <v>-0.5</v>
      </c>
      <c r="J228" t="str">
        <f t="shared" si="3"/>
        <v>Ниже минимума</v>
      </c>
    </row>
    <row r="229" spans="1:10" ht="16" x14ac:dyDescent="0.2">
      <c r="A229">
        <v>217</v>
      </c>
      <c r="B229" s="24">
        <v>45902</v>
      </c>
      <c r="C229" s="4" t="s">
        <v>285</v>
      </c>
      <c r="D229" t="s">
        <v>996</v>
      </c>
      <c r="E229" s="6" t="s">
        <v>72</v>
      </c>
      <c r="F229" s="11">
        <v>350000</v>
      </c>
      <c r="G229">
        <v>500000</v>
      </c>
      <c r="H229">
        <v>700000</v>
      </c>
      <c r="I229" cm="1">
        <f t="array" ref="I229">_xlfn.IFS(F229=H229,1,F229=G229,0,F229&lt;&gt;G229,(F229-G229)/(G229))</f>
        <v>-0.3</v>
      </c>
      <c r="J229" t="str">
        <f t="shared" si="3"/>
        <v>Ниже минимума</v>
      </c>
    </row>
    <row r="230" spans="1:10" ht="16" x14ac:dyDescent="0.2">
      <c r="A230">
        <v>218</v>
      </c>
      <c r="B230" s="24">
        <v>45898</v>
      </c>
      <c r="C230" s="4" t="s">
        <v>269</v>
      </c>
      <c r="D230" t="s">
        <v>996</v>
      </c>
      <c r="E230" s="6" t="s">
        <v>168</v>
      </c>
      <c r="F230" s="11">
        <v>20000</v>
      </c>
      <c r="G230">
        <v>10000</v>
      </c>
      <c r="H230">
        <v>20000</v>
      </c>
      <c r="I230" cm="1">
        <f t="array" ref="I230">_xlfn.IFS(F230=H230,1,F230=G230,0,F230&lt;&gt;G230,(F230-G230)/(G230))</f>
        <v>1</v>
      </c>
      <c r="J230" t="str">
        <f t="shared" si="3"/>
        <v>Максимум</v>
      </c>
    </row>
    <row r="231" spans="1:10" ht="16" x14ac:dyDescent="0.2">
      <c r="A231">
        <v>219</v>
      </c>
      <c r="B231" s="24">
        <v>45898</v>
      </c>
      <c r="C231" s="4" t="s">
        <v>287</v>
      </c>
      <c r="D231" t="s">
        <v>997</v>
      </c>
      <c r="E231" s="6" t="s">
        <v>23</v>
      </c>
      <c r="F231" s="11">
        <v>5000</v>
      </c>
      <c r="G231">
        <v>3000</v>
      </c>
      <c r="H231">
        <v>5000</v>
      </c>
      <c r="I231" cm="1">
        <f t="array" ref="I231">_xlfn.IFS(F231=H231,1,F231=G231,0,F231&lt;&gt;G231,(F231-G231)/(G231))</f>
        <v>1</v>
      </c>
      <c r="J231" t="str">
        <f t="shared" si="3"/>
        <v>Максимум</v>
      </c>
    </row>
    <row r="232" spans="1:10" ht="48" x14ac:dyDescent="0.2">
      <c r="A232">
        <v>220</v>
      </c>
      <c r="B232" s="24">
        <v>45895</v>
      </c>
      <c r="C232" s="4" t="s">
        <v>289</v>
      </c>
      <c r="D232" t="s">
        <v>996</v>
      </c>
      <c r="E232" s="6" t="s">
        <v>5</v>
      </c>
      <c r="F232" s="11">
        <v>700000</v>
      </c>
      <c r="G232">
        <v>700000</v>
      </c>
      <c r="H232">
        <v>1000000</v>
      </c>
      <c r="I232" cm="1">
        <f t="array" ref="I232">_xlfn.IFS(F232=H232,1,F232=G232,0,F232&lt;&gt;G232,(F232-G232)/(G232))</f>
        <v>0</v>
      </c>
      <c r="J232" t="str">
        <f t="shared" si="3"/>
        <v>Минимум</v>
      </c>
    </row>
    <row r="233" spans="1:10" ht="16" x14ac:dyDescent="0.2">
      <c r="A233">
        <v>221</v>
      </c>
      <c r="B233" s="24">
        <v>45894</v>
      </c>
      <c r="C233" s="4" t="s">
        <v>291</v>
      </c>
      <c r="D233" t="s">
        <v>996</v>
      </c>
      <c r="E233" s="6" t="s">
        <v>83</v>
      </c>
      <c r="F233" s="11">
        <v>500000</v>
      </c>
      <c r="G233">
        <v>500000</v>
      </c>
      <c r="H233">
        <v>700000</v>
      </c>
      <c r="I233" cm="1">
        <f t="array" ref="I233">_xlfn.IFS(F233=H233,1,F233=G233,0,F233&lt;&gt;G233,(F233-G233)/(G233))</f>
        <v>0</v>
      </c>
      <c r="J233" t="str">
        <f t="shared" si="3"/>
        <v>Минимум</v>
      </c>
    </row>
    <row r="234" spans="1:10" ht="32" x14ac:dyDescent="0.2">
      <c r="A234">
        <v>222</v>
      </c>
      <c r="B234" s="24">
        <v>45894</v>
      </c>
      <c r="C234" s="4" t="s">
        <v>292</v>
      </c>
      <c r="D234" t="s">
        <v>996</v>
      </c>
      <c r="E234" s="6" t="s">
        <v>8</v>
      </c>
      <c r="F234" s="11">
        <v>350000</v>
      </c>
      <c r="G234">
        <v>300000</v>
      </c>
      <c r="H234">
        <v>500000</v>
      </c>
      <c r="I234" cm="1">
        <f t="array" ref="I234">_xlfn.IFS(F234=H234,1,F234=G234,0,F234&lt;&gt;G234,(F234-G234)/(G234))</f>
        <v>0.16666666666666666</v>
      </c>
      <c r="J234" t="str">
        <f t="shared" si="3"/>
        <v>В диапазоне</v>
      </c>
    </row>
    <row r="235" spans="1:10" ht="32" x14ac:dyDescent="0.2">
      <c r="A235">
        <v>223</v>
      </c>
      <c r="B235" s="24">
        <v>45891</v>
      </c>
      <c r="C235" s="4" t="s">
        <v>294</v>
      </c>
      <c r="D235" t="s">
        <v>996</v>
      </c>
      <c r="E235" s="6" t="s">
        <v>8</v>
      </c>
      <c r="F235" s="11" t="s">
        <v>11</v>
      </c>
      <c r="G235">
        <v>300000</v>
      </c>
      <c r="H235">
        <v>500000</v>
      </c>
      <c r="I235" t="e" cm="1">
        <f t="array" ref="I235">_xlfn.IFS(F235=H235,1,F235=G235,0,F235&lt;&gt;G235,(F235-G235)/(G235))</f>
        <v>#VALUE!</v>
      </c>
      <c r="J235" t="str">
        <f t="shared" si="3"/>
        <v>Предупреждение</v>
      </c>
    </row>
    <row r="236" spans="1:10" ht="16" x14ac:dyDescent="0.2">
      <c r="A236">
        <v>224</v>
      </c>
      <c r="B236" s="24">
        <v>45888</v>
      </c>
      <c r="C236" s="4" t="s">
        <v>296</v>
      </c>
      <c r="D236" t="s">
        <v>997</v>
      </c>
      <c r="E236" s="6" t="s">
        <v>23</v>
      </c>
      <c r="F236" s="11">
        <v>3000</v>
      </c>
      <c r="G236">
        <v>3000</v>
      </c>
      <c r="H236">
        <v>5000</v>
      </c>
      <c r="I236" cm="1">
        <f t="array" ref="I236">_xlfn.IFS(F236=H236,1,F236=G236,0,F236&lt;&gt;G236,(F236-G236)/(G236))</f>
        <v>0</v>
      </c>
      <c r="J236" t="str">
        <f t="shared" si="3"/>
        <v>Минимум</v>
      </c>
    </row>
    <row r="237" spans="1:10" ht="16" x14ac:dyDescent="0.2">
      <c r="A237">
        <v>225</v>
      </c>
      <c r="B237" s="24">
        <v>45888</v>
      </c>
      <c r="C237" s="4" t="s">
        <v>297</v>
      </c>
      <c r="D237" t="s">
        <v>996</v>
      </c>
      <c r="E237" s="6" t="s">
        <v>8</v>
      </c>
      <c r="F237" s="11">
        <v>300000</v>
      </c>
      <c r="G237">
        <v>300000</v>
      </c>
      <c r="H237">
        <v>500000</v>
      </c>
      <c r="I237" cm="1">
        <f t="array" ref="I237">_xlfn.IFS(F237=H237,1,F237=G237,0,F237&lt;&gt;G237,(F237-G237)/(G237))</f>
        <v>0</v>
      </c>
      <c r="J237" t="str">
        <f t="shared" si="3"/>
        <v>Минимум</v>
      </c>
    </row>
    <row r="238" spans="1:10" ht="32" x14ac:dyDescent="0.2">
      <c r="A238">
        <v>226</v>
      </c>
      <c r="B238" s="24">
        <v>45888</v>
      </c>
      <c r="C238" s="4" t="s">
        <v>298</v>
      </c>
      <c r="D238" t="s">
        <v>996</v>
      </c>
      <c r="E238" s="6" t="s">
        <v>80</v>
      </c>
      <c r="F238" s="11">
        <v>350000</v>
      </c>
      <c r="G238">
        <v>700000</v>
      </c>
      <c r="H238">
        <v>1000000</v>
      </c>
      <c r="I238" cm="1">
        <f t="array" ref="I238">_xlfn.IFS(F238=H238,1,F238=G238,0,F238&lt;&gt;G238,(F238-G238)/(G238))</f>
        <v>-0.5</v>
      </c>
      <c r="J238" t="str">
        <f t="shared" si="3"/>
        <v>Ниже минимума</v>
      </c>
    </row>
    <row r="239" spans="1:10" ht="48" x14ac:dyDescent="0.2">
      <c r="A239">
        <v>227</v>
      </c>
      <c r="B239" s="24">
        <v>45888</v>
      </c>
      <c r="C239" s="4" t="s">
        <v>299</v>
      </c>
      <c r="D239" t="s">
        <v>996</v>
      </c>
      <c r="E239" s="6" t="s">
        <v>83</v>
      </c>
      <c r="F239" s="11" t="s">
        <v>11</v>
      </c>
      <c r="G239">
        <v>500000</v>
      </c>
      <c r="H239">
        <v>700000</v>
      </c>
      <c r="I239" t="e" cm="1">
        <f t="array" ref="I239">_xlfn.IFS(F239=H239,1,F239=G239,0,F239&lt;&gt;G239,(F239-G239)/(G239))</f>
        <v>#VALUE!</v>
      </c>
      <c r="J239" t="str">
        <f t="shared" si="3"/>
        <v>Предупреждение</v>
      </c>
    </row>
    <row r="240" spans="1:10" ht="16" x14ac:dyDescent="0.2">
      <c r="A240">
        <v>228</v>
      </c>
      <c r="B240" s="24">
        <v>45887</v>
      </c>
      <c r="C240" s="4" t="s">
        <v>301</v>
      </c>
      <c r="D240" t="s">
        <v>996</v>
      </c>
      <c r="E240" s="6" t="s">
        <v>80</v>
      </c>
      <c r="F240" s="11">
        <v>700000</v>
      </c>
      <c r="G240">
        <v>700000</v>
      </c>
      <c r="H240">
        <v>1000000</v>
      </c>
      <c r="I240" cm="1">
        <f t="array" ref="I240">_xlfn.IFS(F240=H240,1,F240=G240,0,F240&lt;&gt;G240,(F240-G240)/(G240))</f>
        <v>0</v>
      </c>
      <c r="J240" t="str">
        <f t="shared" si="3"/>
        <v>Минимум</v>
      </c>
    </row>
    <row r="241" spans="1:10" ht="32" x14ac:dyDescent="0.2">
      <c r="A241">
        <v>229</v>
      </c>
      <c r="B241" s="24">
        <v>45887</v>
      </c>
      <c r="C241" s="4" t="s">
        <v>302</v>
      </c>
      <c r="D241" t="s">
        <v>996</v>
      </c>
      <c r="E241" s="6" t="s">
        <v>80</v>
      </c>
      <c r="F241" s="11" t="s">
        <v>11</v>
      </c>
      <c r="G241">
        <v>700000</v>
      </c>
      <c r="H241">
        <v>1000000</v>
      </c>
      <c r="I241" t="e" cm="1">
        <f t="array" ref="I241">_xlfn.IFS(F241=H241,1,F241=G241,0,F241&lt;&gt;G241,(F241-G241)/(G241))</f>
        <v>#VALUE!</v>
      </c>
      <c r="J241" t="str">
        <f t="shared" si="3"/>
        <v>Предупреждение</v>
      </c>
    </row>
    <row r="242" spans="1:10" ht="16" x14ac:dyDescent="0.2">
      <c r="A242">
        <v>230</v>
      </c>
      <c r="B242" s="24">
        <v>45884</v>
      </c>
      <c r="C242" s="4" t="s">
        <v>304</v>
      </c>
      <c r="D242" t="s">
        <v>996</v>
      </c>
      <c r="E242" s="6" t="s">
        <v>75</v>
      </c>
      <c r="F242" s="11">
        <v>250000</v>
      </c>
      <c r="G242">
        <v>500000</v>
      </c>
      <c r="H242">
        <v>700000</v>
      </c>
      <c r="I242" cm="1">
        <f t="array" ref="I242">_xlfn.IFS(F242=H242,1,F242=G242,0,F242&lt;&gt;G242,(F242-G242)/(G242))</f>
        <v>-0.5</v>
      </c>
      <c r="J242" t="str">
        <f t="shared" si="3"/>
        <v>Ниже минимума</v>
      </c>
    </row>
    <row r="243" spans="1:10" ht="16" x14ac:dyDescent="0.2">
      <c r="A243">
        <v>231</v>
      </c>
      <c r="B243" s="24">
        <v>45884</v>
      </c>
      <c r="C243" s="4" t="s">
        <v>306</v>
      </c>
      <c r="D243" t="s">
        <v>996</v>
      </c>
      <c r="E243" s="6" t="s">
        <v>72</v>
      </c>
      <c r="F243" s="11">
        <v>250000</v>
      </c>
      <c r="G243">
        <v>500000</v>
      </c>
      <c r="H243">
        <v>700000</v>
      </c>
      <c r="I243" cm="1">
        <f t="array" ref="I243">_xlfn.IFS(F243=H243,1,F243=G243,0,F243&lt;&gt;G243,(F243-G243)/(G243))</f>
        <v>-0.5</v>
      </c>
      <c r="J243" t="str">
        <f t="shared" si="3"/>
        <v>Ниже минимума</v>
      </c>
    </row>
    <row r="244" spans="1:10" ht="16" x14ac:dyDescent="0.2">
      <c r="A244">
        <v>232</v>
      </c>
      <c r="B244" s="24">
        <v>45881</v>
      </c>
      <c r="C244" s="4" t="s">
        <v>307</v>
      </c>
      <c r="D244" t="s">
        <v>996</v>
      </c>
      <c r="E244" s="6" t="s">
        <v>8</v>
      </c>
      <c r="F244" s="11">
        <v>300000</v>
      </c>
      <c r="G244">
        <v>300000</v>
      </c>
      <c r="H244">
        <v>500000</v>
      </c>
      <c r="I244" cm="1">
        <f t="array" ref="I244">_xlfn.IFS(F244=H244,1,F244=G244,0,F244&lt;&gt;G244,(F244-G244)/(G244))</f>
        <v>0</v>
      </c>
      <c r="J244" t="str">
        <f t="shared" si="3"/>
        <v>Минимум</v>
      </c>
    </row>
    <row r="245" spans="1:10" ht="16" x14ac:dyDescent="0.2">
      <c r="A245">
        <v>233</v>
      </c>
      <c r="B245" s="24">
        <v>45881</v>
      </c>
      <c r="C245" s="4" t="s">
        <v>308</v>
      </c>
      <c r="D245" t="s">
        <v>997</v>
      </c>
      <c r="E245" s="6" t="s">
        <v>309</v>
      </c>
      <c r="F245" s="11">
        <v>30000</v>
      </c>
      <c r="G245">
        <v>3000</v>
      </c>
      <c r="H245">
        <v>5000</v>
      </c>
      <c r="I245" cm="1">
        <f t="array" ref="I245">_xlfn.IFS(F245=H245,1,F245=G245,0,F245&lt;&gt;G245,(F245-G245)/(G245))</f>
        <v>9</v>
      </c>
      <c r="J245" t="str">
        <f t="shared" si="3"/>
        <v>Выше максимума</v>
      </c>
    </row>
    <row r="246" spans="1:10" ht="16" x14ac:dyDescent="0.2">
      <c r="A246">
        <v>234</v>
      </c>
      <c r="B246" s="24">
        <v>45881</v>
      </c>
      <c r="C246" s="4" t="s">
        <v>310</v>
      </c>
      <c r="D246" t="s">
        <v>997</v>
      </c>
      <c r="E246" s="6" t="s">
        <v>23</v>
      </c>
      <c r="F246" s="11">
        <v>3000</v>
      </c>
      <c r="G246">
        <v>3000</v>
      </c>
      <c r="H246">
        <v>5000</v>
      </c>
      <c r="I246" cm="1">
        <f t="array" ref="I246">_xlfn.IFS(F246=H246,1,F246=G246,0,F246&lt;&gt;G246,(F246-G246)/(G246))</f>
        <v>0</v>
      </c>
      <c r="J246" t="str">
        <f t="shared" si="3"/>
        <v>Минимум</v>
      </c>
    </row>
    <row r="247" spans="1:10" ht="64" x14ac:dyDescent="0.2">
      <c r="A247">
        <v>235</v>
      </c>
      <c r="B247" s="24">
        <v>45881</v>
      </c>
      <c r="C247" s="4" t="s">
        <v>311</v>
      </c>
      <c r="D247" t="s">
        <v>996</v>
      </c>
      <c r="E247" s="6" t="s">
        <v>8</v>
      </c>
      <c r="F247" s="11">
        <v>150000</v>
      </c>
      <c r="G247">
        <v>300000</v>
      </c>
      <c r="H247">
        <v>500000</v>
      </c>
      <c r="I247" cm="1">
        <f t="array" ref="I247">_xlfn.IFS(F247=H247,1,F247=G247,0,F247&lt;&gt;G247,(F247-G247)/(G247))</f>
        <v>-0.5</v>
      </c>
      <c r="J247" t="str">
        <f t="shared" si="3"/>
        <v>Ниже минимума</v>
      </c>
    </row>
    <row r="248" spans="1:10" ht="48" x14ac:dyDescent="0.2">
      <c r="A248">
        <v>236</v>
      </c>
      <c r="B248" s="24">
        <v>45881</v>
      </c>
      <c r="C248" s="4" t="s">
        <v>289</v>
      </c>
      <c r="D248" t="s">
        <v>996</v>
      </c>
      <c r="E248" s="6" t="s">
        <v>80</v>
      </c>
      <c r="F248" s="11">
        <v>700000</v>
      </c>
      <c r="G248">
        <v>700000</v>
      </c>
      <c r="H248">
        <v>1000000</v>
      </c>
      <c r="I248" cm="1">
        <f t="array" ref="I248">_xlfn.IFS(F248=H248,1,F248=G248,0,F248&lt;&gt;G248,(F248-G248)/(G248))</f>
        <v>0</v>
      </c>
      <c r="J248" t="str">
        <f t="shared" si="3"/>
        <v>Минимум</v>
      </c>
    </row>
    <row r="249" spans="1:10" ht="16" x14ac:dyDescent="0.2">
      <c r="A249">
        <v>237</v>
      </c>
      <c r="B249" s="24">
        <v>45881</v>
      </c>
      <c r="C249" s="4" t="s">
        <v>263</v>
      </c>
      <c r="D249" t="s">
        <v>996</v>
      </c>
      <c r="E249" s="6" t="s">
        <v>83</v>
      </c>
      <c r="F249" s="11" t="s">
        <v>11</v>
      </c>
      <c r="G249">
        <v>500000</v>
      </c>
      <c r="H249">
        <v>700000</v>
      </c>
      <c r="I249" t="e" cm="1">
        <f t="array" ref="I249">_xlfn.IFS(F249=H249,1,F249=G249,0,F249&lt;&gt;G249,(F249-G249)/(G249))</f>
        <v>#VALUE!</v>
      </c>
      <c r="J249" t="str">
        <f t="shared" si="3"/>
        <v>Предупреждение</v>
      </c>
    </row>
    <row r="250" spans="1:10" ht="16" x14ac:dyDescent="0.2">
      <c r="A250">
        <v>238</v>
      </c>
      <c r="B250" s="24">
        <v>45877</v>
      </c>
      <c r="C250" s="4" t="s">
        <v>313</v>
      </c>
      <c r="D250" t="s">
        <v>997</v>
      </c>
      <c r="E250" s="6" t="s">
        <v>23</v>
      </c>
      <c r="F250" s="11">
        <v>3000</v>
      </c>
      <c r="G250">
        <v>3000</v>
      </c>
      <c r="H250">
        <v>5000</v>
      </c>
      <c r="I250" cm="1">
        <f t="array" ref="I250">_xlfn.IFS(F250=H250,1,F250=G250,0,F250&lt;&gt;G250,(F250-G250)/(G250))</f>
        <v>0</v>
      </c>
      <c r="J250" t="str">
        <f t="shared" si="3"/>
        <v>Минимум</v>
      </c>
    </row>
    <row r="251" spans="1:10" ht="16" x14ac:dyDescent="0.2">
      <c r="A251">
        <v>239</v>
      </c>
      <c r="B251" s="24">
        <v>45877</v>
      </c>
      <c r="C251" s="4" t="s">
        <v>314</v>
      </c>
      <c r="D251" t="s">
        <v>997</v>
      </c>
      <c r="E251" s="6" t="s">
        <v>23</v>
      </c>
      <c r="F251" s="11">
        <v>3000</v>
      </c>
      <c r="G251">
        <v>3000</v>
      </c>
      <c r="H251">
        <v>5000</v>
      </c>
      <c r="I251" cm="1">
        <f t="array" ref="I251">_xlfn.IFS(F251=H251,1,F251=G251,0,F251&lt;&gt;G251,(F251-G251)/(G251))</f>
        <v>0</v>
      </c>
      <c r="J251" t="str">
        <f t="shared" si="3"/>
        <v>Минимум</v>
      </c>
    </row>
    <row r="252" spans="1:10" ht="16" x14ac:dyDescent="0.2">
      <c r="A252">
        <v>240</v>
      </c>
      <c r="B252" s="24">
        <v>45877</v>
      </c>
      <c r="C252" s="4" t="s">
        <v>315</v>
      </c>
      <c r="D252" t="s">
        <v>996</v>
      </c>
      <c r="E252" s="6" t="s">
        <v>80</v>
      </c>
      <c r="F252" s="11" t="s">
        <v>11</v>
      </c>
      <c r="G252">
        <v>700000</v>
      </c>
      <c r="H252">
        <v>1000000</v>
      </c>
      <c r="I252" t="e" cm="1">
        <f t="array" ref="I252">_xlfn.IFS(F252=H252,1,F252=G252,0,F252&lt;&gt;G252,(F252-G252)/(G252))</f>
        <v>#VALUE!</v>
      </c>
      <c r="J252" t="str">
        <f t="shared" si="3"/>
        <v>Предупреждение</v>
      </c>
    </row>
    <row r="253" spans="1:10" ht="16" x14ac:dyDescent="0.2">
      <c r="A253">
        <v>241</v>
      </c>
      <c r="B253" s="24">
        <v>45877</v>
      </c>
      <c r="C253" s="4" t="s">
        <v>316</v>
      </c>
      <c r="D253" t="s">
        <v>996</v>
      </c>
      <c r="E253" s="6" t="s">
        <v>8</v>
      </c>
      <c r="F253" s="11" t="s">
        <v>11</v>
      </c>
      <c r="G253">
        <v>300000</v>
      </c>
      <c r="H253">
        <v>500000</v>
      </c>
      <c r="I253" t="e" cm="1">
        <f t="array" ref="I253">_xlfn.IFS(F253=H253,1,F253=G253,0,F253&lt;&gt;G253,(F253-G253)/(G253))</f>
        <v>#VALUE!</v>
      </c>
      <c r="J253" t="str">
        <f t="shared" si="3"/>
        <v>Предупреждение</v>
      </c>
    </row>
    <row r="254" spans="1:10" ht="16" x14ac:dyDescent="0.2">
      <c r="A254">
        <v>242</v>
      </c>
      <c r="B254" s="24">
        <v>45874</v>
      </c>
      <c r="C254" s="4" t="s">
        <v>318</v>
      </c>
      <c r="D254" t="s">
        <v>997</v>
      </c>
      <c r="E254" s="6" t="s">
        <v>23</v>
      </c>
      <c r="F254" s="11">
        <v>3000</v>
      </c>
      <c r="G254">
        <v>3000</v>
      </c>
      <c r="H254">
        <v>5000</v>
      </c>
      <c r="I254" cm="1">
        <f t="array" ref="I254">_xlfn.IFS(F254=H254,1,F254=G254,0,F254&lt;&gt;G254,(F254-G254)/(G254))</f>
        <v>0</v>
      </c>
      <c r="J254" t="str">
        <f t="shared" si="3"/>
        <v>Минимум</v>
      </c>
    </row>
    <row r="255" spans="1:10" ht="16" x14ac:dyDescent="0.2">
      <c r="A255">
        <v>243</v>
      </c>
      <c r="B255" s="24">
        <v>45874</v>
      </c>
      <c r="C255" s="4" t="s">
        <v>319</v>
      </c>
      <c r="D255" t="s">
        <v>996</v>
      </c>
      <c r="E255" s="6" t="s">
        <v>8</v>
      </c>
      <c r="F255" s="11" t="s">
        <v>11</v>
      </c>
      <c r="G255">
        <v>300000</v>
      </c>
      <c r="H255">
        <v>500000</v>
      </c>
      <c r="I255" t="e" cm="1">
        <f t="array" ref="I255">_xlfn.IFS(F255=H255,1,F255=G255,0,F255&lt;&gt;G255,(F255-G255)/(G255))</f>
        <v>#VALUE!</v>
      </c>
      <c r="J255" t="str">
        <f t="shared" si="3"/>
        <v>Предупреждение</v>
      </c>
    </row>
    <row r="256" spans="1:10" ht="16" x14ac:dyDescent="0.2">
      <c r="A256">
        <v>244</v>
      </c>
      <c r="B256" s="24">
        <v>45874</v>
      </c>
      <c r="C256" s="4" t="s">
        <v>99</v>
      </c>
      <c r="D256" t="s">
        <v>996</v>
      </c>
      <c r="E256" s="6" t="s">
        <v>7</v>
      </c>
      <c r="F256" s="11">
        <v>700000</v>
      </c>
      <c r="G256">
        <v>700000</v>
      </c>
      <c r="H256">
        <v>1000000</v>
      </c>
      <c r="I256" cm="1">
        <f t="array" ref="I256">_xlfn.IFS(F256=H256,1,F256=G256,0,F256&lt;&gt;G256,(F256-G256)/(G256))</f>
        <v>0</v>
      </c>
      <c r="J256" t="str">
        <f t="shared" si="3"/>
        <v>Минимум</v>
      </c>
    </row>
    <row r="257" spans="1:10" ht="16" x14ac:dyDescent="0.2">
      <c r="A257">
        <v>244</v>
      </c>
      <c r="B257" s="24">
        <v>45874</v>
      </c>
      <c r="C257" s="4" t="s">
        <v>99</v>
      </c>
      <c r="D257" t="s">
        <v>996</v>
      </c>
      <c r="E257" s="6" t="s">
        <v>8</v>
      </c>
      <c r="F257" s="11">
        <v>300000</v>
      </c>
      <c r="G257">
        <v>300000</v>
      </c>
      <c r="H257">
        <v>500000</v>
      </c>
      <c r="I257" cm="1">
        <f t="array" ref="I257">_xlfn.IFS(F257=H257,1,F257=G257,0,F257&lt;&gt;G257,(F257-G257)/(G257))</f>
        <v>0</v>
      </c>
      <c r="J257" t="str">
        <f t="shared" si="3"/>
        <v>Минимум</v>
      </c>
    </row>
    <row r="258" spans="1:10" ht="16" x14ac:dyDescent="0.2">
      <c r="A258">
        <v>245</v>
      </c>
      <c r="B258" s="24">
        <v>45874</v>
      </c>
      <c r="C258" s="4" t="s">
        <v>320</v>
      </c>
      <c r="D258" t="s">
        <v>996</v>
      </c>
      <c r="E258" s="6" t="s">
        <v>83</v>
      </c>
      <c r="F258" s="11" t="s">
        <v>11</v>
      </c>
      <c r="G258">
        <v>500000</v>
      </c>
      <c r="H258">
        <v>700000</v>
      </c>
      <c r="I258" t="e" cm="1">
        <f t="array" ref="I258">_xlfn.IFS(F258=H258,1,F258=G258,0,F258&lt;&gt;G258,(F258-G258)/(G258))</f>
        <v>#VALUE!</v>
      </c>
      <c r="J258" t="str">
        <f t="shared" si="3"/>
        <v>Предупреждение</v>
      </c>
    </row>
    <row r="259" spans="1:10" ht="16" x14ac:dyDescent="0.2">
      <c r="A259">
        <v>246</v>
      </c>
      <c r="B259" s="24">
        <v>45874</v>
      </c>
      <c r="C259" s="4" t="s">
        <v>285</v>
      </c>
      <c r="D259" t="s">
        <v>996</v>
      </c>
      <c r="E259" s="6" t="s">
        <v>72</v>
      </c>
      <c r="F259" s="11">
        <v>350000</v>
      </c>
      <c r="G259">
        <v>500000</v>
      </c>
      <c r="H259">
        <v>700000</v>
      </c>
      <c r="I259" cm="1">
        <f t="array" ref="I259">_xlfn.IFS(F259=H259,1,F259=G259,0,F259&lt;&gt;G259,(F259-G259)/(G259))</f>
        <v>-0.3</v>
      </c>
      <c r="J259" t="str">
        <f t="shared" ref="J259:J322" si="4">IF(ISERROR(I259),"Предупреждение",
IF(I259&lt;0,"Ниже минимума",
IF(I259=0,"Минимум",
IF(I259&lt;1,"В диапазоне",
IF(I259=1,"Максимум",
"Выше максимума")))))</f>
        <v>Ниже минимума</v>
      </c>
    </row>
    <row r="260" spans="1:10" ht="16" x14ac:dyDescent="0.2">
      <c r="A260">
        <v>247</v>
      </c>
      <c r="B260" s="24">
        <v>45873</v>
      </c>
      <c r="C260" s="4" t="s">
        <v>322</v>
      </c>
      <c r="D260" t="s">
        <v>997</v>
      </c>
      <c r="E260" s="6" t="s">
        <v>23</v>
      </c>
      <c r="F260" s="11">
        <v>3000</v>
      </c>
      <c r="G260">
        <v>3000</v>
      </c>
      <c r="H260">
        <v>5000</v>
      </c>
      <c r="I260" cm="1">
        <f t="array" ref="I260">_xlfn.IFS(F260=H260,1,F260=G260,0,F260&lt;&gt;G260,(F260-G260)/(G260))</f>
        <v>0</v>
      </c>
      <c r="J260" t="str">
        <f t="shared" si="4"/>
        <v>Минимум</v>
      </c>
    </row>
    <row r="261" spans="1:10" ht="16" x14ac:dyDescent="0.2">
      <c r="A261">
        <v>248</v>
      </c>
      <c r="B261" s="24">
        <v>45867</v>
      </c>
      <c r="C261" s="4" t="s">
        <v>324</v>
      </c>
      <c r="D261" t="s">
        <v>997</v>
      </c>
      <c r="E261" s="6" t="s">
        <v>23</v>
      </c>
      <c r="F261" s="11">
        <v>3000</v>
      </c>
      <c r="G261">
        <v>3000</v>
      </c>
      <c r="H261">
        <v>5000</v>
      </c>
      <c r="I261" cm="1">
        <f t="array" ref="I261">_xlfn.IFS(F261=H261,1,F261=G261,0,F261&lt;&gt;G261,(F261-G261)/(G261))</f>
        <v>0</v>
      </c>
      <c r="J261" t="str">
        <f t="shared" si="4"/>
        <v>Минимум</v>
      </c>
    </row>
    <row r="262" spans="1:10" ht="16" x14ac:dyDescent="0.2">
      <c r="A262">
        <v>249</v>
      </c>
      <c r="B262" s="24">
        <v>45867</v>
      </c>
      <c r="C262" s="4" t="s">
        <v>325</v>
      </c>
      <c r="D262" t="s">
        <v>997</v>
      </c>
      <c r="E262" s="6" t="s">
        <v>23</v>
      </c>
      <c r="F262" s="11">
        <v>3000</v>
      </c>
      <c r="G262">
        <v>3000</v>
      </c>
      <c r="H262">
        <v>5000</v>
      </c>
      <c r="I262" cm="1">
        <f t="array" ref="I262">_xlfn.IFS(F262=H262,1,F262=G262,0,F262&lt;&gt;G262,(F262-G262)/(G262))</f>
        <v>0</v>
      </c>
      <c r="J262" t="str">
        <f t="shared" si="4"/>
        <v>Минимум</v>
      </c>
    </row>
    <row r="263" spans="1:10" ht="16" x14ac:dyDescent="0.2">
      <c r="A263">
        <v>250</v>
      </c>
      <c r="B263" s="24">
        <v>45867</v>
      </c>
      <c r="C263" s="4" t="s">
        <v>326</v>
      </c>
      <c r="D263" t="s">
        <v>996</v>
      </c>
      <c r="E263" s="6" t="s">
        <v>327</v>
      </c>
      <c r="F263" s="11">
        <v>50000</v>
      </c>
      <c r="G263">
        <v>20000</v>
      </c>
      <c r="H263">
        <v>50000</v>
      </c>
      <c r="I263" cm="1">
        <f t="array" ref="I263">_xlfn.IFS(F263=H263,1,F263=G263,0,F263&lt;&gt;G263,(F263-G263)/(G263))</f>
        <v>1</v>
      </c>
      <c r="J263" t="str">
        <f t="shared" si="4"/>
        <v>Максимум</v>
      </c>
    </row>
    <row r="264" spans="1:10" ht="64" x14ac:dyDescent="0.2">
      <c r="A264">
        <v>251</v>
      </c>
      <c r="B264" s="24">
        <v>45866</v>
      </c>
      <c r="C264" s="4" t="s">
        <v>206</v>
      </c>
      <c r="D264" t="s">
        <v>996</v>
      </c>
      <c r="E264" s="6" t="s">
        <v>8</v>
      </c>
      <c r="F264" s="11">
        <v>350000</v>
      </c>
      <c r="G264">
        <v>300000</v>
      </c>
      <c r="H264">
        <v>500000</v>
      </c>
      <c r="I264" cm="1">
        <f t="array" ref="I264">_xlfn.IFS(F264=H264,1,F264=G264,0,F264&lt;&gt;G264,(F264-G264)/(G264))</f>
        <v>0.16666666666666666</v>
      </c>
      <c r="J264" t="str">
        <f t="shared" si="4"/>
        <v>В диапазоне</v>
      </c>
    </row>
    <row r="265" spans="1:10" ht="16" x14ac:dyDescent="0.2">
      <c r="A265">
        <v>252</v>
      </c>
      <c r="B265" s="24">
        <v>45860</v>
      </c>
      <c r="C265" s="4" t="s">
        <v>330</v>
      </c>
      <c r="D265" t="s">
        <v>996</v>
      </c>
      <c r="E265" s="6" t="s">
        <v>129</v>
      </c>
      <c r="F265" s="11">
        <v>10000</v>
      </c>
      <c r="G265">
        <v>10000</v>
      </c>
      <c r="H265">
        <v>20000</v>
      </c>
      <c r="I265" cm="1">
        <f t="array" ref="I265">_xlfn.IFS(F265=H265,1,F265=G265,0,F265&lt;&gt;G265,(F265-G265)/(G265))</f>
        <v>0</v>
      </c>
      <c r="J265" t="str">
        <f t="shared" si="4"/>
        <v>Минимум</v>
      </c>
    </row>
    <row r="266" spans="1:10" ht="16" x14ac:dyDescent="0.2">
      <c r="A266">
        <v>253</v>
      </c>
      <c r="B266" s="24">
        <v>45860</v>
      </c>
      <c r="C266" s="4" t="s">
        <v>331</v>
      </c>
      <c r="D266" t="s">
        <v>997</v>
      </c>
      <c r="E266" s="6" t="s">
        <v>23</v>
      </c>
      <c r="F266" s="11">
        <v>3000</v>
      </c>
      <c r="G266">
        <v>3000</v>
      </c>
      <c r="H266">
        <v>5000</v>
      </c>
      <c r="I266" cm="1">
        <f t="array" ref="I266">_xlfn.IFS(F266=H266,1,F266=G266,0,F266&lt;&gt;G266,(F266-G266)/(G266))</f>
        <v>0</v>
      </c>
      <c r="J266" t="str">
        <f t="shared" si="4"/>
        <v>Минимум</v>
      </c>
    </row>
    <row r="267" spans="1:10" ht="16" x14ac:dyDescent="0.2">
      <c r="A267">
        <v>254</v>
      </c>
      <c r="B267" s="24">
        <v>45860</v>
      </c>
      <c r="C267" s="4" t="s">
        <v>215</v>
      </c>
      <c r="D267" t="s">
        <v>996</v>
      </c>
      <c r="E267" s="6" t="s">
        <v>72</v>
      </c>
      <c r="F267" s="11">
        <v>250000</v>
      </c>
      <c r="G267">
        <v>500000</v>
      </c>
      <c r="H267">
        <v>700000</v>
      </c>
      <c r="I267" cm="1">
        <f t="array" ref="I267">_xlfn.IFS(F267=H267,1,F267=G267,0,F267&lt;&gt;G267,(F267-G267)/(G267))</f>
        <v>-0.5</v>
      </c>
      <c r="J267" t="str">
        <f t="shared" si="4"/>
        <v>Ниже минимума</v>
      </c>
    </row>
    <row r="268" spans="1:10" ht="32" x14ac:dyDescent="0.2">
      <c r="A268">
        <v>255</v>
      </c>
      <c r="B268" s="24">
        <v>45860</v>
      </c>
      <c r="C268" s="4" t="s">
        <v>85</v>
      </c>
      <c r="D268" t="s">
        <v>996</v>
      </c>
      <c r="E268" s="6" t="s">
        <v>80</v>
      </c>
      <c r="F268" s="11">
        <v>700000</v>
      </c>
      <c r="G268">
        <v>700000</v>
      </c>
      <c r="H268">
        <v>1000000</v>
      </c>
      <c r="I268" cm="1">
        <f t="array" ref="I268">_xlfn.IFS(F268=H268,1,F268=G268,0,F268&lt;&gt;G268,(F268-G268)/(G268))</f>
        <v>0</v>
      </c>
      <c r="J268" t="str">
        <f t="shared" si="4"/>
        <v>Минимум</v>
      </c>
    </row>
    <row r="269" spans="1:10" ht="32" x14ac:dyDescent="0.2">
      <c r="A269">
        <v>256</v>
      </c>
      <c r="B269" s="24">
        <v>45860</v>
      </c>
      <c r="C269" s="4" t="s">
        <v>332</v>
      </c>
      <c r="D269" t="s">
        <v>996</v>
      </c>
      <c r="E269" s="6" t="s">
        <v>8</v>
      </c>
      <c r="F269" s="11" t="s">
        <v>11</v>
      </c>
      <c r="G269">
        <v>300000</v>
      </c>
      <c r="H269">
        <v>500000</v>
      </c>
      <c r="I269" t="e" cm="1">
        <f t="array" ref="I269">_xlfn.IFS(F269=H269,1,F269=G269,0,F269&lt;&gt;G269,(F269-G269)/(G269))</f>
        <v>#VALUE!</v>
      </c>
      <c r="J269" t="str">
        <f t="shared" si="4"/>
        <v>Предупреждение</v>
      </c>
    </row>
    <row r="270" spans="1:10" ht="16" x14ac:dyDescent="0.2">
      <c r="A270">
        <v>257</v>
      </c>
      <c r="B270" s="24">
        <v>45856</v>
      </c>
      <c r="C270" s="4" t="s">
        <v>334</v>
      </c>
      <c r="D270" t="s">
        <v>997</v>
      </c>
      <c r="E270" s="6" t="s">
        <v>23</v>
      </c>
      <c r="F270" s="11">
        <v>30000</v>
      </c>
      <c r="G270">
        <v>3000</v>
      </c>
      <c r="H270">
        <v>5000</v>
      </c>
      <c r="I270" cm="1">
        <f t="array" ref="I270">_xlfn.IFS(F270=H270,1,F270=G270,0,F270&lt;&gt;G270,(F270-G270)/(G270))</f>
        <v>9</v>
      </c>
      <c r="J270" t="str">
        <f t="shared" si="4"/>
        <v>Выше максимума</v>
      </c>
    </row>
    <row r="271" spans="1:10" ht="16" x14ac:dyDescent="0.2">
      <c r="A271">
        <v>258</v>
      </c>
      <c r="B271" s="24">
        <v>45856</v>
      </c>
      <c r="C271" s="4" t="s">
        <v>335</v>
      </c>
      <c r="D271" t="s">
        <v>997</v>
      </c>
      <c r="E271" s="6" t="s">
        <v>23</v>
      </c>
      <c r="F271" s="11">
        <v>3000</v>
      </c>
      <c r="G271">
        <v>3000</v>
      </c>
      <c r="H271">
        <v>5000</v>
      </c>
      <c r="I271" cm="1">
        <f t="array" ref="I271">_xlfn.IFS(F271=H271,1,F271=G271,0,F271&lt;&gt;G271,(F271-G271)/(G271))</f>
        <v>0</v>
      </c>
      <c r="J271" t="str">
        <f t="shared" si="4"/>
        <v>Минимум</v>
      </c>
    </row>
    <row r="272" spans="1:10" ht="16" x14ac:dyDescent="0.2">
      <c r="A272">
        <v>259</v>
      </c>
      <c r="B272" s="24">
        <v>45856</v>
      </c>
      <c r="C272" s="4" t="s">
        <v>336</v>
      </c>
      <c r="D272" t="s">
        <v>997</v>
      </c>
      <c r="E272" s="6" t="s">
        <v>23</v>
      </c>
      <c r="F272" s="11">
        <v>3000</v>
      </c>
      <c r="G272">
        <v>3000</v>
      </c>
      <c r="H272">
        <v>5000</v>
      </c>
      <c r="I272" cm="1">
        <f t="array" ref="I272">_xlfn.IFS(F272=H272,1,F272=G272,0,F272&lt;&gt;G272,(F272-G272)/(G272))</f>
        <v>0</v>
      </c>
      <c r="J272" t="str">
        <f t="shared" si="4"/>
        <v>Минимум</v>
      </c>
    </row>
    <row r="273" spans="1:10" ht="16" x14ac:dyDescent="0.2">
      <c r="A273">
        <v>260</v>
      </c>
      <c r="B273" s="24">
        <v>45856</v>
      </c>
      <c r="C273" s="4" t="s">
        <v>285</v>
      </c>
      <c r="D273" t="s">
        <v>996</v>
      </c>
      <c r="E273" s="6" t="s">
        <v>72</v>
      </c>
      <c r="F273" s="11">
        <v>250000</v>
      </c>
      <c r="G273">
        <v>500000</v>
      </c>
      <c r="H273">
        <v>700000</v>
      </c>
      <c r="I273" cm="1">
        <f t="array" ref="I273">_xlfn.IFS(F273=H273,1,F273=G273,0,F273&lt;&gt;G273,(F273-G273)/(G273))</f>
        <v>-0.5</v>
      </c>
      <c r="J273" t="str">
        <f t="shared" si="4"/>
        <v>Ниже минимума</v>
      </c>
    </row>
    <row r="274" spans="1:10" ht="16" x14ac:dyDescent="0.2">
      <c r="A274">
        <v>261</v>
      </c>
      <c r="B274" s="24">
        <v>45856</v>
      </c>
      <c r="C274" s="4" t="s">
        <v>337</v>
      </c>
      <c r="D274" t="s">
        <v>996</v>
      </c>
      <c r="E274" s="6" t="s">
        <v>75</v>
      </c>
      <c r="F274" s="11">
        <v>350000</v>
      </c>
      <c r="G274">
        <v>500000</v>
      </c>
      <c r="H274">
        <v>700000</v>
      </c>
      <c r="I274" cm="1">
        <f t="array" ref="I274">_xlfn.IFS(F274=H274,1,F274=G274,0,F274&lt;&gt;G274,(F274-G274)/(G274))</f>
        <v>-0.3</v>
      </c>
      <c r="J274" t="str">
        <f t="shared" si="4"/>
        <v>Ниже минимума</v>
      </c>
    </row>
    <row r="275" spans="1:10" ht="48" x14ac:dyDescent="0.2">
      <c r="A275">
        <v>262</v>
      </c>
      <c r="B275" s="24">
        <v>45853</v>
      </c>
      <c r="C275" s="4" t="s">
        <v>339</v>
      </c>
      <c r="D275" t="s">
        <v>996</v>
      </c>
      <c r="E275" s="6" t="s">
        <v>340</v>
      </c>
      <c r="F275" s="11" t="s">
        <v>11</v>
      </c>
      <c r="G275">
        <v>500000</v>
      </c>
      <c r="H275">
        <v>700000</v>
      </c>
      <c r="I275" t="e" cm="1">
        <f t="array" ref="I275">_xlfn.IFS(F275=H275,1,F275=G275,0,F275&lt;&gt;G275,(F275-G275)/(G275))</f>
        <v>#VALUE!</v>
      </c>
      <c r="J275" t="str">
        <f t="shared" si="4"/>
        <v>Предупреждение</v>
      </c>
    </row>
    <row r="276" spans="1:10" ht="16" x14ac:dyDescent="0.2">
      <c r="A276">
        <v>263</v>
      </c>
      <c r="B276" s="24">
        <v>45853</v>
      </c>
      <c r="C276" s="4" t="s">
        <v>341</v>
      </c>
      <c r="D276" t="s">
        <v>996</v>
      </c>
      <c r="E276" s="6" t="s">
        <v>75</v>
      </c>
      <c r="F276" s="11">
        <v>250000</v>
      </c>
      <c r="G276">
        <v>500000</v>
      </c>
      <c r="H276">
        <v>700000</v>
      </c>
      <c r="I276" cm="1">
        <f t="array" ref="I276">_xlfn.IFS(F276=H276,1,F276=G276,0,F276&lt;&gt;G276,(F276-G276)/(G276))</f>
        <v>-0.5</v>
      </c>
      <c r="J276" t="str">
        <f t="shared" si="4"/>
        <v>Ниже минимума</v>
      </c>
    </row>
    <row r="277" spans="1:10" ht="80" x14ac:dyDescent="0.2">
      <c r="A277">
        <v>265</v>
      </c>
      <c r="B277" s="24">
        <v>45849</v>
      </c>
      <c r="C277" s="4" t="s">
        <v>343</v>
      </c>
      <c r="D277" t="s">
        <v>996</v>
      </c>
      <c r="E277" s="6" t="s">
        <v>8</v>
      </c>
      <c r="F277" s="11" t="s">
        <v>11</v>
      </c>
      <c r="G277">
        <v>300000</v>
      </c>
      <c r="H277">
        <v>500000</v>
      </c>
      <c r="I277" t="e" cm="1">
        <f t="array" ref="I277">_xlfn.IFS(F277=H277,1,F277=G277,0,F277&lt;&gt;G277,(F277-G277)/(G277))</f>
        <v>#VALUE!</v>
      </c>
      <c r="J277" t="str">
        <f t="shared" si="4"/>
        <v>Предупреждение</v>
      </c>
    </row>
    <row r="278" spans="1:10" ht="16" x14ac:dyDescent="0.2">
      <c r="A278">
        <v>267</v>
      </c>
      <c r="B278" s="24">
        <v>45846</v>
      </c>
      <c r="C278" s="4" t="s">
        <v>345</v>
      </c>
      <c r="D278" t="s">
        <v>997</v>
      </c>
      <c r="E278" s="6" t="s">
        <v>23</v>
      </c>
      <c r="F278" s="11">
        <v>3000</v>
      </c>
      <c r="G278">
        <v>3000</v>
      </c>
      <c r="H278">
        <v>5000</v>
      </c>
      <c r="I278" cm="1">
        <f t="array" ref="I278">_xlfn.IFS(F278=H278,1,F278=G278,0,F278&lt;&gt;G278,(F278-G278)/(G278))</f>
        <v>0</v>
      </c>
      <c r="J278" t="str">
        <f t="shared" si="4"/>
        <v>Минимум</v>
      </c>
    </row>
    <row r="279" spans="1:10" ht="16" x14ac:dyDescent="0.2">
      <c r="A279">
        <v>268</v>
      </c>
      <c r="B279" s="24">
        <v>45846</v>
      </c>
      <c r="C279" s="4" t="s">
        <v>346</v>
      </c>
      <c r="D279" t="s">
        <v>997</v>
      </c>
      <c r="E279" s="6" t="s">
        <v>23</v>
      </c>
      <c r="F279" s="11">
        <v>3000</v>
      </c>
      <c r="G279">
        <v>3000</v>
      </c>
      <c r="H279">
        <v>5000</v>
      </c>
      <c r="I279" cm="1">
        <f t="array" ref="I279">_xlfn.IFS(F279=H279,1,F279=G279,0,F279&lt;&gt;G279,(F279-G279)/(G279))</f>
        <v>0</v>
      </c>
      <c r="J279" t="str">
        <f t="shared" si="4"/>
        <v>Минимум</v>
      </c>
    </row>
    <row r="280" spans="1:10" ht="16" x14ac:dyDescent="0.2">
      <c r="A280">
        <v>269</v>
      </c>
      <c r="B280" s="24">
        <v>45846</v>
      </c>
      <c r="C280" s="4" t="s">
        <v>347</v>
      </c>
      <c r="D280" t="s">
        <v>997</v>
      </c>
      <c r="E280" s="6" t="s">
        <v>23</v>
      </c>
      <c r="F280" s="11">
        <v>3000</v>
      </c>
      <c r="G280">
        <v>3000</v>
      </c>
      <c r="H280">
        <v>5000</v>
      </c>
      <c r="I280" cm="1">
        <f t="array" ref="I280">_xlfn.IFS(F280=H280,1,F280=G280,0,F280&lt;&gt;G280,(F280-G280)/(G280))</f>
        <v>0</v>
      </c>
      <c r="J280" t="str">
        <f t="shared" si="4"/>
        <v>Минимум</v>
      </c>
    </row>
    <row r="281" spans="1:10" ht="16" x14ac:dyDescent="0.2">
      <c r="A281">
        <v>270</v>
      </c>
      <c r="B281" s="24">
        <v>45846</v>
      </c>
      <c r="C281" s="4" t="s">
        <v>348</v>
      </c>
      <c r="D281" t="s">
        <v>997</v>
      </c>
      <c r="E281" s="6" t="s">
        <v>23</v>
      </c>
      <c r="F281" s="11">
        <v>3000</v>
      </c>
      <c r="G281">
        <v>3000</v>
      </c>
      <c r="H281">
        <v>5000</v>
      </c>
      <c r="I281" cm="1">
        <f t="array" ref="I281">_xlfn.IFS(F281=H281,1,F281=G281,0,F281&lt;&gt;G281,(F281-G281)/(G281))</f>
        <v>0</v>
      </c>
      <c r="J281" t="str">
        <f t="shared" si="4"/>
        <v>Минимум</v>
      </c>
    </row>
    <row r="282" spans="1:10" ht="16" x14ac:dyDescent="0.2">
      <c r="A282">
        <v>271</v>
      </c>
      <c r="B282" s="24">
        <v>45846</v>
      </c>
      <c r="C282" s="4" t="s">
        <v>349</v>
      </c>
      <c r="D282" t="s">
        <v>997</v>
      </c>
      <c r="E282" s="6" t="s">
        <v>23</v>
      </c>
      <c r="F282" s="11">
        <v>3000</v>
      </c>
      <c r="G282">
        <v>3000</v>
      </c>
      <c r="H282">
        <v>5000</v>
      </c>
      <c r="I282" cm="1">
        <f t="array" ref="I282">_xlfn.IFS(F282=H282,1,F282=G282,0,F282&lt;&gt;G282,(F282-G282)/(G282))</f>
        <v>0</v>
      </c>
      <c r="J282" t="str">
        <f t="shared" si="4"/>
        <v>Минимум</v>
      </c>
    </row>
    <row r="283" spans="1:10" ht="16" x14ac:dyDescent="0.2">
      <c r="A283">
        <v>272</v>
      </c>
      <c r="B283" s="24">
        <v>45846</v>
      </c>
      <c r="C283" s="4" t="s">
        <v>350</v>
      </c>
      <c r="D283" t="s">
        <v>997</v>
      </c>
      <c r="E283" s="6" t="s">
        <v>23</v>
      </c>
      <c r="F283" s="11">
        <v>3000</v>
      </c>
      <c r="G283">
        <v>3000</v>
      </c>
      <c r="H283">
        <v>5000</v>
      </c>
      <c r="I283" cm="1">
        <f t="array" ref="I283">_xlfn.IFS(F283=H283,1,F283=G283,0,F283&lt;&gt;G283,(F283-G283)/(G283))</f>
        <v>0</v>
      </c>
      <c r="J283" t="str">
        <f t="shared" si="4"/>
        <v>Минимум</v>
      </c>
    </row>
    <row r="284" spans="1:10" ht="16" x14ac:dyDescent="0.2">
      <c r="A284">
        <v>273</v>
      </c>
      <c r="B284" s="24">
        <v>45846</v>
      </c>
      <c r="C284" s="4" t="s">
        <v>351</v>
      </c>
      <c r="D284" t="s">
        <v>996</v>
      </c>
      <c r="E284" s="6" t="s">
        <v>75</v>
      </c>
      <c r="F284" s="11">
        <v>250000</v>
      </c>
      <c r="G284">
        <v>500000</v>
      </c>
      <c r="H284">
        <v>700000</v>
      </c>
      <c r="I284" cm="1">
        <f t="array" ref="I284">_xlfn.IFS(F284=H284,1,F284=G284,0,F284&lt;&gt;G284,(F284-G284)/(G284))</f>
        <v>-0.5</v>
      </c>
      <c r="J284" t="str">
        <f t="shared" si="4"/>
        <v>Ниже минимума</v>
      </c>
    </row>
    <row r="285" spans="1:10" ht="32" x14ac:dyDescent="0.2">
      <c r="A285">
        <v>274</v>
      </c>
      <c r="B285" s="24">
        <v>45846</v>
      </c>
      <c r="C285" s="4" t="s">
        <v>85</v>
      </c>
      <c r="D285" t="s">
        <v>996</v>
      </c>
      <c r="E285" s="6" t="s">
        <v>7</v>
      </c>
      <c r="F285" s="11">
        <v>700000</v>
      </c>
      <c r="G285">
        <v>700000</v>
      </c>
      <c r="H285">
        <v>1000000</v>
      </c>
      <c r="I285" cm="1">
        <f t="array" ref="I285">_xlfn.IFS(F285=H285,1,F285=G285,0,F285&lt;&gt;G285,(F285-G285)/(G285))</f>
        <v>0</v>
      </c>
      <c r="J285" t="str">
        <f t="shared" si="4"/>
        <v>Минимум</v>
      </c>
    </row>
    <row r="286" spans="1:10" ht="16" x14ac:dyDescent="0.2">
      <c r="A286">
        <v>278</v>
      </c>
      <c r="B286" s="24">
        <v>45842</v>
      </c>
      <c r="C286" s="4" t="s">
        <v>353</v>
      </c>
      <c r="D286" t="s">
        <v>997</v>
      </c>
      <c r="E286" s="6" t="s">
        <v>23</v>
      </c>
      <c r="F286" s="11">
        <v>3000</v>
      </c>
      <c r="G286">
        <v>3000</v>
      </c>
      <c r="H286">
        <v>5000</v>
      </c>
      <c r="I286" cm="1">
        <f t="array" ref="I286">_xlfn.IFS(F286=H286,1,F286=G286,0,F286&lt;&gt;G286,(F286-G286)/(G286))</f>
        <v>0</v>
      </c>
      <c r="J286" t="str">
        <f t="shared" si="4"/>
        <v>Минимум</v>
      </c>
    </row>
    <row r="287" spans="1:10" ht="32" x14ac:dyDescent="0.2">
      <c r="A287">
        <v>279</v>
      </c>
      <c r="B287" s="24">
        <v>45839</v>
      </c>
      <c r="C287" s="4" t="s">
        <v>355</v>
      </c>
      <c r="D287" t="s">
        <v>996</v>
      </c>
      <c r="E287" s="6" t="s">
        <v>327</v>
      </c>
      <c r="F287" s="11" t="s">
        <v>11</v>
      </c>
      <c r="G287">
        <v>20000</v>
      </c>
      <c r="H287">
        <v>50000</v>
      </c>
      <c r="I287" t="e" cm="1">
        <f t="array" ref="I287">_xlfn.IFS(F287=H287,1,F287=G287,0,F287&lt;&gt;G287,(F287-G287)/(G287))</f>
        <v>#VALUE!</v>
      </c>
      <c r="J287" t="str">
        <f t="shared" si="4"/>
        <v>Предупреждение</v>
      </c>
    </row>
    <row r="288" spans="1:10" ht="16" x14ac:dyDescent="0.2">
      <c r="A288">
        <v>280</v>
      </c>
      <c r="B288" s="24">
        <v>45839</v>
      </c>
      <c r="C288" s="4" t="s">
        <v>166</v>
      </c>
      <c r="D288" t="s">
        <v>996</v>
      </c>
      <c r="E288" s="6" t="s">
        <v>75</v>
      </c>
      <c r="F288" s="11">
        <v>700000</v>
      </c>
      <c r="G288">
        <v>500000</v>
      </c>
      <c r="H288">
        <v>700000</v>
      </c>
      <c r="I288" cm="1">
        <f t="array" ref="I288">_xlfn.IFS(F288=H288,1,F288=G288,0,F288&lt;&gt;G288,(F288-G288)/(G288))</f>
        <v>1</v>
      </c>
      <c r="J288" t="str">
        <f t="shared" si="4"/>
        <v>Максимум</v>
      </c>
    </row>
    <row r="289" spans="1:10" ht="16" x14ac:dyDescent="0.2">
      <c r="A289">
        <v>283</v>
      </c>
      <c r="B289" s="24">
        <v>45839</v>
      </c>
      <c r="C289" s="4" t="s">
        <v>356</v>
      </c>
      <c r="D289" t="s">
        <v>997</v>
      </c>
      <c r="E289" s="6" t="s">
        <v>23</v>
      </c>
      <c r="F289" s="11">
        <v>30000</v>
      </c>
      <c r="G289">
        <v>3000</v>
      </c>
      <c r="H289">
        <v>5000</v>
      </c>
      <c r="I289" cm="1">
        <f t="array" ref="I289">_xlfn.IFS(F289=H289,1,F289=G289,0,F289&lt;&gt;G289,(F289-G289)/(G289))</f>
        <v>9</v>
      </c>
      <c r="J289" t="str">
        <f t="shared" si="4"/>
        <v>Выше максимума</v>
      </c>
    </row>
    <row r="290" spans="1:10" ht="16" x14ac:dyDescent="0.2">
      <c r="A290">
        <v>285</v>
      </c>
      <c r="B290" s="24">
        <v>45838</v>
      </c>
      <c r="C290" s="4" t="s">
        <v>358</v>
      </c>
      <c r="D290" t="s">
        <v>996</v>
      </c>
      <c r="E290" s="6" t="s">
        <v>72</v>
      </c>
      <c r="F290" s="11">
        <v>250000</v>
      </c>
      <c r="G290">
        <v>500000</v>
      </c>
      <c r="H290">
        <v>700000</v>
      </c>
      <c r="I290" cm="1">
        <f t="array" ref="I290">_xlfn.IFS(F290=H290,1,F290=G290,0,F290&lt;&gt;G290,(F290-G290)/(G290))</f>
        <v>-0.5</v>
      </c>
      <c r="J290" t="str">
        <f t="shared" si="4"/>
        <v>Ниже минимума</v>
      </c>
    </row>
    <row r="291" spans="1:10" ht="32" x14ac:dyDescent="0.2">
      <c r="A291">
        <v>286</v>
      </c>
      <c r="B291" s="24">
        <v>45838</v>
      </c>
      <c r="C291" s="4" t="s">
        <v>85</v>
      </c>
      <c r="D291" t="s">
        <v>996</v>
      </c>
      <c r="E291" s="6" t="s">
        <v>80</v>
      </c>
      <c r="F291" s="11">
        <v>700000</v>
      </c>
      <c r="G291">
        <v>700000</v>
      </c>
      <c r="H291">
        <v>1000000</v>
      </c>
      <c r="I291" cm="1">
        <f t="array" ref="I291">_xlfn.IFS(F291=H291,1,F291=G291,0,F291&lt;&gt;G291,(F291-G291)/(G291))</f>
        <v>0</v>
      </c>
      <c r="J291" t="str">
        <f t="shared" si="4"/>
        <v>Минимум</v>
      </c>
    </row>
    <row r="292" spans="1:10" ht="16" x14ac:dyDescent="0.2">
      <c r="A292">
        <v>289</v>
      </c>
      <c r="B292" s="24">
        <v>45828</v>
      </c>
      <c r="C292" s="4" t="s">
        <v>360</v>
      </c>
      <c r="D292" t="s">
        <v>997</v>
      </c>
      <c r="E292" s="6" t="s">
        <v>23</v>
      </c>
      <c r="F292" s="11">
        <v>3000</v>
      </c>
      <c r="G292">
        <v>3000</v>
      </c>
      <c r="H292">
        <v>5000</v>
      </c>
      <c r="I292" cm="1">
        <f t="array" ref="I292">_xlfn.IFS(F292=H292,1,F292=G292,0,F292&lt;&gt;G292,(F292-G292)/(G292))</f>
        <v>0</v>
      </c>
      <c r="J292" t="str">
        <f t="shared" si="4"/>
        <v>Минимум</v>
      </c>
    </row>
    <row r="293" spans="1:10" ht="16" x14ac:dyDescent="0.2">
      <c r="A293">
        <v>290</v>
      </c>
      <c r="B293" s="24">
        <v>45826</v>
      </c>
      <c r="C293" s="4" t="s">
        <v>362</v>
      </c>
      <c r="D293" t="s">
        <v>997</v>
      </c>
      <c r="E293" s="6" t="s">
        <v>23</v>
      </c>
      <c r="F293" s="11">
        <v>30000</v>
      </c>
      <c r="G293">
        <v>3000</v>
      </c>
      <c r="H293">
        <v>5000</v>
      </c>
      <c r="I293" cm="1">
        <f t="array" ref="I293">_xlfn.IFS(F293=H293,1,F293=G293,0,F293&lt;&gt;G293,(F293-G293)/(G293))</f>
        <v>9</v>
      </c>
      <c r="J293" t="str">
        <f t="shared" si="4"/>
        <v>Выше максимума</v>
      </c>
    </row>
    <row r="294" spans="1:10" ht="16" x14ac:dyDescent="0.2">
      <c r="A294">
        <v>291</v>
      </c>
      <c r="B294" s="24">
        <v>45825</v>
      </c>
      <c r="C294" s="4" t="s">
        <v>13</v>
      </c>
      <c r="D294" t="s">
        <v>996</v>
      </c>
      <c r="E294" s="6" t="s">
        <v>75</v>
      </c>
      <c r="F294" s="11">
        <v>500000</v>
      </c>
      <c r="G294">
        <v>500000</v>
      </c>
      <c r="H294">
        <v>700000</v>
      </c>
      <c r="I294" cm="1">
        <f t="array" ref="I294">_xlfn.IFS(F294=H294,1,F294=G294,0,F294&lt;&gt;G294,(F294-G294)/(G294))</f>
        <v>0</v>
      </c>
      <c r="J294" t="str">
        <f t="shared" si="4"/>
        <v>Минимум</v>
      </c>
    </row>
    <row r="295" spans="1:10" ht="16" x14ac:dyDescent="0.2">
      <c r="A295">
        <v>292</v>
      </c>
      <c r="B295" s="24">
        <v>45825</v>
      </c>
      <c r="C295" s="4" t="s">
        <v>215</v>
      </c>
      <c r="D295" t="s">
        <v>996</v>
      </c>
      <c r="E295" s="6" t="s">
        <v>72</v>
      </c>
      <c r="F295" s="11">
        <v>250000</v>
      </c>
      <c r="G295">
        <v>500000</v>
      </c>
      <c r="H295">
        <v>700000</v>
      </c>
      <c r="I295" cm="1">
        <f t="array" ref="I295">_xlfn.IFS(F295=H295,1,F295=G295,0,F295&lt;&gt;G295,(F295-G295)/(G295))</f>
        <v>-0.5</v>
      </c>
      <c r="J295" t="str">
        <f t="shared" si="4"/>
        <v>Ниже минимума</v>
      </c>
    </row>
    <row r="296" spans="1:10" ht="16" x14ac:dyDescent="0.2">
      <c r="A296">
        <v>293</v>
      </c>
      <c r="B296" s="24">
        <v>45825</v>
      </c>
      <c r="C296" s="4" t="s">
        <v>363</v>
      </c>
      <c r="D296" t="s">
        <v>997</v>
      </c>
      <c r="E296" s="6" t="s">
        <v>23</v>
      </c>
      <c r="F296" s="11">
        <v>3000</v>
      </c>
      <c r="G296">
        <v>3000</v>
      </c>
      <c r="H296">
        <v>5000</v>
      </c>
      <c r="I296" cm="1">
        <f t="array" ref="I296">_xlfn.IFS(F296=H296,1,F296=G296,0,F296&lt;&gt;G296,(F296-G296)/(G296))</f>
        <v>0</v>
      </c>
      <c r="J296" t="str">
        <f t="shared" si="4"/>
        <v>Минимум</v>
      </c>
    </row>
    <row r="297" spans="1:10" ht="16" x14ac:dyDescent="0.2">
      <c r="A297">
        <v>294</v>
      </c>
      <c r="B297" s="24">
        <v>45825</v>
      </c>
      <c r="C297" s="4" t="s">
        <v>364</v>
      </c>
      <c r="D297" t="s">
        <v>997</v>
      </c>
      <c r="E297" s="6" t="s">
        <v>23</v>
      </c>
      <c r="F297" s="11">
        <v>3000</v>
      </c>
      <c r="G297">
        <v>3000</v>
      </c>
      <c r="H297">
        <v>5000</v>
      </c>
      <c r="I297" cm="1">
        <f t="array" ref="I297">_xlfn.IFS(F297=H297,1,F297=G297,0,F297&lt;&gt;G297,(F297-G297)/(G297))</f>
        <v>0</v>
      </c>
      <c r="J297" t="str">
        <f t="shared" si="4"/>
        <v>Минимум</v>
      </c>
    </row>
    <row r="298" spans="1:10" ht="16" x14ac:dyDescent="0.2">
      <c r="A298">
        <v>295</v>
      </c>
      <c r="B298" s="24">
        <v>45825</v>
      </c>
      <c r="C298" s="4" t="s">
        <v>365</v>
      </c>
      <c r="D298" t="s">
        <v>997</v>
      </c>
      <c r="E298" s="6" t="s">
        <v>23</v>
      </c>
      <c r="F298" s="11">
        <v>3000</v>
      </c>
      <c r="G298">
        <v>3000</v>
      </c>
      <c r="H298">
        <v>5000</v>
      </c>
      <c r="I298" cm="1">
        <f t="array" ref="I298">_xlfn.IFS(F298=H298,1,F298=G298,0,F298&lt;&gt;G298,(F298-G298)/(G298))</f>
        <v>0</v>
      </c>
      <c r="J298" t="str">
        <f t="shared" si="4"/>
        <v>Минимум</v>
      </c>
    </row>
    <row r="299" spans="1:10" ht="16" x14ac:dyDescent="0.2">
      <c r="A299">
        <v>296</v>
      </c>
      <c r="B299" s="24">
        <v>45825</v>
      </c>
      <c r="C299" s="4" t="s">
        <v>268</v>
      </c>
      <c r="D299" t="s">
        <v>996</v>
      </c>
      <c r="E299" s="6" t="s">
        <v>75</v>
      </c>
      <c r="F299" s="11">
        <v>350000</v>
      </c>
      <c r="G299">
        <v>500000</v>
      </c>
      <c r="H299">
        <v>700000</v>
      </c>
      <c r="I299" cm="1">
        <f t="array" ref="I299">_xlfn.IFS(F299=H299,1,F299=G299,0,F299&lt;&gt;G299,(F299-G299)/(G299))</f>
        <v>-0.3</v>
      </c>
      <c r="J299" t="str">
        <f t="shared" si="4"/>
        <v>Ниже минимума</v>
      </c>
    </row>
    <row r="300" spans="1:10" ht="48" x14ac:dyDescent="0.2">
      <c r="A300">
        <v>297</v>
      </c>
      <c r="B300" s="24">
        <v>45825</v>
      </c>
      <c r="C300" s="4" t="s">
        <v>366</v>
      </c>
      <c r="D300" t="s">
        <v>996</v>
      </c>
      <c r="E300" s="6" t="s">
        <v>83</v>
      </c>
      <c r="F300" s="11">
        <v>250000</v>
      </c>
      <c r="G300">
        <v>500000</v>
      </c>
      <c r="H300">
        <v>700000</v>
      </c>
      <c r="I300" cm="1">
        <f t="array" ref="I300">_xlfn.IFS(F300=H300,1,F300=G300,0,F300&lt;&gt;G300,(F300-G300)/(G300))</f>
        <v>-0.5</v>
      </c>
      <c r="J300" t="str">
        <f t="shared" si="4"/>
        <v>Ниже минимума</v>
      </c>
    </row>
    <row r="301" spans="1:10" ht="32" x14ac:dyDescent="0.2">
      <c r="A301">
        <v>298</v>
      </c>
      <c r="B301" s="24">
        <v>45818</v>
      </c>
      <c r="C301" s="4" t="s">
        <v>368</v>
      </c>
      <c r="D301" t="s">
        <v>996</v>
      </c>
      <c r="E301" s="6" t="s">
        <v>5</v>
      </c>
      <c r="F301" s="11">
        <v>700000</v>
      </c>
      <c r="G301">
        <v>700000</v>
      </c>
      <c r="H301">
        <v>1000000</v>
      </c>
      <c r="I301" cm="1">
        <f t="array" ref="I301">_xlfn.IFS(F301=H301,1,F301=G301,0,F301&lt;&gt;G301,(F301-G301)/(G301))</f>
        <v>0</v>
      </c>
      <c r="J301" t="str">
        <f t="shared" si="4"/>
        <v>Минимум</v>
      </c>
    </row>
    <row r="302" spans="1:10" ht="16" x14ac:dyDescent="0.2">
      <c r="A302">
        <v>299</v>
      </c>
      <c r="B302" s="24">
        <v>45818</v>
      </c>
      <c r="C302" s="4" t="s">
        <v>369</v>
      </c>
      <c r="D302" t="s">
        <v>996</v>
      </c>
      <c r="E302" s="6" t="s">
        <v>75</v>
      </c>
      <c r="F302" s="11">
        <v>250000</v>
      </c>
      <c r="G302">
        <v>500000</v>
      </c>
      <c r="H302">
        <v>700000</v>
      </c>
      <c r="I302" cm="1">
        <f t="array" ref="I302">_xlfn.IFS(F302=H302,1,F302=G302,0,F302&lt;&gt;G302,(F302-G302)/(G302))</f>
        <v>-0.5</v>
      </c>
      <c r="J302" t="str">
        <f t="shared" si="4"/>
        <v>Ниже минимума</v>
      </c>
    </row>
    <row r="303" spans="1:10" ht="16" x14ac:dyDescent="0.2">
      <c r="A303">
        <v>300</v>
      </c>
      <c r="B303" s="24">
        <v>45818</v>
      </c>
      <c r="C303" s="4" t="s">
        <v>370</v>
      </c>
      <c r="D303" t="s">
        <v>997</v>
      </c>
      <c r="E303" s="6" t="s">
        <v>23</v>
      </c>
      <c r="F303" s="11">
        <v>3000</v>
      </c>
      <c r="G303">
        <v>3000</v>
      </c>
      <c r="H303">
        <v>5000</v>
      </c>
      <c r="I303" cm="1">
        <f t="array" ref="I303">_xlfn.IFS(F303=H303,1,F303=G303,0,F303&lt;&gt;G303,(F303-G303)/(G303))</f>
        <v>0</v>
      </c>
      <c r="J303" t="str">
        <f t="shared" si="4"/>
        <v>Минимум</v>
      </c>
    </row>
    <row r="304" spans="1:10" ht="16" x14ac:dyDescent="0.2">
      <c r="A304">
        <v>301</v>
      </c>
      <c r="B304" s="24">
        <v>45818</v>
      </c>
      <c r="C304" s="4" t="s">
        <v>371</v>
      </c>
      <c r="D304" t="s">
        <v>997</v>
      </c>
      <c r="E304" s="6" t="s">
        <v>23</v>
      </c>
      <c r="F304" s="11">
        <v>3000</v>
      </c>
      <c r="G304">
        <v>3000</v>
      </c>
      <c r="H304">
        <v>5000</v>
      </c>
      <c r="I304" cm="1">
        <f t="array" ref="I304">_xlfn.IFS(F304=H304,1,F304=G304,0,F304&lt;&gt;G304,(F304-G304)/(G304))</f>
        <v>0</v>
      </c>
      <c r="J304" t="str">
        <f t="shared" si="4"/>
        <v>Минимум</v>
      </c>
    </row>
    <row r="305" spans="1:10" ht="64" x14ac:dyDescent="0.2">
      <c r="A305">
        <v>302</v>
      </c>
      <c r="B305" s="24">
        <v>45818</v>
      </c>
      <c r="C305" s="4" t="s">
        <v>372</v>
      </c>
      <c r="D305" t="s">
        <v>996</v>
      </c>
      <c r="E305" s="6" t="s">
        <v>7</v>
      </c>
      <c r="F305" s="11" t="s">
        <v>11</v>
      </c>
      <c r="G305">
        <v>700000</v>
      </c>
      <c r="H305">
        <v>1000000</v>
      </c>
      <c r="I305" t="e" cm="1">
        <f t="array" ref="I305">_xlfn.IFS(F305=H305,1,F305=G305,0,F305&lt;&gt;G305,(F305-G305)/(G305))</f>
        <v>#VALUE!</v>
      </c>
      <c r="J305" t="str">
        <f t="shared" si="4"/>
        <v>Предупреждение</v>
      </c>
    </row>
    <row r="306" spans="1:10" ht="16" x14ac:dyDescent="0.2">
      <c r="A306">
        <v>303</v>
      </c>
      <c r="B306" s="24">
        <v>45817</v>
      </c>
      <c r="C306" s="4" t="s">
        <v>284</v>
      </c>
      <c r="D306" t="s">
        <v>996</v>
      </c>
      <c r="E306" s="6" t="s">
        <v>83</v>
      </c>
      <c r="F306" s="11">
        <v>500000</v>
      </c>
      <c r="G306">
        <v>500000</v>
      </c>
      <c r="H306">
        <v>700000</v>
      </c>
      <c r="I306" cm="1">
        <f t="array" ref="I306">_xlfn.IFS(F306=H306,1,F306=G306,0,F306&lt;&gt;G306,(F306-G306)/(G306))</f>
        <v>0</v>
      </c>
      <c r="J306" t="str">
        <f t="shared" si="4"/>
        <v>Минимум</v>
      </c>
    </row>
    <row r="307" spans="1:10" ht="16" x14ac:dyDescent="0.2">
      <c r="A307">
        <v>304</v>
      </c>
      <c r="B307" s="24">
        <v>45817</v>
      </c>
      <c r="C307" s="4" t="s">
        <v>374</v>
      </c>
      <c r="D307" t="s">
        <v>996</v>
      </c>
      <c r="E307" s="6" t="s">
        <v>327</v>
      </c>
      <c r="F307" s="11" t="s">
        <v>11</v>
      </c>
      <c r="G307">
        <v>20000</v>
      </c>
      <c r="H307">
        <v>50000</v>
      </c>
      <c r="I307" t="e" cm="1">
        <f t="array" ref="I307">_xlfn.IFS(F307=H307,1,F307=G307,0,F307&lt;&gt;G307,(F307-G307)/(G307))</f>
        <v>#VALUE!</v>
      </c>
      <c r="J307" t="str">
        <f t="shared" si="4"/>
        <v>Предупреждение</v>
      </c>
    </row>
    <row r="308" spans="1:10" ht="48" x14ac:dyDescent="0.2">
      <c r="A308">
        <v>305</v>
      </c>
      <c r="B308" s="24">
        <v>45817</v>
      </c>
      <c r="C308" s="4" t="s">
        <v>375</v>
      </c>
      <c r="D308" t="s">
        <v>996</v>
      </c>
      <c r="E308" s="6" t="s">
        <v>8</v>
      </c>
      <c r="F308" s="11">
        <v>300000</v>
      </c>
      <c r="G308">
        <v>300000</v>
      </c>
      <c r="H308">
        <v>500000</v>
      </c>
      <c r="I308" cm="1">
        <f t="array" ref="I308">_xlfn.IFS(F308=H308,1,F308=G308,0,F308&lt;&gt;G308,(F308-G308)/(G308))</f>
        <v>0</v>
      </c>
      <c r="J308" t="str">
        <f t="shared" si="4"/>
        <v>Минимум</v>
      </c>
    </row>
    <row r="309" spans="1:10" ht="32" x14ac:dyDescent="0.2">
      <c r="A309">
        <v>306</v>
      </c>
      <c r="B309" s="24">
        <v>45814</v>
      </c>
      <c r="C309" s="4" t="s">
        <v>377</v>
      </c>
      <c r="D309" t="s">
        <v>996</v>
      </c>
      <c r="E309" s="6" t="s">
        <v>83</v>
      </c>
      <c r="F309" s="11">
        <v>500000</v>
      </c>
      <c r="G309">
        <v>500000</v>
      </c>
      <c r="H309">
        <v>700000</v>
      </c>
      <c r="I309" cm="1">
        <f t="array" ref="I309">_xlfn.IFS(F309=H309,1,F309=G309,0,F309&lt;&gt;G309,(F309-G309)/(G309))</f>
        <v>0</v>
      </c>
      <c r="J309" t="str">
        <f t="shared" si="4"/>
        <v>Минимум</v>
      </c>
    </row>
    <row r="310" spans="1:10" ht="16" x14ac:dyDescent="0.2">
      <c r="A310">
        <v>307</v>
      </c>
      <c r="B310" s="24">
        <v>45811</v>
      </c>
      <c r="C310" s="4" t="s">
        <v>99</v>
      </c>
      <c r="D310" t="s">
        <v>996</v>
      </c>
      <c r="E310" s="6" t="s">
        <v>18</v>
      </c>
      <c r="F310" s="11">
        <v>500000</v>
      </c>
      <c r="G310">
        <v>500000</v>
      </c>
      <c r="H310">
        <v>700000</v>
      </c>
      <c r="I310" cm="1">
        <f t="array" ref="I310">_xlfn.IFS(F310=H310,1,F310=G310,0,F310&lt;&gt;G310,(F310-G310)/(G310))</f>
        <v>0</v>
      </c>
      <c r="J310" t="str">
        <f t="shared" si="4"/>
        <v>Минимум</v>
      </c>
    </row>
    <row r="311" spans="1:10" ht="16" x14ac:dyDescent="0.2">
      <c r="A311">
        <v>307</v>
      </c>
      <c r="B311" s="24">
        <v>45811</v>
      </c>
      <c r="C311" s="4" t="s">
        <v>99</v>
      </c>
      <c r="D311" t="s">
        <v>996</v>
      </c>
      <c r="E311" s="6" t="s">
        <v>8</v>
      </c>
      <c r="F311" s="11">
        <v>300000</v>
      </c>
      <c r="G311">
        <v>300000</v>
      </c>
      <c r="H311">
        <v>500000</v>
      </c>
      <c r="I311" cm="1">
        <f t="array" ref="I311">_xlfn.IFS(F311=H311,1,F311=G311,0,F311&lt;&gt;G311,(F311-G311)/(G311))</f>
        <v>0</v>
      </c>
      <c r="J311" t="str">
        <f t="shared" si="4"/>
        <v>Минимум</v>
      </c>
    </row>
    <row r="312" spans="1:10" ht="32" x14ac:dyDescent="0.2">
      <c r="A312">
        <v>309</v>
      </c>
      <c r="B312" s="24">
        <v>45804</v>
      </c>
      <c r="C312" s="4" t="s">
        <v>380</v>
      </c>
      <c r="D312" t="s">
        <v>996</v>
      </c>
      <c r="E312" s="6" t="s">
        <v>18</v>
      </c>
      <c r="F312" s="11">
        <v>250000</v>
      </c>
      <c r="G312">
        <v>500000</v>
      </c>
      <c r="H312">
        <v>700000</v>
      </c>
      <c r="I312" cm="1">
        <f t="array" ref="I312">_xlfn.IFS(F312=H312,1,F312=G312,0,F312&lt;&gt;G312,(F312-G312)/(G312))</f>
        <v>-0.5</v>
      </c>
      <c r="J312" t="str">
        <f t="shared" si="4"/>
        <v>Ниже минимума</v>
      </c>
    </row>
    <row r="313" spans="1:10" ht="16" x14ac:dyDescent="0.2">
      <c r="A313">
        <v>310</v>
      </c>
      <c r="B313" s="24">
        <v>45804</v>
      </c>
      <c r="C313" s="4" t="s">
        <v>269</v>
      </c>
      <c r="D313" t="s">
        <v>996</v>
      </c>
      <c r="E313" s="6" t="s">
        <v>75</v>
      </c>
      <c r="F313" s="11">
        <v>700000</v>
      </c>
      <c r="G313">
        <v>500000</v>
      </c>
      <c r="H313">
        <v>700000</v>
      </c>
      <c r="I313" cm="1">
        <f t="array" ref="I313">_xlfn.IFS(F313=H313,1,F313=G313,0,F313&lt;&gt;G313,(F313-G313)/(G313))</f>
        <v>1</v>
      </c>
      <c r="J313" t="str">
        <f t="shared" si="4"/>
        <v>Максимум</v>
      </c>
    </row>
    <row r="314" spans="1:10" ht="32" x14ac:dyDescent="0.2">
      <c r="A314">
        <v>311</v>
      </c>
      <c r="B314" s="24">
        <v>45804</v>
      </c>
      <c r="C314" s="4" t="s">
        <v>381</v>
      </c>
      <c r="D314" t="s">
        <v>996</v>
      </c>
      <c r="E314" s="6" t="s">
        <v>8</v>
      </c>
      <c r="F314" s="11">
        <v>300000</v>
      </c>
      <c r="G314">
        <v>300000</v>
      </c>
      <c r="H314">
        <v>500000</v>
      </c>
      <c r="I314" cm="1">
        <f t="array" ref="I314">_xlfn.IFS(F314=H314,1,F314=G314,0,F314&lt;&gt;G314,(F314-G314)/(G314))</f>
        <v>0</v>
      </c>
      <c r="J314" t="str">
        <f t="shared" si="4"/>
        <v>Минимум</v>
      </c>
    </row>
    <row r="315" spans="1:10" ht="48" x14ac:dyDescent="0.2">
      <c r="A315">
        <v>312</v>
      </c>
      <c r="B315" s="24">
        <v>45803</v>
      </c>
      <c r="C315" s="4" t="s">
        <v>383</v>
      </c>
      <c r="D315" t="s">
        <v>996</v>
      </c>
      <c r="E315" s="6" t="s">
        <v>8</v>
      </c>
      <c r="F315" s="11">
        <v>150000</v>
      </c>
      <c r="G315">
        <v>300000</v>
      </c>
      <c r="H315">
        <v>500000</v>
      </c>
      <c r="I315" cm="1">
        <f t="array" ref="I315">_xlfn.IFS(F315=H315,1,F315=G315,0,F315&lt;&gt;G315,(F315-G315)/(G315))</f>
        <v>-0.5</v>
      </c>
      <c r="J315" t="str">
        <f t="shared" si="4"/>
        <v>Ниже минимума</v>
      </c>
    </row>
    <row r="316" spans="1:10" ht="48" x14ac:dyDescent="0.2">
      <c r="A316">
        <v>313</v>
      </c>
      <c r="B316" s="24">
        <v>45803</v>
      </c>
      <c r="C316" s="4" t="s">
        <v>384</v>
      </c>
      <c r="D316" t="s">
        <v>996</v>
      </c>
      <c r="E316" s="6" t="s">
        <v>8</v>
      </c>
      <c r="F316" s="11" t="s">
        <v>11</v>
      </c>
      <c r="G316">
        <v>300000</v>
      </c>
      <c r="H316">
        <v>500000</v>
      </c>
      <c r="I316" t="e" cm="1">
        <f t="array" ref="I316">_xlfn.IFS(F316=H316,1,F316=G316,0,F316&lt;&gt;G316,(F316-G316)/(G316))</f>
        <v>#VALUE!</v>
      </c>
      <c r="J316" t="str">
        <f t="shared" si="4"/>
        <v>Предупреждение</v>
      </c>
    </row>
    <row r="317" spans="1:10" ht="16" x14ac:dyDescent="0.2">
      <c r="A317">
        <v>314</v>
      </c>
      <c r="B317" s="24">
        <v>45800</v>
      </c>
      <c r="C317" s="4" t="s">
        <v>386</v>
      </c>
      <c r="D317" t="s">
        <v>997</v>
      </c>
      <c r="E317" s="6" t="s">
        <v>23</v>
      </c>
      <c r="F317" s="11">
        <v>3000</v>
      </c>
      <c r="G317">
        <v>3000</v>
      </c>
      <c r="H317">
        <v>5000</v>
      </c>
      <c r="I317" cm="1">
        <f t="array" ref="I317">_xlfn.IFS(F317=H317,1,F317=G317,0,F317&lt;&gt;G317,(F317-G317)/(G317))</f>
        <v>0</v>
      </c>
      <c r="J317" t="str">
        <f t="shared" si="4"/>
        <v>Минимум</v>
      </c>
    </row>
    <row r="318" spans="1:10" ht="16" x14ac:dyDescent="0.2">
      <c r="A318">
        <v>315</v>
      </c>
      <c r="B318" s="24">
        <v>45797</v>
      </c>
      <c r="C318" s="4" t="s">
        <v>388</v>
      </c>
      <c r="D318" t="s">
        <v>997</v>
      </c>
      <c r="E318" s="6" t="s">
        <v>23</v>
      </c>
      <c r="F318" s="11">
        <v>3000</v>
      </c>
      <c r="G318">
        <v>3000</v>
      </c>
      <c r="H318">
        <v>5000</v>
      </c>
      <c r="I318" cm="1">
        <f t="array" ref="I318">_xlfn.IFS(F318=H318,1,F318=G318,0,F318&lt;&gt;G318,(F318-G318)/(G318))</f>
        <v>0</v>
      </c>
      <c r="J318" t="str">
        <f t="shared" si="4"/>
        <v>Минимум</v>
      </c>
    </row>
    <row r="319" spans="1:10" ht="16" x14ac:dyDescent="0.2">
      <c r="A319">
        <v>316</v>
      </c>
      <c r="B319" s="24">
        <v>45797</v>
      </c>
      <c r="C319" s="4" t="s">
        <v>389</v>
      </c>
      <c r="D319" t="s">
        <v>997</v>
      </c>
      <c r="E319" s="6" t="s">
        <v>23</v>
      </c>
      <c r="F319" s="11">
        <v>3000</v>
      </c>
      <c r="G319">
        <v>3000</v>
      </c>
      <c r="H319">
        <v>5000</v>
      </c>
      <c r="I319" cm="1">
        <f t="array" ref="I319">_xlfn.IFS(F319=H319,1,F319=G319,0,F319&lt;&gt;G319,(F319-G319)/(G319))</f>
        <v>0</v>
      </c>
      <c r="J319" t="str">
        <f t="shared" si="4"/>
        <v>Минимум</v>
      </c>
    </row>
    <row r="320" spans="1:10" ht="16" x14ac:dyDescent="0.2">
      <c r="A320">
        <v>317</v>
      </c>
      <c r="B320" s="24">
        <v>45793</v>
      </c>
      <c r="C320" s="4" t="s">
        <v>391</v>
      </c>
      <c r="D320" t="s">
        <v>997</v>
      </c>
      <c r="E320" s="6" t="s">
        <v>23</v>
      </c>
      <c r="F320" s="11">
        <v>3000</v>
      </c>
      <c r="G320">
        <v>3000</v>
      </c>
      <c r="H320">
        <v>5000</v>
      </c>
      <c r="I320" cm="1">
        <f t="array" ref="I320">_xlfn.IFS(F320=H320,1,F320=G320,0,F320&lt;&gt;G320,(F320-G320)/(G320))</f>
        <v>0</v>
      </c>
      <c r="J320" t="str">
        <f t="shared" si="4"/>
        <v>Минимум</v>
      </c>
    </row>
    <row r="321" spans="1:10" ht="16" x14ac:dyDescent="0.2">
      <c r="A321">
        <v>318</v>
      </c>
      <c r="B321" s="24">
        <v>45793</v>
      </c>
      <c r="C321" s="4" t="s">
        <v>392</v>
      </c>
      <c r="D321" t="s">
        <v>997</v>
      </c>
      <c r="E321" s="6" t="s">
        <v>23</v>
      </c>
      <c r="F321" s="11">
        <v>3000</v>
      </c>
      <c r="G321">
        <v>3000</v>
      </c>
      <c r="H321">
        <v>5000</v>
      </c>
      <c r="I321" cm="1">
        <f t="array" ref="I321">_xlfn.IFS(F321=H321,1,F321=G321,0,F321&lt;&gt;G321,(F321-G321)/(G321))</f>
        <v>0</v>
      </c>
      <c r="J321" t="str">
        <f t="shared" si="4"/>
        <v>Минимум</v>
      </c>
    </row>
    <row r="322" spans="1:10" ht="16" x14ac:dyDescent="0.2">
      <c r="A322">
        <v>319</v>
      </c>
      <c r="B322" s="24">
        <v>45793</v>
      </c>
      <c r="C322" s="4" t="s">
        <v>268</v>
      </c>
      <c r="D322" t="s">
        <v>996</v>
      </c>
      <c r="E322" s="6" t="s">
        <v>75</v>
      </c>
      <c r="F322" s="11">
        <v>350000</v>
      </c>
      <c r="G322">
        <v>500000</v>
      </c>
      <c r="H322">
        <v>700000</v>
      </c>
      <c r="I322" cm="1">
        <f t="array" ref="I322">_xlfn.IFS(F322=H322,1,F322=G322,0,F322&lt;&gt;G322,(F322-G322)/(G322))</f>
        <v>-0.3</v>
      </c>
      <c r="J322" t="str">
        <f t="shared" si="4"/>
        <v>Ниже минимума</v>
      </c>
    </row>
    <row r="323" spans="1:10" ht="16" x14ac:dyDescent="0.2">
      <c r="A323">
        <v>319</v>
      </c>
      <c r="B323" s="24">
        <v>45793</v>
      </c>
      <c r="C323" s="4" t="s">
        <v>268</v>
      </c>
      <c r="D323" t="s">
        <v>996</v>
      </c>
      <c r="E323" s="6" t="s">
        <v>72</v>
      </c>
      <c r="F323" s="11">
        <v>250000</v>
      </c>
      <c r="G323">
        <v>500000</v>
      </c>
      <c r="H323">
        <v>700000</v>
      </c>
      <c r="I323" cm="1">
        <f t="array" ref="I323">_xlfn.IFS(F323=H323,1,F323=G323,0,F323&lt;&gt;G323,(F323-G323)/(G323))</f>
        <v>-0.5</v>
      </c>
      <c r="J323" t="str">
        <f t="shared" ref="J323:J386" si="5">IF(ISERROR(I323),"Предупреждение",
IF(I323&lt;0,"Ниже минимума",
IF(I323=0,"Минимум",
IF(I323&lt;1,"В диапазоне",
IF(I323=1,"Максимум",
"Выше максимума")))))</f>
        <v>Ниже минимума</v>
      </c>
    </row>
    <row r="324" spans="1:10" ht="48" x14ac:dyDescent="0.2">
      <c r="A324">
        <v>320</v>
      </c>
      <c r="B324" s="24">
        <v>45793</v>
      </c>
      <c r="C324" s="4" t="s">
        <v>393</v>
      </c>
      <c r="D324" t="s">
        <v>996</v>
      </c>
      <c r="E324" s="6" t="s">
        <v>83</v>
      </c>
      <c r="F324" s="11">
        <v>500000</v>
      </c>
      <c r="G324">
        <v>500000</v>
      </c>
      <c r="H324">
        <v>700000</v>
      </c>
      <c r="I324" cm="1">
        <f t="array" ref="I324">_xlfn.IFS(F324=H324,1,F324=G324,0,F324&lt;&gt;G324,(F324-G324)/(G324))</f>
        <v>0</v>
      </c>
      <c r="J324" t="str">
        <f t="shared" si="5"/>
        <v>Минимум</v>
      </c>
    </row>
    <row r="325" spans="1:10" ht="32" x14ac:dyDescent="0.2">
      <c r="A325">
        <v>321</v>
      </c>
      <c r="B325" s="24">
        <v>45793</v>
      </c>
      <c r="C325" s="4" t="s">
        <v>394</v>
      </c>
      <c r="D325" t="s">
        <v>996</v>
      </c>
      <c r="E325" s="6" t="s">
        <v>8</v>
      </c>
      <c r="F325" s="11" t="s">
        <v>11</v>
      </c>
      <c r="G325">
        <v>300000</v>
      </c>
      <c r="H325">
        <v>500000</v>
      </c>
      <c r="I325" t="e" cm="1">
        <f t="array" ref="I325">_xlfn.IFS(F325=H325,1,F325=G325,0,F325&lt;&gt;G325,(F325-G325)/(G325))</f>
        <v>#VALUE!</v>
      </c>
      <c r="J325" t="str">
        <f t="shared" si="5"/>
        <v>Предупреждение</v>
      </c>
    </row>
    <row r="326" spans="1:10" ht="64" x14ac:dyDescent="0.2">
      <c r="A326">
        <v>322</v>
      </c>
      <c r="B326" s="24">
        <v>45792</v>
      </c>
      <c r="C326" s="4" t="s">
        <v>396</v>
      </c>
      <c r="D326" t="s">
        <v>996</v>
      </c>
      <c r="E326" s="6" t="s">
        <v>8</v>
      </c>
      <c r="F326" s="11" t="s">
        <v>11</v>
      </c>
      <c r="G326">
        <v>300000</v>
      </c>
      <c r="H326">
        <v>500000</v>
      </c>
      <c r="I326" t="e" cm="1">
        <f t="array" ref="I326">_xlfn.IFS(F326=H326,1,F326=G326,0,F326&lt;&gt;G326,(F326-G326)/(G326))</f>
        <v>#VALUE!</v>
      </c>
      <c r="J326" t="str">
        <f t="shared" si="5"/>
        <v>Предупреждение</v>
      </c>
    </row>
    <row r="327" spans="1:10" ht="16" x14ac:dyDescent="0.2">
      <c r="A327">
        <v>323</v>
      </c>
      <c r="B327" s="24">
        <v>45790</v>
      </c>
      <c r="C327" s="4" t="s">
        <v>398</v>
      </c>
      <c r="D327" t="s">
        <v>996</v>
      </c>
      <c r="E327" s="6" t="s">
        <v>274</v>
      </c>
      <c r="F327" s="11" t="s">
        <v>11</v>
      </c>
      <c r="G327">
        <v>300000</v>
      </c>
      <c r="H327">
        <v>500000</v>
      </c>
      <c r="I327" t="e" cm="1">
        <f t="array" ref="I327">_xlfn.IFS(F327=H327,1,F327=G327,0,F327&lt;&gt;G327,(F327-G327)/(G327))</f>
        <v>#VALUE!</v>
      </c>
      <c r="J327" t="str">
        <f t="shared" si="5"/>
        <v>Предупреждение</v>
      </c>
    </row>
    <row r="328" spans="1:10" ht="32" x14ac:dyDescent="0.2">
      <c r="A328">
        <v>324</v>
      </c>
      <c r="B328" s="24">
        <v>45790</v>
      </c>
      <c r="C328" s="4" t="s">
        <v>4</v>
      </c>
      <c r="D328" t="s">
        <v>996</v>
      </c>
      <c r="E328" s="6" t="s">
        <v>5</v>
      </c>
      <c r="F328" s="11">
        <v>700000</v>
      </c>
      <c r="G328">
        <v>700000</v>
      </c>
      <c r="H328">
        <v>1000000</v>
      </c>
      <c r="I328" cm="1">
        <f t="array" ref="I328">_xlfn.IFS(F328=H328,1,F328=G328,0,F328&lt;&gt;G328,(F328-G328)/(G328))</f>
        <v>0</v>
      </c>
      <c r="J328" t="str">
        <f t="shared" si="5"/>
        <v>Минимум</v>
      </c>
    </row>
    <row r="329" spans="1:10" ht="16" x14ac:dyDescent="0.2">
      <c r="A329">
        <v>325</v>
      </c>
      <c r="B329" s="24">
        <v>45790</v>
      </c>
      <c r="C329" s="4" t="s">
        <v>399</v>
      </c>
      <c r="D329" t="s">
        <v>997</v>
      </c>
      <c r="E329" s="6" t="s">
        <v>23</v>
      </c>
      <c r="F329" s="11">
        <v>3000</v>
      </c>
      <c r="G329">
        <v>3000</v>
      </c>
      <c r="H329">
        <v>5000</v>
      </c>
      <c r="I329" cm="1">
        <f t="array" ref="I329">_xlfn.IFS(F329=H329,1,F329=G329,0,F329&lt;&gt;G329,(F329-G329)/(G329))</f>
        <v>0</v>
      </c>
      <c r="J329" t="str">
        <f t="shared" si="5"/>
        <v>Минимум</v>
      </c>
    </row>
    <row r="330" spans="1:10" ht="32" x14ac:dyDescent="0.2">
      <c r="A330">
        <v>326</v>
      </c>
      <c r="B330" s="24">
        <v>45790</v>
      </c>
      <c r="C330" s="4" t="s">
        <v>400</v>
      </c>
      <c r="D330" t="s">
        <v>996</v>
      </c>
      <c r="E330" s="6" t="s">
        <v>80</v>
      </c>
      <c r="F330" s="11">
        <v>700000</v>
      </c>
      <c r="G330">
        <v>700000</v>
      </c>
      <c r="H330">
        <v>1000000</v>
      </c>
      <c r="I330" cm="1">
        <f t="array" ref="I330">_xlfn.IFS(F330=H330,1,F330=G330,0,F330&lt;&gt;G330,(F330-G330)/(G330))</f>
        <v>0</v>
      </c>
      <c r="J330" t="str">
        <f t="shared" si="5"/>
        <v>Минимум</v>
      </c>
    </row>
    <row r="331" spans="1:10" ht="32" x14ac:dyDescent="0.2">
      <c r="A331">
        <v>326</v>
      </c>
      <c r="B331" s="24">
        <v>45790</v>
      </c>
      <c r="C331" s="4" t="s">
        <v>400</v>
      </c>
      <c r="D331" t="s">
        <v>996</v>
      </c>
      <c r="E331" s="6" t="s">
        <v>8</v>
      </c>
      <c r="F331" s="11">
        <v>300000</v>
      </c>
      <c r="G331">
        <v>300000</v>
      </c>
      <c r="H331">
        <v>500000</v>
      </c>
      <c r="I331" cm="1">
        <f t="array" ref="I331">_xlfn.IFS(F331=H331,1,F331=G331,0,F331&lt;&gt;G331,(F331-G331)/(G331))</f>
        <v>0</v>
      </c>
      <c r="J331" t="str">
        <f t="shared" si="5"/>
        <v>Минимум</v>
      </c>
    </row>
    <row r="332" spans="1:10" ht="32" x14ac:dyDescent="0.2">
      <c r="A332">
        <v>327</v>
      </c>
      <c r="B332" s="24">
        <v>45790</v>
      </c>
      <c r="C332" s="4" t="s">
        <v>401</v>
      </c>
      <c r="D332" t="s">
        <v>996</v>
      </c>
      <c r="E332" s="6" t="s">
        <v>8</v>
      </c>
      <c r="F332" s="11" t="s">
        <v>11</v>
      </c>
      <c r="G332">
        <v>300000</v>
      </c>
      <c r="H332">
        <v>500000</v>
      </c>
      <c r="I332" t="e" cm="1">
        <f t="array" ref="I332">_xlfn.IFS(F332=H332,1,F332=G332,0,F332&lt;&gt;G332,(F332-G332)/(G332))</f>
        <v>#VALUE!</v>
      </c>
      <c r="J332" t="str">
        <f t="shared" si="5"/>
        <v>Предупреждение</v>
      </c>
    </row>
    <row r="333" spans="1:10" ht="16" x14ac:dyDescent="0.2">
      <c r="A333">
        <v>328</v>
      </c>
      <c r="B333" s="24">
        <v>45784</v>
      </c>
      <c r="C333" s="4" t="s">
        <v>403</v>
      </c>
      <c r="D333" t="s">
        <v>997</v>
      </c>
      <c r="E333" s="6" t="s">
        <v>23</v>
      </c>
      <c r="F333" s="11">
        <v>3000</v>
      </c>
      <c r="G333">
        <v>3000</v>
      </c>
      <c r="H333">
        <v>5000</v>
      </c>
      <c r="I333" cm="1">
        <f t="array" ref="I333">_xlfn.IFS(F333=H333,1,F333=G333,0,F333&lt;&gt;G333,(F333-G333)/(G333))</f>
        <v>0</v>
      </c>
      <c r="J333" t="str">
        <f t="shared" si="5"/>
        <v>Минимум</v>
      </c>
    </row>
    <row r="334" spans="1:10" ht="16" x14ac:dyDescent="0.2">
      <c r="A334">
        <v>329</v>
      </c>
      <c r="B334" s="24">
        <v>45784</v>
      </c>
      <c r="C334" s="4" t="s">
        <v>404</v>
      </c>
      <c r="D334" t="s">
        <v>997</v>
      </c>
      <c r="E334" s="6" t="s">
        <v>23</v>
      </c>
      <c r="F334" s="11">
        <v>3000</v>
      </c>
      <c r="G334">
        <v>3000</v>
      </c>
      <c r="H334">
        <v>5000</v>
      </c>
      <c r="I334" cm="1">
        <f t="array" ref="I334">_xlfn.IFS(F334=H334,1,F334=G334,0,F334&lt;&gt;G334,(F334-G334)/(G334))</f>
        <v>0</v>
      </c>
      <c r="J334" t="str">
        <f t="shared" si="5"/>
        <v>Минимум</v>
      </c>
    </row>
    <row r="335" spans="1:10" ht="16" x14ac:dyDescent="0.2">
      <c r="A335">
        <v>330</v>
      </c>
      <c r="B335" s="24">
        <v>45783</v>
      </c>
      <c r="C335" s="4" t="s">
        <v>406</v>
      </c>
      <c r="D335" t="s">
        <v>996</v>
      </c>
      <c r="E335" s="6" t="s">
        <v>23</v>
      </c>
      <c r="F335" s="11">
        <v>350000</v>
      </c>
      <c r="G335">
        <v>700000</v>
      </c>
      <c r="H335" t="s">
        <v>1002</v>
      </c>
      <c r="I335" cm="1">
        <f t="array" ref="I335">_xlfn.IFS(F335=H335,1,F335=G335,0,F335&lt;&gt;G335,(F335-G335)/(G335))</f>
        <v>-0.5</v>
      </c>
      <c r="J335" t="str">
        <f t="shared" si="5"/>
        <v>Ниже минимума</v>
      </c>
    </row>
    <row r="336" spans="1:10" ht="16" x14ac:dyDescent="0.2">
      <c r="A336">
        <v>331</v>
      </c>
      <c r="B336" s="24">
        <v>45783</v>
      </c>
      <c r="C336" s="4" t="s">
        <v>407</v>
      </c>
      <c r="D336" t="s">
        <v>997</v>
      </c>
      <c r="E336" s="6" t="s">
        <v>23</v>
      </c>
      <c r="F336" s="11">
        <v>3000</v>
      </c>
      <c r="G336">
        <v>3000</v>
      </c>
      <c r="H336">
        <v>5000</v>
      </c>
      <c r="I336" cm="1">
        <f t="array" ref="I336">_xlfn.IFS(F336=H336,1,F336=G336,0,F336&lt;&gt;G336,(F336-G336)/(G336))</f>
        <v>0</v>
      </c>
      <c r="J336" t="str">
        <f t="shared" si="5"/>
        <v>Минимум</v>
      </c>
    </row>
    <row r="337" spans="1:10" ht="16" x14ac:dyDescent="0.2">
      <c r="A337">
        <v>332</v>
      </c>
      <c r="B337" s="24">
        <v>45783</v>
      </c>
      <c r="C337" s="4" t="s">
        <v>408</v>
      </c>
      <c r="D337" t="s">
        <v>997</v>
      </c>
      <c r="E337" s="6" t="s">
        <v>23</v>
      </c>
      <c r="F337" s="11">
        <v>3000</v>
      </c>
      <c r="G337">
        <v>3000</v>
      </c>
      <c r="H337">
        <v>5000</v>
      </c>
      <c r="I337" cm="1">
        <f t="array" ref="I337">_xlfn.IFS(F337=H337,1,F337=G337,0,F337&lt;&gt;G337,(F337-G337)/(G337))</f>
        <v>0</v>
      </c>
      <c r="J337" t="str">
        <f t="shared" si="5"/>
        <v>Минимум</v>
      </c>
    </row>
    <row r="338" spans="1:10" ht="16" x14ac:dyDescent="0.2">
      <c r="A338">
        <v>333</v>
      </c>
      <c r="B338" s="24">
        <v>45783</v>
      </c>
      <c r="C338" s="4" t="s">
        <v>409</v>
      </c>
      <c r="D338" t="s">
        <v>997</v>
      </c>
      <c r="E338" s="6" t="s">
        <v>23</v>
      </c>
      <c r="F338" s="11">
        <v>3000</v>
      </c>
      <c r="G338">
        <v>3000</v>
      </c>
      <c r="H338">
        <v>5000</v>
      </c>
      <c r="I338" cm="1">
        <f t="array" ref="I338">_xlfn.IFS(F338=H338,1,F338=G338,0,F338&lt;&gt;G338,(F338-G338)/(G338))</f>
        <v>0</v>
      </c>
      <c r="J338" t="str">
        <f t="shared" si="5"/>
        <v>Минимум</v>
      </c>
    </row>
    <row r="339" spans="1:10" ht="16" x14ac:dyDescent="0.2">
      <c r="A339">
        <v>334</v>
      </c>
      <c r="B339" s="24">
        <v>45783</v>
      </c>
      <c r="C339" s="4" t="s">
        <v>410</v>
      </c>
      <c r="D339" t="s">
        <v>997</v>
      </c>
      <c r="E339" s="6" t="s">
        <v>23</v>
      </c>
      <c r="F339" s="11">
        <v>3000</v>
      </c>
      <c r="G339">
        <v>3000</v>
      </c>
      <c r="H339">
        <v>5000</v>
      </c>
      <c r="I339" cm="1">
        <f t="array" ref="I339">_xlfn.IFS(F339=H339,1,F339=G339,0,F339&lt;&gt;G339,(F339-G339)/(G339))</f>
        <v>0</v>
      </c>
      <c r="J339" t="str">
        <f t="shared" si="5"/>
        <v>Минимум</v>
      </c>
    </row>
    <row r="340" spans="1:10" ht="16" x14ac:dyDescent="0.2">
      <c r="A340">
        <v>335</v>
      </c>
      <c r="B340" s="24">
        <v>45783</v>
      </c>
      <c r="C340" s="4" t="s">
        <v>411</v>
      </c>
      <c r="D340" t="s">
        <v>997</v>
      </c>
      <c r="E340" s="6" t="s">
        <v>23</v>
      </c>
      <c r="F340" s="11">
        <v>3000</v>
      </c>
      <c r="G340">
        <v>3000</v>
      </c>
      <c r="H340">
        <v>5000</v>
      </c>
      <c r="I340" cm="1">
        <f t="array" ref="I340">_xlfn.IFS(F340=H340,1,F340=G340,0,F340&lt;&gt;G340,(F340-G340)/(G340))</f>
        <v>0</v>
      </c>
      <c r="J340" t="str">
        <f t="shared" si="5"/>
        <v>Минимум</v>
      </c>
    </row>
    <row r="341" spans="1:10" ht="16" x14ac:dyDescent="0.2">
      <c r="A341">
        <v>336</v>
      </c>
      <c r="B341" s="24">
        <v>45783</v>
      </c>
      <c r="C341" s="4" t="s">
        <v>412</v>
      </c>
      <c r="D341" t="s">
        <v>997</v>
      </c>
      <c r="E341" s="6" t="s">
        <v>23</v>
      </c>
      <c r="F341" s="11">
        <v>3000</v>
      </c>
      <c r="G341">
        <v>3000</v>
      </c>
      <c r="H341">
        <v>5000</v>
      </c>
      <c r="I341" cm="1">
        <f t="array" ref="I341">_xlfn.IFS(F341=H341,1,F341=G341,0,F341&lt;&gt;G341,(F341-G341)/(G341))</f>
        <v>0</v>
      </c>
      <c r="J341" t="str">
        <f t="shared" si="5"/>
        <v>Минимум</v>
      </c>
    </row>
    <row r="342" spans="1:10" ht="16" x14ac:dyDescent="0.2">
      <c r="A342">
        <v>337</v>
      </c>
      <c r="B342" s="24">
        <v>45783</v>
      </c>
      <c r="C342" s="4" t="s">
        <v>413</v>
      </c>
      <c r="D342" t="s">
        <v>997</v>
      </c>
      <c r="E342" s="6" t="s">
        <v>23</v>
      </c>
      <c r="F342" s="11">
        <v>3000</v>
      </c>
      <c r="G342">
        <v>3000</v>
      </c>
      <c r="H342">
        <v>5000</v>
      </c>
      <c r="I342" cm="1">
        <f t="array" ref="I342">_xlfn.IFS(F342=H342,1,F342=G342,0,F342&lt;&gt;G342,(F342-G342)/(G342))</f>
        <v>0</v>
      </c>
      <c r="J342" t="str">
        <f t="shared" si="5"/>
        <v>Минимум</v>
      </c>
    </row>
    <row r="343" spans="1:10" ht="16" x14ac:dyDescent="0.2">
      <c r="A343">
        <v>338</v>
      </c>
      <c r="B343" s="24">
        <v>45783</v>
      </c>
      <c r="C343" s="4" t="s">
        <v>269</v>
      </c>
      <c r="D343" t="s">
        <v>996</v>
      </c>
      <c r="E343" s="6" t="s">
        <v>168</v>
      </c>
      <c r="F343" s="11">
        <v>20000</v>
      </c>
      <c r="G343">
        <v>10000</v>
      </c>
      <c r="H343">
        <v>20000</v>
      </c>
      <c r="I343" cm="1">
        <f t="array" ref="I343">_xlfn.IFS(F343=H343,1,F343=G343,0,F343&lt;&gt;G343,(F343-G343)/(G343))</f>
        <v>1</v>
      </c>
      <c r="J343" t="str">
        <f t="shared" si="5"/>
        <v>Максимум</v>
      </c>
    </row>
    <row r="344" spans="1:10" ht="32" x14ac:dyDescent="0.2">
      <c r="A344">
        <v>339</v>
      </c>
      <c r="B344" s="24">
        <v>45783</v>
      </c>
      <c r="C344" s="4" t="s">
        <v>414</v>
      </c>
      <c r="D344" t="s">
        <v>996</v>
      </c>
      <c r="E344" s="6" t="s">
        <v>8</v>
      </c>
      <c r="F344" s="11">
        <v>300000</v>
      </c>
      <c r="G344">
        <v>300000</v>
      </c>
      <c r="H344">
        <v>500000</v>
      </c>
      <c r="I344" cm="1">
        <f t="array" ref="I344">_xlfn.IFS(F344=H344,1,F344=G344,0,F344&lt;&gt;G344,(F344-G344)/(G344))</f>
        <v>0</v>
      </c>
      <c r="J344" t="str">
        <f t="shared" si="5"/>
        <v>Минимум</v>
      </c>
    </row>
    <row r="345" spans="1:10" ht="16" x14ac:dyDescent="0.2">
      <c r="A345">
        <v>340</v>
      </c>
      <c r="B345" s="24">
        <v>45783</v>
      </c>
      <c r="C345" s="4" t="s">
        <v>415</v>
      </c>
      <c r="D345" t="s">
        <v>996</v>
      </c>
      <c r="E345" s="6" t="s">
        <v>7</v>
      </c>
      <c r="F345" s="11" t="s">
        <v>11</v>
      </c>
      <c r="G345">
        <v>700000</v>
      </c>
      <c r="H345">
        <v>1000000</v>
      </c>
      <c r="I345" t="e" cm="1">
        <f t="array" ref="I345">_xlfn.IFS(F345=H345,1,F345=G345,0,F345&lt;&gt;G345,(F345-G345)/(G345))</f>
        <v>#VALUE!</v>
      </c>
      <c r="J345" t="str">
        <f t="shared" si="5"/>
        <v>Предупреждение</v>
      </c>
    </row>
    <row r="346" spans="1:10" ht="16" x14ac:dyDescent="0.2">
      <c r="A346">
        <v>340</v>
      </c>
      <c r="B346" s="24">
        <v>45783</v>
      </c>
      <c r="C346" s="4" t="s">
        <v>415</v>
      </c>
      <c r="D346" t="s">
        <v>996</v>
      </c>
      <c r="E346" s="6" t="s">
        <v>18</v>
      </c>
      <c r="F346" s="11" t="s">
        <v>11</v>
      </c>
      <c r="G346">
        <v>500000</v>
      </c>
      <c r="H346">
        <v>700000</v>
      </c>
      <c r="I346" t="e" cm="1">
        <f t="array" ref="I346">_xlfn.IFS(F346=H346,1,F346=G346,0,F346&lt;&gt;G346,(F346-G346)/(G346))</f>
        <v>#VALUE!</v>
      </c>
      <c r="J346" t="str">
        <f t="shared" si="5"/>
        <v>Предупреждение</v>
      </c>
    </row>
    <row r="347" spans="1:10" ht="16" x14ac:dyDescent="0.2">
      <c r="A347">
        <v>341</v>
      </c>
      <c r="B347" s="24">
        <v>45782</v>
      </c>
      <c r="C347" s="4" t="s">
        <v>417</v>
      </c>
      <c r="D347" t="s">
        <v>997</v>
      </c>
      <c r="E347" s="6" t="s">
        <v>23</v>
      </c>
      <c r="F347" s="11">
        <v>3000</v>
      </c>
      <c r="G347">
        <v>3000</v>
      </c>
      <c r="H347">
        <v>5000</v>
      </c>
      <c r="I347" cm="1">
        <f t="array" ref="I347">_xlfn.IFS(F347=H347,1,F347=G347,0,F347&lt;&gt;G347,(F347-G347)/(G347))</f>
        <v>0</v>
      </c>
      <c r="J347" t="str">
        <f t="shared" si="5"/>
        <v>Минимум</v>
      </c>
    </row>
    <row r="348" spans="1:10" ht="16" x14ac:dyDescent="0.2">
      <c r="A348">
        <v>342</v>
      </c>
      <c r="B348" s="24">
        <v>45776</v>
      </c>
      <c r="C348" s="4" t="s">
        <v>419</v>
      </c>
      <c r="D348" t="s">
        <v>996</v>
      </c>
      <c r="E348" s="6" t="s">
        <v>72</v>
      </c>
      <c r="F348" s="11">
        <v>250000</v>
      </c>
      <c r="G348">
        <v>500000</v>
      </c>
      <c r="H348">
        <v>700000</v>
      </c>
      <c r="I348" cm="1">
        <f t="array" ref="I348">_xlfn.IFS(F348=H348,1,F348=G348,0,F348&lt;&gt;G348,(F348-G348)/(G348))</f>
        <v>-0.5</v>
      </c>
      <c r="J348" t="str">
        <f t="shared" si="5"/>
        <v>Ниже минимума</v>
      </c>
    </row>
    <row r="349" spans="1:10" ht="16" x14ac:dyDescent="0.2">
      <c r="A349">
        <v>343</v>
      </c>
      <c r="B349" s="24">
        <v>45776</v>
      </c>
      <c r="C349" s="4" t="s">
        <v>420</v>
      </c>
      <c r="D349" t="s">
        <v>997</v>
      </c>
      <c r="E349" s="6" t="s">
        <v>309</v>
      </c>
      <c r="F349" s="11">
        <v>3000</v>
      </c>
      <c r="G349">
        <v>3000</v>
      </c>
      <c r="H349">
        <v>5000</v>
      </c>
      <c r="I349" cm="1">
        <f t="array" ref="I349">_xlfn.IFS(F349=H349,1,F349=G349,0,F349&lt;&gt;G349,(F349-G349)/(G349))</f>
        <v>0</v>
      </c>
      <c r="J349" t="str">
        <f t="shared" si="5"/>
        <v>Минимум</v>
      </c>
    </row>
    <row r="350" spans="1:10" ht="16" x14ac:dyDescent="0.2">
      <c r="A350">
        <v>344</v>
      </c>
      <c r="B350" s="24">
        <v>45776</v>
      </c>
      <c r="C350" s="4" t="s">
        <v>421</v>
      </c>
      <c r="D350" t="s">
        <v>997</v>
      </c>
      <c r="E350" s="6" t="s">
        <v>23</v>
      </c>
      <c r="F350" s="11">
        <v>3000</v>
      </c>
      <c r="G350">
        <v>3000</v>
      </c>
      <c r="H350">
        <v>5000</v>
      </c>
      <c r="I350" cm="1">
        <f t="array" ref="I350">_xlfn.IFS(F350=H350,1,F350=G350,0,F350&lt;&gt;G350,(F350-G350)/(G350))</f>
        <v>0</v>
      </c>
      <c r="J350" t="str">
        <f t="shared" si="5"/>
        <v>Минимум</v>
      </c>
    </row>
    <row r="351" spans="1:10" ht="16" x14ac:dyDescent="0.2">
      <c r="A351">
        <v>345</v>
      </c>
      <c r="B351" s="24">
        <v>45775</v>
      </c>
      <c r="C351" s="4" t="s">
        <v>423</v>
      </c>
      <c r="D351" t="s">
        <v>997</v>
      </c>
      <c r="E351" s="6" t="s">
        <v>23</v>
      </c>
      <c r="F351" s="11">
        <v>3000</v>
      </c>
      <c r="G351">
        <v>3000</v>
      </c>
      <c r="H351">
        <v>5000</v>
      </c>
      <c r="I351" cm="1">
        <f t="array" ref="I351">_xlfn.IFS(F351=H351,1,F351=G351,0,F351&lt;&gt;G351,(F351-G351)/(G351))</f>
        <v>0</v>
      </c>
      <c r="J351" t="str">
        <f t="shared" si="5"/>
        <v>Минимум</v>
      </c>
    </row>
    <row r="352" spans="1:10" ht="16" x14ac:dyDescent="0.2">
      <c r="A352">
        <v>346</v>
      </c>
      <c r="B352" s="24">
        <v>45775</v>
      </c>
      <c r="C352" s="4" t="s">
        <v>424</v>
      </c>
      <c r="D352" t="s">
        <v>997</v>
      </c>
      <c r="E352" s="6" t="s">
        <v>23</v>
      </c>
      <c r="F352" s="11">
        <v>3000</v>
      </c>
      <c r="G352">
        <v>3000</v>
      </c>
      <c r="H352">
        <v>5000</v>
      </c>
      <c r="I352" cm="1">
        <f t="array" ref="I352">_xlfn.IFS(F352=H352,1,F352=G352,0,F352&lt;&gt;G352,(F352-G352)/(G352))</f>
        <v>0</v>
      </c>
      <c r="J352" t="str">
        <f t="shared" si="5"/>
        <v>Минимум</v>
      </c>
    </row>
    <row r="353" spans="1:10" ht="16" x14ac:dyDescent="0.2">
      <c r="A353">
        <v>347</v>
      </c>
      <c r="B353" s="24">
        <v>45775</v>
      </c>
      <c r="C353" s="4" t="s">
        <v>82</v>
      </c>
      <c r="D353" t="s">
        <v>996</v>
      </c>
      <c r="E353" s="6" t="s">
        <v>5</v>
      </c>
      <c r="F353" s="11">
        <v>700000</v>
      </c>
      <c r="G353">
        <v>700000</v>
      </c>
      <c r="H353">
        <v>1000000</v>
      </c>
      <c r="I353" cm="1">
        <f t="array" ref="I353">_xlfn.IFS(F353=H353,1,F353=G353,0,F353&lt;&gt;G353,(F353-G353)/(G353))</f>
        <v>0</v>
      </c>
      <c r="J353" t="str">
        <f t="shared" si="5"/>
        <v>Минимум</v>
      </c>
    </row>
    <row r="354" spans="1:10" ht="16" x14ac:dyDescent="0.2">
      <c r="A354">
        <v>348</v>
      </c>
      <c r="B354" s="24">
        <v>45772</v>
      </c>
      <c r="C354" s="4" t="s">
        <v>426</v>
      </c>
      <c r="D354" t="s">
        <v>996</v>
      </c>
      <c r="E354" s="6" t="s">
        <v>23</v>
      </c>
      <c r="F354" s="11">
        <v>700000</v>
      </c>
      <c r="G354">
        <v>700000</v>
      </c>
      <c r="H354" t="s">
        <v>1002</v>
      </c>
      <c r="I354" cm="1">
        <f t="array" ref="I354">_xlfn.IFS(F354=H354,1,F354=G354,0,F354&lt;&gt;G354,(F354-G354)/(G354))</f>
        <v>0</v>
      </c>
      <c r="J354" t="str">
        <f t="shared" si="5"/>
        <v>Минимум</v>
      </c>
    </row>
    <row r="355" spans="1:10" ht="16" x14ac:dyDescent="0.2">
      <c r="A355">
        <v>349</v>
      </c>
      <c r="B355" s="24">
        <v>45772</v>
      </c>
      <c r="C355" s="4" t="s">
        <v>212</v>
      </c>
      <c r="D355" t="s">
        <v>996</v>
      </c>
      <c r="E355" s="6" t="s">
        <v>72</v>
      </c>
      <c r="F355" s="11">
        <v>250000</v>
      </c>
      <c r="G355">
        <v>500000</v>
      </c>
      <c r="H355">
        <v>700000</v>
      </c>
      <c r="I355" cm="1">
        <f t="array" ref="I355">_xlfn.IFS(F355=H355,1,F355=G355,0,F355&lt;&gt;G355,(F355-G355)/(G355))</f>
        <v>-0.5</v>
      </c>
      <c r="J355" t="str">
        <f t="shared" si="5"/>
        <v>Ниже минимума</v>
      </c>
    </row>
    <row r="356" spans="1:10" ht="16" x14ac:dyDescent="0.2">
      <c r="A356">
        <v>350</v>
      </c>
      <c r="B356" s="24">
        <v>45772</v>
      </c>
      <c r="C356" s="4" t="s">
        <v>304</v>
      </c>
      <c r="D356" t="s">
        <v>996</v>
      </c>
      <c r="E356" s="6" t="s">
        <v>72</v>
      </c>
      <c r="F356" s="11">
        <v>250000</v>
      </c>
      <c r="G356">
        <v>500000</v>
      </c>
      <c r="H356">
        <v>700000</v>
      </c>
      <c r="I356" cm="1">
        <f t="array" ref="I356">_xlfn.IFS(F356=H356,1,F356=G356,0,F356&lt;&gt;G356,(F356-G356)/(G356))</f>
        <v>-0.5</v>
      </c>
      <c r="J356" t="str">
        <f t="shared" si="5"/>
        <v>Ниже минимума</v>
      </c>
    </row>
    <row r="357" spans="1:10" ht="16" x14ac:dyDescent="0.2">
      <c r="A357">
        <v>351</v>
      </c>
      <c r="B357" s="24">
        <v>45769</v>
      </c>
      <c r="C357" s="4" t="s">
        <v>428</v>
      </c>
      <c r="D357" t="s">
        <v>997</v>
      </c>
      <c r="E357" s="6" t="s">
        <v>23</v>
      </c>
      <c r="F357" s="11">
        <v>3000</v>
      </c>
      <c r="G357">
        <v>3000</v>
      </c>
      <c r="H357">
        <v>5000</v>
      </c>
      <c r="I357" cm="1">
        <f t="array" ref="I357">_xlfn.IFS(F357=H357,1,F357=G357,0,F357&lt;&gt;G357,(F357-G357)/(G357))</f>
        <v>0</v>
      </c>
      <c r="J357" t="str">
        <f t="shared" si="5"/>
        <v>Минимум</v>
      </c>
    </row>
    <row r="358" spans="1:10" ht="32" x14ac:dyDescent="0.2">
      <c r="A358">
        <v>352</v>
      </c>
      <c r="B358" s="24">
        <v>45765</v>
      </c>
      <c r="C358" s="4" t="s">
        <v>85</v>
      </c>
      <c r="D358" t="s">
        <v>996</v>
      </c>
      <c r="E358" s="6" t="s">
        <v>80</v>
      </c>
      <c r="F358" s="11">
        <v>700000</v>
      </c>
      <c r="G358">
        <v>700000</v>
      </c>
      <c r="H358">
        <v>1000000</v>
      </c>
      <c r="I358" cm="1">
        <f t="array" ref="I358">_xlfn.IFS(F358=H358,1,F358=G358,0,F358&lt;&gt;G358,(F358-G358)/(G358))</f>
        <v>0</v>
      </c>
      <c r="J358" t="str">
        <f t="shared" si="5"/>
        <v>Минимум</v>
      </c>
    </row>
    <row r="359" spans="1:10" ht="16" x14ac:dyDescent="0.2">
      <c r="A359">
        <v>353</v>
      </c>
      <c r="B359" s="24">
        <v>45765</v>
      </c>
      <c r="C359" s="4" t="s">
        <v>430</v>
      </c>
      <c r="D359" t="s">
        <v>997</v>
      </c>
      <c r="E359" s="6" t="s">
        <v>23</v>
      </c>
      <c r="F359" s="11">
        <v>3000</v>
      </c>
      <c r="G359">
        <v>3000</v>
      </c>
      <c r="H359">
        <v>5000</v>
      </c>
      <c r="I359" cm="1">
        <f t="array" ref="I359">_xlfn.IFS(F359=H359,1,F359=G359,0,F359&lt;&gt;G359,(F359-G359)/(G359))</f>
        <v>0</v>
      </c>
      <c r="J359" t="str">
        <f t="shared" si="5"/>
        <v>Минимум</v>
      </c>
    </row>
    <row r="360" spans="1:10" ht="16" x14ac:dyDescent="0.2">
      <c r="A360">
        <v>354</v>
      </c>
      <c r="B360" s="24">
        <v>45764</v>
      </c>
      <c r="C360" s="4" t="s">
        <v>432</v>
      </c>
      <c r="D360" t="s">
        <v>997</v>
      </c>
      <c r="E360" s="6" t="s">
        <v>23</v>
      </c>
      <c r="F360" s="11">
        <v>3000</v>
      </c>
      <c r="G360">
        <v>3000</v>
      </c>
      <c r="H360">
        <v>5000</v>
      </c>
      <c r="I360" cm="1">
        <f t="array" ref="I360">_xlfn.IFS(F360=H360,1,F360=G360,0,F360&lt;&gt;G360,(F360-G360)/(G360))</f>
        <v>0</v>
      </c>
      <c r="J360" t="str">
        <f t="shared" si="5"/>
        <v>Минимум</v>
      </c>
    </row>
    <row r="361" spans="1:10" ht="16" x14ac:dyDescent="0.2">
      <c r="A361">
        <v>355</v>
      </c>
      <c r="B361" s="24">
        <v>45762</v>
      </c>
      <c r="C361" s="4" t="s">
        <v>434</v>
      </c>
      <c r="D361" t="s">
        <v>997</v>
      </c>
      <c r="E361" s="6" t="s">
        <v>23</v>
      </c>
      <c r="F361" s="11">
        <v>3000</v>
      </c>
      <c r="G361">
        <v>3000</v>
      </c>
      <c r="H361">
        <v>5000</v>
      </c>
      <c r="I361" cm="1">
        <f t="array" ref="I361">_xlfn.IFS(F361=H361,1,F361=G361,0,F361&lt;&gt;G361,(F361-G361)/(G361))</f>
        <v>0</v>
      </c>
      <c r="J361" t="str">
        <f t="shared" si="5"/>
        <v>Минимум</v>
      </c>
    </row>
    <row r="362" spans="1:10" ht="16" x14ac:dyDescent="0.2">
      <c r="A362">
        <v>356</v>
      </c>
      <c r="B362" s="24">
        <v>45762</v>
      </c>
      <c r="C362" s="4" t="s">
        <v>304</v>
      </c>
      <c r="D362" t="s">
        <v>996</v>
      </c>
      <c r="E362" s="6" t="s">
        <v>72</v>
      </c>
      <c r="F362" s="11">
        <v>250000</v>
      </c>
      <c r="G362">
        <v>500000</v>
      </c>
      <c r="H362">
        <v>700000</v>
      </c>
      <c r="I362" cm="1">
        <f t="array" ref="I362">_xlfn.IFS(F362=H362,1,F362=G362,0,F362&lt;&gt;G362,(F362-G362)/(G362))</f>
        <v>-0.5</v>
      </c>
      <c r="J362" t="str">
        <f t="shared" si="5"/>
        <v>Ниже минимума</v>
      </c>
    </row>
    <row r="363" spans="1:10" ht="16" x14ac:dyDescent="0.2">
      <c r="A363">
        <v>357</v>
      </c>
      <c r="B363" s="24">
        <v>45762</v>
      </c>
      <c r="C363" s="4" t="s">
        <v>435</v>
      </c>
      <c r="D363" t="s">
        <v>996</v>
      </c>
      <c r="E363" s="6" t="s">
        <v>8</v>
      </c>
      <c r="F363" s="11">
        <v>300000</v>
      </c>
      <c r="G363">
        <v>300000</v>
      </c>
      <c r="H363">
        <v>500000</v>
      </c>
      <c r="I363" cm="1">
        <f t="array" ref="I363">_xlfn.IFS(F363=H363,1,F363=G363,0,F363&lt;&gt;G363,(F363-G363)/(G363))</f>
        <v>0</v>
      </c>
      <c r="J363" t="str">
        <f t="shared" si="5"/>
        <v>Минимум</v>
      </c>
    </row>
    <row r="364" spans="1:10" ht="32" x14ac:dyDescent="0.2">
      <c r="A364">
        <v>358</v>
      </c>
      <c r="B364" s="24">
        <v>45762</v>
      </c>
      <c r="C364" s="4" t="s">
        <v>436</v>
      </c>
      <c r="D364" t="s">
        <v>996</v>
      </c>
      <c r="E364" s="6" t="s">
        <v>8</v>
      </c>
      <c r="F364" s="11" t="s">
        <v>11</v>
      </c>
      <c r="G364">
        <v>300000</v>
      </c>
      <c r="H364">
        <v>500000</v>
      </c>
      <c r="I364" t="e" cm="1">
        <f t="array" ref="I364">_xlfn.IFS(F364=H364,1,F364=G364,0,F364&lt;&gt;G364,(F364-G364)/(G364))</f>
        <v>#VALUE!</v>
      </c>
      <c r="J364" t="str">
        <f t="shared" si="5"/>
        <v>Предупреждение</v>
      </c>
    </row>
    <row r="365" spans="1:10" ht="16" x14ac:dyDescent="0.2">
      <c r="A365">
        <v>359</v>
      </c>
      <c r="B365" s="24">
        <v>45762</v>
      </c>
      <c r="C365" s="4" t="s">
        <v>437</v>
      </c>
      <c r="D365" t="s">
        <v>996</v>
      </c>
      <c r="E365" s="6" t="s">
        <v>8</v>
      </c>
      <c r="F365" s="11" t="s">
        <v>11</v>
      </c>
      <c r="G365">
        <v>300000</v>
      </c>
      <c r="H365">
        <v>500000</v>
      </c>
      <c r="I365" t="e" cm="1">
        <f t="array" ref="I365">_xlfn.IFS(F365=H365,1,F365=G365,0,F365&lt;&gt;G365,(F365-G365)/(G365))</f>
        <v>#VALUE!</v>
      </c>
      <c r="J365" t="str">
        <f t="shared" si="5"/>
        <v>Предупреждение</v>
      </c>
    </row>
    <row r="366" spans="1:10" ht="16" x14ac:dyDescent="0.2">
      <c r="A366">
        <v>359</v>
      </c>
      <c r="B366" s="24">
        <v>45762</v>
      </c>
      <c r="C366" s="4" t="s">
        <v>437</v>
      </c>
      <c r="D366" t="s">
        <v>996</v>
      </c>
      <c r="E366" s="6" t="s">
        <v>8</v>
      </c>
      <c r="F366" s="11" t="s">
        <v>11</v>
      </c>
      <c r="G366">
        <v>300000</v>
      </c>
      <c r="H366">
        <v>500000</v>
      </c>
      <c r="I366" t="e" cm="1">
        <f t="array" ref="I366">_xlfn.IFS(F366=H366,1,F366=G366,0,F366&lt;&gt;G366,(F366-G366)/(G366))</f>
        <v>#VALUE!</v>
      </c>
      <c r="J366" t="str">
        <f t="shared" si="5"/>
        <v>Предупреждение</v>
      </c>
    </row>
    <row r="367" spans="1:10" ht="16" x14ac:dyDescent="0.2">
      <c r="A367">
        <v>360</v>
      </c>
      <c r="B367" s="24">
        <v>45761</v>
      </c>
      <c r="C367" s="4" t="s">
        <v>14</v>
      </c>
      <c r="D367" t="s">
        <v>996</v>
      </c>
      <c r="E367" s="6" t="s">
        <v>8</v>
      </c>
      <c r="F367" s="11">
        <v>300000</v>
      </c>
      <c r="G367">
        <v>300000</v>
      </c>
      <c r="H367">
        <v>500000</v>
      </c>
      <c r="I367" cm="1">
        <f t="array" ref="I367">_xlfn.IFS(F367=H367,1,F367=G367,0,F367&lt;&gt;G367,(F367-G367)/(G367))</f>
        <v>0</v>
      </c>
      <c r="J367" t="str">
        <f t="shared" si="5"/>
        <v>Минимум</v>
      </c>
    </row>
    <row r="368" spans="1:10" ht="16" x14ac:dyDescent="0.2">
      <c r="A368">
        <v>361</v>
      </c>
      <c r="B368" s="24">
        <v>45761</v>
      </c>
      <c r="C368" s="4" t="s">
        <v>439</v>
      </c>
      <c r="D368" t="s">
        <v>997</v>
      </c>
      <c r="E368" s="6" t="s">
        <v>23</v>
      </c>
      <c r="F368" s="11">
        <v>3000</v>
      </c>
      <c r="G368">
        <v>3000</v>
      </c>
      <c r="H368">
        <v>5000</v>
      </c>
      <c r="I368" cm="1">
        <f t="array" ref="I368">_xlfn.IFS(F368=H368,1,F368=G368,0,F368&lt;&gt;G368,(F368-G368)/(G368))</f>
        <v>0</v>
      </c>
      <c r="J368" t="str">
        <f t="shared" si="5"/>
        <v>Минимум</v>
      </c>
    </row>
    <row r="369" spans="1:10" ht="16" x14ac:dyDescent="0.2">
      <c r="A369">
        <v>362</v>
      </c>
      <c r="B369" s="24">
        <v>45761</v>
      </c>
      <c r="C369" s="4" t="s">
        <v>440</v>
      </c>
      <c r="D369" t="s">
        <v>997</v>
      </c>
      <c r="E369" s="6" t="s">
        <v>23</v>
      </c>
      <c r="F369" s="11">
        <v>3000</v>
      </c>
      <c r="G369">
        <v>3000</v>
      </c>
      <c r="H369">
        <v>5000</v>
      </c>
      <c r="I369" cm="1">
        <f t="array" ref="I369">_xlfn.IFS(F369=H369,1,F369=G369,0,F369&lt;&gt;G369,(F369-G369)/(G369))</f>
        <v>0</v>
      </c>
      <c r="J369" t="str">
        <f t="shared" si="5"/>
        <v>Минимум</v>
      </c>
    </row>
    <row r="370" spans="1:10" ht="16" x14ac:dyDescent="0.2">
      <c r="A370">
        <v>363</v>
      </c>
      <c r="B370" s="24">
        <v>45758</v>
      </c>
      <c r="C370" s="4" t="s">
        <v>275</v>
      </c>
      <c r="D370" t="s">
        <v>996</v>
      </c>
      <c r="E370" s="6" t="s">
        <v>8</v>
      </c>
      <c r="F370" s="11">
        <v>300000</v>
      </c>
      <c r="G370">
        <v>300000</v>
      </c>
      <c r="H370">
        <v>500000</v>
      </c>
      <c r="I370" cm="1">
        <f t="array" ref="I370">_xlfn.IFS(F370=H370,1,F370=G370,0,F370&lt;&gt;G370,(F370-G370)/(G370))</f>
        <v>0</v>
      </c>
      <c r="J370" t="str">
        <f t="shared" si="5"/>
        <v>Минимум</v>
      </c>
    </row>
    <row r="371" spans="1:10" ht="16" x14ac:dyDescent="0.2">
      <c r="A371">
        <v>364</v>
      </c>
      <c r="B371" s="24">
        <v>45758</v>
      </c>
      <c r="C371" s="4" t="s">
        <v>442</v>
      </c>
      <c r="D371" t="s">
        <v>997</v>
      </c>
      <c r="E371" s="6" t="s">
        <v>23</v>
      </c>
      <c r="F371" s="11">
        <v>3000</v>
      </c>
      <c r="G371">
        <v>3000</v>
      </c>
      <c r="H371">
        <v>5000</v>
      </c>
      <c r="I371" cm="1">
        <f t="array" ref="I371">_xlfn.IFS(F371=H371,1,F371=G371,0,F371&lt;&gt;G371,(F371-G371)/(G371))</f>
        <v>0</v>
      </c>
      <c r="J371" t="str">
        <f t="shared" si="5"/>
        <v>Минимум</v>
      </c>
    </row>
    <row r="372" spans="1:10" ht="16" x14ac:dyDescent="0.2">
      <c r="A372">
        <v>365</v>
      </c>
      <c r="B372" s="24">
        <v>45755</v>
      </c>
      <c r="C372" s="4" t="s">
        <v>444</v>
      </c>
      <c r="D372" t="s">
        <v>996</v>
      </c>
      <c r="E372" s="6" t="s">
        <v>8</v>
      </c>
      <c r="F372" s="11">
        <v>300000</v>
      </c>
      <c r="G372">
        <v>300000</v>
      </c>
      <c r="H372">
        <v>500000</v>
      </c>
      <c r="I372" cm="1">
        <f t="array" ref="I372">_xlfn.IFS(F372=H372,1,F372=G372,0,F372&lt;&gt;G372,(F372-G372)/(G372))</f>
        <v>0</v>
      </c>
      <c r="J372" t="str">
        <f t="shared" si="5"/>
        <v>Минимум</v>
      </c>
    </row>
    <row r="373" spans="1:10" ht="16" x14ac:dyDescent="0.2">
      <c r="A373">
        <v>366</v>
      </c>
      <c r="B373" s="24">
        <v>45755</v>
      </c>
      <c r="C373" s="4" t="s">
        <v>13</v>
      </c>
      <c r="D373" t="s">
        <v>996</v>
      </c>
      <c r="E373" s="6" t="s">
        <v>75</v>
      </c>
      <c r="F373" s="11">
        <v>500000</v>
      </c>
      <c r="G373">
        <v>500000</v>
      </c>
      <c r="H373">
        <v>700000</v>
      </c>
      <c r="I373" cm="1">
        <f t="array" ref="I373">_xlfn.IFS(F373=H373,1,F373=G373,0,F373&lt;&gt;G373,(F373-G373)/(G373))</f>
        <v>0</v>
      </c>
      <c r="J373" t="str">
        <f t="shared" si="5"/>
        <v>Минимум</v>
      </c>
    </row>
    <row r="374" spans="1:10" ht="16" x14ac:dyDescent="0.2">
      <c r="A374">
        <v>367</v>
      </c>
      <c r="B374" s="24">
        <v>45755</v>
      </c>
      <c r="C374" s="4" t="s">
        <v>445</v>
      </c>
      <c r="D374" t="s">
        <v>997</v>
      </c>
      <c r="E374" s="6" t="s">
        <v>23</v>
      </c>
      <c r="F374" s="11">
        <v>3000</v>
      </c>
      <c r="G374">
        <v>3000</v>
      </c>
      <c r="H374">
        <v>5000</v>
      </c>
      <c r="I374" cm="1">
        <f t="array" ref="I374">_xlfn.IFS(F374=H374,1,F374=G374,0,F374&lt;&gt;G374,(F374-G374)/(G374))</f>
        <v>0</v>
      </c>
      <c r="J374" t="str">
        <f t="shared" si="5"/>
        <v>Минимум</v>
      </c>
    </row>
    <row r="375" spans="1:10" ht="16" x14ac:dyDescent="0.2">
      <c r="A375">
        <v>368</v>
      </c>
      <c r="B375" s="24">
        <v>45755</v>
      </c>
      <c r="C375" s="4" t="s">
        <v>446</v>
      </c>
      <c r="D375" t="s">
        <v>997</v>
      </c>
      <c r="E375" s="6" t="s">
        <v>23</v>
      </c>
      <c r="F375" s="11">
        <v>3000</v>
      </c>
      <c r="G375">
        <v>3000</v>
      </c>
      <c r="H375">
        <v>5000</v>
      </c>
      <c r="I375" cm="1">
        <f t="array" ref="I375">_xlfn.IFS(F375=H375,1,F375=G375,0,F375&lt;&gt;G375,(F375-G375)/(G375))</f>
        <v>0</v>
      </c>
      <c r="J375" t="str">
        <f t="shared" si="5"/>
        <v>Минимум</v>
      </c>
    </row>
    <row r="376" spans="1:10" ht="16" x14ac:dyDescent="0.2">
      <c r="A376">
        <v>369</v>
      </c>
      <c r="B376" s="24">
        <v>45755</v>
      </c>
      <c r="C376" s="4" t="s">
        <v>447</v>
      </c>
      <c r="D376" t="s">
        <v>997</v>
      </c>
      <c r="E376" s="6" t="s">
        <v>23</v>
      </c>
      <c r="F376" s="11">
        <v>3000</v>
      </c>
      <c r="G376">
        <v>3000</v>
      </c>
      <c r="H376">
        <v>5000</v>
      </c>
      <c r="I376" cm="1">
        <f t="array" ref="I376">_xlfn.IFS(F376=H376,1,F376=G376,0,F376&lt;&gt;G376,(F376-G376)/(G376))</f>
        <v>0</v>
      </c>
      <c r="J376" t="str">
        <f t="shared" si="5"/>
        <v>Минимум</v>
      </c>
    </row>
    <row r="377" spans="1:10" ht="32" x14ac:dyDescent="0.2">
      <c r="A377">
        <v>370</v>
      </c>
      <c r="B377" s="24">
        <v>45755</v>
      </c>
      <c r="C377" s="4" t="s">
        <v>292</v>
      </c>
      <c r="D377" t="s">
        <v>996</v>
      </c>
      <c r="E377" s="6" t="s">
        <v>80</v>
      </c>
      <c r="F377" s="11">
        <v>700000</v>
      </c>
      <c r="G377">
        <v>700000</v>
      </c>
      <c r="H377">
        <v>1000000</v>
      </c>
      <c r="I377" cm="1">
        <f t="array" ref="I377">_xlfn.IFS(F377=H377,1,F377=G377,0,F377&lt;&gt;G377,(F377-G377)/(G377))</f>
        <v>0</v>
      </c>
      <c r="J377" t="str">
        <f t="shared" si="5"/>
        <v>Минимум</v>
      </c>
    </row>
    <row r="378" spans="1:10" ht="48" x14ac:dyDescent="0.2">
      <c r="A378">
        <v>371</v>
      </c>
      <c r="B378" s="24">
        <v>45755</v>
      </c>
      <c r="C378" s="4" t="s">
        <v>448</v>
      </c>
      <c r="D378" t="s">
        <v>996</v>
      </c>
      <c r="E378" s="6" t="s">
        <v>8</v>
      </c>
      <c r="F378" s="11" t="s">
        <v>11</v>
      </c>
      <c r="G378">
        <v>300000</v>
      </c>
      <c r="H378">
        <v>500000</v>
      </c>
      <c r="I378" t="e" cm="1">
        <f t="array" ref="I378">_xlfn.IFS(F378=H378,1,F378=G378,0,F378&lt;&gt;G378,(F378-G378)/(G378))</f>
        <v>#VALUE!</v>
      </c>
      <c r="J378" t="str">
        <f t="shared" si="5"/>
        <v>Предупреждение</v>
      </c>
    </row>
    <row r="379" spans="1:10" ht="16" x14ac:dyDescent="0.2">
      <c r="A379">
        <v>372</v>
      </c>
      <c r="B379" s="24">
        <v>45751</v>
      </c>
      <c r="C379" s="4" t="s">
        <v>450</v>
      </c>
      <c r="D379" t="s">
        <v>997</v>
      </c>
      <c r="E379" s="6" t="s">
        <v>23</v>
      </c>
      <c r="F379" s="11">
        <v>3000</v>
      </c>
      <c r="G379">
        <v>3000</v>
      </c>
      <c r="H379">
        <v>5000</v>
      </c>
      <c r="I379" cm="1">
        <f t="array" ref="I379">_xlfn.IFS(F379=H379,1,F379=G379,0,F379&lt;&gt;G379,(F379-G379)/(G379))</f>
        <v>0</v>
      </c>
      <c r="J379" t="str">
        <f t="shared" si="5"/>
        <v>Минимум</v>
      </c>
    </row>
    <row r="380" spans="1:10" ht="16" x14ac:dyDescent="0.2">
      <c r="A380">
        <v>373</v>
      </c>
      <c r="B380" s="24">
        <v>45748</v>
      </c>
      <c r="C380" s="4" t="s">
        <v>452</v>
      </c>
      <c r="D380" t="s">
        <v>997</v>
      </c>
      <c r="E380" s="6" t="s">
        <v>23</v>
      </c>
      <c r="F380" s="11">
        <v>3000</v>
      </c>
      <c r="G380">
        <v>3000</v>
      </c>
      <c r="H380">
        <v>5000</v>
      </c>
      <c r="I380" cm="1">
        <f t="array" ref="I380">_xlfn.IFS(F380=H380,1,F380=G380,0,F380&lt;&gt;G380,(F380-G380)/(G380))</f>
        <v>0</v>
      </c>
      <c r="J380" t="str">
        <f t="shared" si="5"/>
        <v>Минимум</v>
      </c>
    </row>
    <row r="381" spans="1:10" ht="16" x14ac:dyDescent="0.2">
      <c r="A381">
        <v>374</v>
      </c>
      <c r="B381" s="24">
        <v>45744</v>
      </c>
      <c r="C381" s="4" t="s">
        <v>330</v>
      </c>
      <c r="D381" t="s">
        <v>996</v>
      </c>
      <c r="E381" s="6" t="s">
        <v>454</v>
      </c>
      <c r="F381" s="11">
        <v>30000</v>
      </c>
      <c r="G381">
        <v>30000</v>
      </c>
      <c r="H381">
        <v>50000</v>
      </c>
      <c r="I381" cm="1">
        <f t="array" ref="I381">_xlfn.IFS(F381=H381,1,F381=G381,0,F381&lt;&gt;G381,(F381-G381)/(G381))</f>
        <v>0</v>
      </c>
      <c r="J381" t="str">
        <f t="shared" si="5"/>
        <v>Минимум</v>
      </c>
    </row>
    <row r="382" spans="1:10" ht="16" x14ac:dyDescent="0.2">
      <c r="A382">
        <v>375</v>
      </c>
      <c r="B382" s="24">
        <v>45744</v>
      </c>
      <c r="C382" s="4" t="s">
        <v>455</v>
      </c>
      <c r="D382" t="s">
        <v>997</v>
      </c>
      <c r="E382" s="6" t="s">
        <v>23</v>
      </c>
      <c r="F382" s="11">
        <v>3000</v>
      </c>
      <c r="G382">
        <v>3000</v>
      </c>
      <c r="H382">
        <v>5000</v>
      </c>
      <c r="I382" cm="1">
        <f t="array" ref="I382">_xlfn.IFS(F382=H382,1,F382=G382,0,F382&lt;&gt;G382,(F382-G382)/(G382))</f>
        <v>0</v>
      </c>
      <c r="J382" t="str">
        <f t="shared" si="5"/>
        <v>Минимум</v>
      </c>
    </row>
    <row r="383" spans="1:10" ht="16" x14ac:dyDescent="0.2">
      <c r="A383">
        <v>376</v>
      </c>
      <c r="B383" s="24">
        <v>45741</v>
      </c>
      <c r="C383" s="4" t="s">
        <v>457</v>
      </c>
      <c r="D383" t="s">
        <v>997</v>
      </c>
      <c r="E383" s="6" t="s">
        <v>23</v>
      </c>
      <c r="F383" s="11">
        <v>3000</v>
      </c>
      <c r="G383">
        <v>3000</v>
      </c>
      <c r="H383">
        <v>5000</v>
      </c>
      <c r="I383" cm="1">
        <f t="array" ref="I383">_xlfn.IFS(F383=H383,1,F383=G383,0,F383&lt;&gt;G383,(F383-G383)/(G383))</f>
        <v>0</v>
      </c>
      <c r="J383" t="str">
        <f t="shared" si="5"/>
        <v>Минимум</v>
      </c>
    </row>
    <row r="384" spans="1:10" ht="16" x14ac:dyDescent="0.2">
      <c r="A384">
        <v>377</v>
      </c>
      <c r="B384" s="24">
        <v>45741</v>
      </c>
      <c r="C384" s="4" t="s">
        <v>458</v>
      </c>
      <c r="D384" t="s">
        <v>997</v>
      </c>
      <c r="E384" s="6" t="s">
        <v>23</v>
      </c>
      <c r="F384" s="11">
        <v>3000</v>
      </c>
      <c r="G384">
        <v>3000</v>
      </c>
      <c r="H384">
        <v>5000</v>
      </c>
      <c r="I384" cm="1">
        <f t="array" ref="I384">_xlfn.IFS(F384=H384,1,F384=G384,0,F384&lt;&gt;G384,(F384-G384)/(G384))</f>
        <v>0</v>
      </c>
      <c r="J384" t="str">
        <f t="shared" si="5"/>
        <v>Минимум</v>
      </c>
    </row>
    <row r="385" spans="1:10" ht="16" x14ac:dyDescent="0.2">
      <c r="A385">
        <v>378</v>
      </c>
      <c r="B385" s="24">
        <v>45741</v>
      </c>
      <c r="C385" s="4" t="s">
        <v>459</v>
      </c>
      <c r="D385" t="s">
        <v>997</v>
      </c>
      <c r="E385" s="6" t="s">
        <v>23</v>
      </c>
      <c r="F385" s="11">
        <v>3000</v>
      </c>
      <c r="G385">
        <v>3000</v>
      </c>
      <c r="H385">
        <v>5000</v>
      </c>
      <c r="I385" cm="1">
        <f t="array" ref="I385">_xlfn.IFS(F385=H385,1,F385=G385,0,F385&lt;&gt;G385,(F385-G385)/(G385))</f>
        <v>0</v>
      </c>
      <c r="J385" t="str">
        <f t="shared" si="5"/>
        <v>Минимум</v>
      </c>
    </row>
    <row r="386" spans="1:10" ht="16" x14ac:dyDescent="0.2">
      <c r="A386">
        <v>379</v>
      </c>
      <c r="B386" s="24">
        <v>45741</v>
      </c>
      <c r="C386" s="4" t="s">
        <v>460</v>
      </c>
      <c r="D386" t="s">
        <v>997</v>
      </c>
      <c r="E386" s="6" t="s">
        <v>23</v>
      </c>
      <c r="F386" s="11">
        <v>3000</v>
      </c>
      <c r="G386">
        <v>3000</v>
      </c>
      <c r="H386">
        <v>5000</v>
      </c>
      <c r="I386" cm="1">
        <f t="array" ref="I386">_xlfn.IFS(F386=H386,1,F386=G386,0,F386&lt;&gt;G386,(F386-G386)/(G386))</f>
        <v>0</v>
      </c>
      <c r="J386" t="str">
        <f t="shared" si="5"/>
        <v>Минимум</v>
      </c>
    </row>
    <row r="387" spans="1:10" ht="16" x14ac:dyDescent="0.2">
      <c r="A387">
        <v>380</v>
      </c>
      <c r="B387" s="24">
        <v>45741</v>
      </c>
      <c r="C387" s="4" t="s">
        <v>99</v>
      </c>
      <c r="D387" t="s">
        <v>996</v>
      </c>
      <c r="E387" s="6" t="s">
        <v>8</v>
      </c>
      <c r="F387" s="11">
        <v>300000</v>
      </c>
      <c r="G387">
        <v>300000</v>
      </c>
      <c r="H387">
        <v>500000</v>
      </c>
      <c r="I387" cm="1">
        <f t="array" ref="I387">_xlfn.IFS(F387=H387,1,F387=G387,0,F387&lt;&gt;G387,(F387-G387)/(G387))</f>
        <v>0</v>
      </c>
      <c r="J387" t="str">
        <f t="shared" ref="J387:J450" si="6">IF(ISERROR(I387),"Предупреждение",
IF(I387&lt;0,"Ниже минимума",
IF(I387=0,"Минимум",
IF(I387&lt;1,"В диапазоне",
IF(I387=1,"Максимум",
"Выше максимума")))))</f>
        <v>Минимум</v>
      </c>
    </row>
    <row r="388" spans="1:10" ht="16" x14ac:dyDescent="0.2">
      <c r="A388">
        <v>381</v>
      </c>
      <c r="B388" s="24">
        <v>45741</v>
      </c>
      <c r="C388" s="4" t="s">
        <v>461</v>
      </c>
      <c r="D388" t="s">
        <v>996</v>
      </c>
      <c r="E388" s="6" t="s">
        <v>83</v>
      </c>
      <c r="F388" s="11" t="s">
        <v>11</v>
      </c>
      <c r="G388">
        <v>500000</v>
      </c>
      <c r="H388">
        <v>700000</v>
      </c>
      <c r="I388" t="e" cm="1">
        <f t="array" ref="I388">_xlfn.IFS(F388=H388,1,F388=G388,0,F388&lt;&gt;G388,(F388-G388)/(G388))</f>
        <v>#VALUE!</v>
      </c>
      <c r="J388" t="str">
        <f t="shared" si="6"/>
        <v>Предупреждение</v>
      </c>
    </row>
    <row r="389" spans="1:10" ht="16" x14ac:dyDescent="0.2">
      <c r="A389">
        <v>381</v>
      </c>
      <c r="B389" s="24">
        <v>45741</v>
      </c>
      <c r="C389" s="4" t="s">
        <v>461</v>
      </c>
      <c r="D389" t="s">
        <v>996</v>
      </c>
      <c r="E389" s="6" t="s">
        <v>462</v>
      </c>
      <c r="F389" s="11" t="s">
        <v>11</v>
      </c>
      <c r="G389">
        <v>300000</v>
      </c>
      <c r="H389">
        <v>500000</v>
      </c>
      <c r="I389" t="e" cm="1">
        <f t="array" ref="I389">_xlfn.IFS(F389=H389,1,F389=G389,0,F389&lt;&gt;G389,(F389-G389)/(G389))</f>
        <v>#VALUE!</v>
      </c>
      <c r="J389" t="str">
        <f t="shared" si="6"/>
        <v>Предупреждение</v>
      </c>
    </row>
    <row r="390" spans="1:10" ht="16" x14ac:dyDescent="0.2">
      <c r="A390">
        <v>382</v>
      </c>
      <c r="B390" s="24">
        <v>45737</v>
      </c>
      <c r="C390" s="4" t="s">
        <v>464</v>
      </c>
      <c r="D390" t="s">
        <v>996</v>
      </c>
      <c r="E390" s="6" t="s">
        <v>75</v>
      </c>
      <c r="F390" s="11">
        <v>250000</v>
      </c>
      <c r="G390">
        <v>500000</v>
      </c>
      <c r="H390">
        <v>700000</v>
      </c>
      <c r="I390" cm="1">
        <f t="array" ref="I390">_xlfn.IFS(F390=H390,1,F390=G390,0,F390&lt;&gt;G390,(F390-G390)/(G390))</f>
        <v>-0.5</v>
      </c>
      <c r="J390" t="str">
        <f t="shared" si="6"/>
        <v>Ниже минимума</v>
      </c>
    </row>
    <row r="391" spans="1:10" ht="16" x14ac:dyDescent="0.2">
      <c r="A391">
        <v>383</v>
      </c>
      <c r="B391" s="24">
        <v>45737</v>
      </c>
      <c r="C391" s="4" t="s">
        <v>465</v>
      </c>
      <c r="D391" t="s">
        <v>997</v>
      </c>
      <c r="E391" s="6" t="s">
        <v>23</v>
      </c>
      <c r="F391" s="11">
        <v>3000</v>
      </c>
      <c r="G391">
        <v>3000</v>
      </c>
      <c r="H391">
        <v>5000</v>
      </c>
      <c r="I391" cm="1">
        <f t="array" ref="I391">_xlfn.IFS(F391=H391,1,F391=G391,0,F391&lt;&gt;G391,(F391-G391)/(G391))</f>
        <v>0</v>
      </c>
      <c r="J391" t="str">
        <f t="shared" si="6"/>
        <v>Минимум</v>
      </c>
    </row>
    <row r="392" spans="1:10" ht="16" x14ac:dyDescent="0.2">
      <c r="A392">
        <v>384</v>
      </c>
      <c r="B392" s="24">
        <v>45737</v>
      </c>
      <c r="C392" s="4" t="s">
        <v>466</v>
      </c>
      <c r="D392" t="s">
        <v>997</v>
      </c>
      <c r="E392" s="6" t="s">
        <v>23</v>
      </c>
      <c r="F392" s="11">
        <v>3000</v>
      </c>
      <c r="G392">
        <v>3000</v>
      </c>
      <c r="H392">
        <v>5000</v>
      </c>
      <c r="I392" cm="1">
        <f t="array" ref="I392">_xlfn.IFS(F392=H392,1,F392=G392,0,F392&lt;&gt;G392,(F392-G392)/(G392))</f>
        <v>0</v>
      </c>
      <c r="J392" t="str">
        <f t="shared" si="6"/>
        <v>Минимум</v>
      </c>
    </row>
    <row r="393" spans="1:10" ht="16" x14ac:dyDescent="0.2">
      <c r="A393">
        <v>385</v>
      </c>
      <c r="B393" s="24">
        <v>45737</v>
      </c>
      <c r="C393" s="4" t="s">
        <v>467</v>
      </c>
      <c r="D393" t="s">
        <v>997</v>
      </c>
      <c r="E393" s="6" t="s">
        <v>23</v>
      </c>
      <c r="F393" s="11">
        <v>3000</v>
      </c>
      <c r="G393">
        <v>3000</v>
      </c>
      <c r="H393">
        <v>5000</v>
      </c>
      <c r="I393" cm="1">
        <f t="array" ref="I393">_xlfn.IFS(F393=H393,1,F393=G393,0,F393&lt;&gt;G393,(F393-G393)/(G393))</f>
        <v>0</v>
      </c>
      <c r="J393" t="str">
        <f t="shared" si="6"/>
        <v>Минимум</v>
      </c>
    </row>
    <row r="394" spans="1:10" ht="16" x14ac:dyDescent="0.2">
      <c r="A394">
        <v>387</v>
      </c>
      <c r="B394" s="24">
        <v>45734</v>
      </c>
      <c r="C394" s="4" t="s">
        <v>469</v>
      </c>
      <c r="D394" t="s">
        <v>996</v>
      </c>
      <c r="E394" s="6" t="s">
        <v>8</v>
      </c>
      <c r="F394" s="11">
        <v>300000</v>
      </c>
      <c r="G394">
        <v>300000</v>
      </c>
      <c r="H394">
        <v>500000</v>
      </c>
      <c r="I394" cm="1">
        <f t="array" ref="I394">_xlfn.IFS(F394=H394,1,F394=G394,0,F394&lt;&gt;G394,(F394-G394)/(G394))</f>
        <v>0</v>
      </c>
      <c r="J394" t="str">
        <f t="shared" si="6"/>
        <v>Минимум</v>
      </c>
    </row>
    <row r="395" spans="1:10" ht="32" x14ac:dyDescent="0.2">
      <c r="A395">
        <v>388</v>
      </c>
      <c r="B395" s="24">
        <v>45734</v>
      </c>
      <c r="C395" s="4" t="s">
        <v>470</v>
      </c>
      <c r="D395" t="s">
        <v>996</v>
      </c>
      <c r="E395" s="6" t="s">
        <v>5</v>
      </c>
      <c r="F395" s="11">
        <v>700000</v>
      </c>
      <c r="G395">
        <v>700000</v>
      </c>
      <c r="H395">
        <v>1000000</v>
      </c>
      <c r="I395" cm="1">
        <f t="array" ref="I395">_xlfn.IFS(F395=H395,1,F395=G395,0,F395&lt;&gt;G395,(F395-G395)/(G395))</f>
        <v>0</v>
      </c>
      <c r="J395" t="str">
        <f t="shared" si="6"/>
        <v>Минимум</v>
      </c>
    </row>
    <row r="396" spans="1:10" ht="32" x14ac:dyDescent="0.2">
      <c r="A396">
        <v>388</v>
      </c>
      <c r="B396" s="24">
        <v>45734</v>
      </c>
      <c r="C396" s="4" t="s">
        <v>470</v>
      </c>
      <c r="D396" t="s">
        <v>996</v>
      </c>
      <c r="E396" s="6" t="s">
        <v>5</v>
      </c>
      <c r="F396" s="11">
        <v>700000</v>
      </c>
      <c r="G396">
        <v>700000</v>
      </c>
      <c r="H396">
        <v>1000000</v>
      </c>
      <c r="I396" cm="1">
        <f t="array" ref="I396">_xlfn.IFS(F396=H396,1,F396=G396,0,F396&lt;&gt;G396,(F396-G396)/(G396))</f>
        <v>0</v>
      </c>
      <c r="J396" t="str">
        <f t="shared" si="6"/>
        <v>Минимум</v>
      </c>
    </row>
    <row r="397" spans="1:10" ht="32" x14ac:dyDescent="0.2">
      <c r="A397">
        <v>389</v>
      </c>
      <c r="B397" s="24">
        <v>45734</v>
      </c>
      <c r="C397" s="4" t="s">
        <v>471</v>
      </c>
      <c r="D397" t="s">
        <v>996</v>
      </c>
      <c r="E397" s="6" t="s">
        <v>83</v>
      </c>
      <c r="F397" s="11" t="s">
        <v>11</v>
      </c>
      <c r="G397">
        <v>500000</v>
      </c>
      <c r="H397">
        <v>700000</v>
      </c>
      <c r="I397" t="e" cm="1">
        <f t="array" ref="I397">_xlfn.IFS(F397=H397,1,F397=G397,0,F397&lt;&gt;G397,(F397-G397)/(G397))</f>
        <v>#VALUE!</v>
      </c>
      <c r="J397" t="str">
        <f t="shared" si="6"/>
        <v>Предупреждение</v>
      </c>
    </row>
    <row r="398" spans="1:10" ht="32" x14ac:dyDescent="0.2">
      <c r="A398">
        <v>390</v>
      </c>
      <c r="B398" s="24">
        <v>45734</v>
      </c>
      <c r="C398" s="4" t="s">
        <v>472</v>
      </c>
      <c r="D398" t="s">
        <v>996</v>
      </c>
      <c r="E398" s="6" t="s">
        <v>8</v>
      </c>
      <c r="F398" s="11" t="s">
        <v>11</v>
      </c>
      <c r="G398">
        <v>300000</v>
      </c>
      <c r="H398">
        <v>500000</v>
      </c>
      <c r="I398" t="e" cm="1">
        <f t="array" ref="I398">_xlfn.IFS(F398=H398,1,F398=G398,0,F398&lt;&gt;G398,(F398-G398)/(G398))</f>
        <v>#VALUE!</v>
      </c>
      <c r="J398" t="str">
        <f t="shared" si="6"/>
        <v>Предупреждение</v>
      </c>
    </row>
    <row r="399" spans="1:10" ht="16" x14ac:dyDescent="0.2">
      <c r="A399">
        <v>391</v>
      </c>
      <c r="B399" s="24">
        <v>45734</v>
      </c>
      <c r="C399" s="4" t="s">
        <v>473</v>
      </c>
      <c r="D399" t="s">
        <v>996</v>
      </c>
      <c r="E399" s="6" t="s">
        <v>8</v>
      </c>
      <c r="F399" s="11">
        <v>300000</v>
      </c>
      <c r="G399">
        <v>300000</v>
      </c>
      <c r="H399">
        <v>500000</v>
      </c>
      <c r="I399" cm="1">
        <f t="array" ref="I399">_xlfn.IFS(F399=H399,1,F399=G399,0,F399&lt;&gt;G399,(F399-G399)/(G399))</f>
        <v>0</v>
      </c>
      <c r="J399" t="str">
        <f t="shared" si="6"/>
        <v>Минимум</v>
      </c>
    </row>
    <row r="400" spans="1:10" ht="16" x14ac:dyDescent="0.2">
      <c r="A400">
        <v>392</v>
      </c>
      <c r="B400" s="24">
        <v>45733</v>
      </c>
      <c r="C400" s="4" t="s">
        <v>301</v>
      </c>
      <c r="D400" t="s">
        <v>996</v>
      </c>
      <c r="E400" s="6" t="s">
        <v>83</v>
      </c>
      <c r="F400" s="11">
        <v>500000</v>
      </c>
      <c r="G400">
        <v>500000</v>
      </c>
      <c r="H400">
        <v>700000</v>
      </c>
      <c r="I400" cm="1">
        <f t="array" ref="I400">_xlfn.IFS(F400=H400,1,F400=G400,0,F400&lt;&gt;G400,(F400-G400)/(G400))</f>
        <v>0</v>
      </c>
      <c r="J400" t="str">
        <f t="shared" si="6"/>
        <v>Минимум</v>
      </c>
    </row>
    <row r="401" spans="1:10" ht="16" x14ac:dyDescent="0.2">
      <c r="A401">
        <v>392</v>
      </c>
      <c r="B401" s="24">
        <v>45733</v>
      </c>
      <c r="C401" s="4" t="s">
        <v>301</v>
      </c>
      <c r="D401" t="s">
        <v>996</v>
      </c>
      <c r="E401" s="6" t="s">
        <v>8</v>
      </c>
      <c r="F401" s="11">
        <v>300000</v>
      </c>
      <c r="G401">
        <v>300000</v>
      </c>
      <c r="H401">
        <v>500000</v>
      </c>
      <c r="I401" cm="1">
        <f t="array" ref="I401">_xlfn.IFS(F401=H401,1,F401=G401,0,F401&lt;&gt;G401,(F401-G401)/(G401))</f>
        <v>0</v>
      </c>
      <c r="J401" t="str">
        <f t="shared" si="6"/>
        <v>Минимум</v>
      </c>
    </row>
    <row r="402" spans="1:10" ht="16" x14ac:dyDescent="0.2">
      <c r="A402">
        <v>393</v>
      </c>
      <c r="B402" s="24">
        <v>45730</v>
      </c>
      <c r="C402" s="4" t="s">
        <v>476</v>
      </c>
      <c r="D402" t="s">
        <v>997</v>
      </c>
      <c r="E402" s="6" t="s">
        <v>23</v>
      </c>
      <c r="F402" s="11">
        <v>3000</v>
      </c>
      <c r="G402">
        <v>3000</v>
      </c>
      <c r="H402">
        <v>5000</v>
      </c>
      <c r="I402" cm="1">
        <f t="array" ref="I402">_xlfn.IFS(F402=H402,1,F402=G402,0,F402&lt;&gt;G402,(F402-G402)/(G402))</f>
        <v>0</v>
      </c>
      <c r="J402" t="str">
        <f t="shared" si="6"/>
        <v>Минимум</v>
      </c>
    </row>
    <row r="403" spans="1:10" ht="16" x14ac:dyDescent="0.2">
      <c r="A403">
        <v>394</v>
      </c>
      <c r="B403" s="24">
        <v>45730</v>
      </c>
      <c r="C403" s="4" t="s">
        <v>477</v>
      </c>
      <c r="D403" t="s">
        <v>997</v>
      </c>
      <c r="E403" s="6" t="s">
        <v>23</v>
      </c>
      <c r="F403" s="11">
        <v>3000</v>
      </c>
      <c r="G403">
        <v>3000</v>
      </c>
      <c r="H403">
        <v>5000</v>
      </c>
      <c r="I403" cm="1">
        <f t="array" ref="I403">_xlfn.IFS(F403=H403,1,F403=G403,0,F403&lt;&gt;G403,(F403-G403)/(G403))</f>
        <v>0</v>
      </c>
      <c r="J403" t="str">
        <f t="shared" si="6"/>
        <v>Минимум</v>
      </c>
    </row>
    <row r="404" spans="1:10" ht="16" x14ac:dyDescent="0.2">
      <c r="A404">
        <v>395</v>
      </c>
      <c r="B404" s="24">
        <v>45730</v>
      </c>
      <c r="C404" s="4" t="s">
        <v>478</v>
      </c>
      <c r="D404" t="s">
        <v>997</v>
      </c>
      <c r="E404" s="6" t="s">
        <v>23</v>
      </c>
      <c r="F404" s="11">
        <v>3000</v>
      </c>
      <c r="G404">
        <v>3000</v>
      </c>
      <c r="H404">
        <v>5000</v>
      </c>
      <c r="I404" cm="1">
        <f t="array" ref="I404">_xlfn.IFS(F404=H404,1,F404=G404,0,F404&lt;&gt;G404,(F404-G404)/(G404))</f>
        <v>0</v>
      </c>
      <c r="J404" t="str">
        <f t="shared" si="6"/>
        <v>Минимум</v>
      </c>
    </row>
    <row r="405" spans="1:10" ht="32" x14ac:dyDescent="0.2">
      <c r="A405">
        <v>396</v>
      </c>
      <c r="B405" s="24">
        <v>45730</v>
      </c>
      <c r="C405" s="4" t="s">
        <v>126</v>
      </c>
      <c r="D405" t="s">
        <v>996</v>
      </c>
      <c r="E405" s="6" t="s">
        <v>5</v>
      </c>
      <c r="F405" s="11" t="s">
        <v>11</v>
      </c>
      <c r="G405">
        <v>700000</v>
      </c>
      <c r="H405">
        <v>1000000</v>
      </c>
      <c r="I405" t="e" cm="1">
        <f t="array" ref="I405">_xlfn.IFS(F405=H405,1,F405=G405,0,F405&lt;&gt;G405,(F405-G405)/(G405))</f>
        <v>#VALUE!</v>
      </c>
      <c r="J405" t="str">
        <f t="shared" si="6"/>
        <v>Предупреждение</v>
      </c>
    </row>
    <row r="406" spans="1:10" ht="16" x14ac:dyDescent="0.2">
      <c r="A406">
        <v>397</v>
      </c>
      <c r="B406" s="24">
        <v>45727</v>
      </c>
      <c r="C406" s="4" t="s">
        <v>480</v>
      </c>
      <c r="D406" t="s">
        <v>997</v>
      </c>
      <c r="E406" s="6" t="s">
        <v>23</v>
      </c>
      <c r="F406" s="11">
        <v>3000</v>
      </c>
      <c r="G406">
        <v>3000</v>
      </c>
      <c r="H406">
        <v>5000</v>
      </c>
      <c r="I406" cm="1">
        <f t="array" ref="I406">_xlfn.IFS(F406=H406,1,F406=G406,0,F406&lt;&gt;G406,(F406-G406)/(G406))</f>
        <v>0</v>
      </c>
      <c r="J406" t="str">
        <f t="shared" si="6"/>
        <v>Минимум</v>
      </c>
    </row>
    <row r="407" spans="1:10" ht="16" x14ac:dyDescent="0.2">
      <c r="A407">
        <v>398</v>
      </c>
      <c r="B407" s="24">
        <v>45727</v>
      </c>
      <c r="C407" s="4" t="s">
        <v>481</v>
      </c>
      <c r="D407" t="s">
        <v>997</v>
      </c>
      <c r="E407" s="6" t="s">
        <v>23</v>
      </c>
      <c r="F407" s="11">
        <v>3000</v>
      </c>
      <c r="G407">
        <v>3000</v>
      </c>
      <c r="H407">
        <v>5000</v>
      </c>
      <c r="I407" cm="1">
        <f t="array" ref="I407">_xlfn.IFS(F407=H407,1,F407=G407,0,F407&lt;&gt;G407,(F407-G407)/(G407))</f>
        <v>0</v>
      </c>
      <c r="J407" t="str">
        <f t="shared" si="6"/>
        <v>Минимум</v>
      </c>
    </row>
    <row r="408" spans="1:10" ht="16" x14ac:dyDescent="0.2">
      <c r="A408">
        <v>399</v>
      </c>
      <c r="B408" s="24">
        <v>45727</v>
      </c>
      <c r="C408" s="4" t="s">
        <v>482</v>
      </c>
      <c r="D408" t="s">
        <v>997</v>
      </c>
      <c r="E408" s="6" t="s">
        <v>23</v>
      </c>
      <c r="F408" s="11">
        <v>3000</v>
      </c>
      <c r="G408">
        <v>3000</v>
      </c>
      <c r="H408">
        <v>5000</v>
      </c>
      <c r="I408" cm="1">
        <f t="array" ref="I408">_xlfn.IFS(F408=H408,1,F408=G408,0,F408&lt;&gt;G408,(F408-G408)/(G408))</f>
        <v>0</v>
      </c>
      <c r="J408" t="str">
        <f t="shared" si="6"/>
        <v>Минимум</v>
      </c>
    </row>
    <row r="409" spans="1:10" ht="16" x14ac:dyDescent="0.2">
      <c r="A409">
        <v>400</v>
      </c>
      <c r="B409" s="24">
        <v>45726</v>
      </c>
      <c r="C409" s="4" t="s">
        <v>484</v>
      </c>
      <c r="D409" t="s">
        <v>997</v>
      </c>
      <c r="E409" s="6" t="s">
        <v>23</v>
      </c>
      <c r="F409" s="11">
        <v>3000</v>
      </c>
      <c r="G409">
        <v>3000</v>
      </c>
      <c r="H409">
        <v>5000</v>
      </c>
      <c r="I409" cm="1">
        <f t="array" ref="I409">_xlfn.IFS(F409=H409,1,F409=G409,0,F409&lt;&gt;G409,(F409-G409)/(G409))</f>
        <v>0</v>
      </c>
      <c r="J409" t="str">
        <f t="shared" si="6"/>
        <v>Минимум</v>
      </c>
    </row>
    <row r="410" spans="1:10" ht="32" x14ac:dyDescent="0.2">
      <c r="A410">
        <v>401</v>
      </c>
      <c r="B410" s="24">
        <v>45726</v>
      </c>
      <c r="C410" s="4" t="s">
        <v>485</v>
      </c>
      <c r="D410" t="s">
        <v>996</v>
      </c>
      <c r="E410" s="6" t="s">
        <v>8</v>
      </c>
      <c r="F410" s="11" t="s">
        <v>11</v>
      </c>
      <c r="G410">
        <v>300000</v>
      </c>
      <c r="H410">
        <v>500000</v>
      </c>
      <c r="I410" t="e" cm="1">
        <f t="array" ref="I410">_xlfn.IFS(F410=H410,1,F410=G410,0,F410&lt;&gt;G410,(F410-G410)/(G410))</f>
        <v>#VALUE!</v>
      </c>
      <c r="J410" t="str">
        <f t="shared" si="6"/>
        <v>Предупреждение</v>
      </c>
    </row>
    <row r="411" spans="1:10" ht="16" x14ac:dyDescent="0.2">
      <c r="A411">
        <v>402</v>
      </c>
      <c r="B411" s="24">
        <v>45726</v>
      </c>
      <c r="C411" s="4" t="s">
        <v>486</v>
      </c>
      <c r="D411" t="s">
        <v>996</v>
      </c>
      <c r="E411" s="6" t="s">
        <v>487</v>
      </c>
      <c r="F411" s="11">
        <v>100000</v>
      </c>
      <c r="G411">
        <v>200000</v>
      </c>
      <c r="H411">
        <v>300000</v>
      </c>
      <c r="I411" cm="1">
        <f t="array" ref="I411">_xlfn.IFS(F411=H411,1,F411=G411,0,F411&lt;&gt;G411,(F411-G411)/(G411))</f>
        <v>-0.5</v>
      </c>
      <c r="J411" t="str">
        <f t="shared" si="6"/>
        <v>Ниже минимума</v>
      </c>
    </row>
    <row r="412" spans="1:10" ht="16" x14ac:dyDescent="0.2">
      <c r="A412">
        <v>403</v>
      </c>
      <c r="B412" s="24">
        <v>45720</v>
      </c>
      <c r="C412" s="4" t="s">
        <v>489</v>
      </c>
      <c r="D412" t="s">
        <v>996</v>
      </c>
      <c r="E412" s="6" t="s">
        <v>5</v>
      </c>
      <c r="F412" s="11" t="s">
        <v>11</v>
      </c>
      <c r="G412">
        <v>700000</v>
      </c>
      <c r="H412">
        <v>1000000</v>
      </c>
      <c r="I412" t="e" cm="1">
        <f t="array" ref="I412">_xlfn.IFS(F412=H412,1,F412=G412,0,F412&lt;&gt;G412,(F412-G412)/(G412))</f>
        <v>#VALUE!</v>
      </c>
      <c r="J412" t="str">
        <f t="shared" si="6"/>
        <v>Предупреждение</v>
      </c>
    </row>
    <row r="413" spans="1:10" ht="16" x14ac:dyDescent="0.2">
      <c r="A413">
        <v>404</v>
      </c>
      <c r="B413" s="24">
        <v>45719</v>
      </c>
      <c r="C413" s="4" t="s">
        <v>491</v>
      </c>
      <c r="D413" t="s">
        <v>997</v>
      </c>
      <c r="E413" s="6" t="s">
        <v>23</v>
      </c>
      <c r="F413" s="11">
        <v>3000</v>
      </c>
      <c r="G413">
        <v>3000</v>
      </c>
      <c r="H413">
        <v>5000</v>
      </c>
      <c r="I413" cm="1">
        <f t="array" ref="I413">_xlfn.IFS(F413=H413,1,F413=G413,0,F413&lt;&gt;G413,(F413-G413)/(G413))</f>
        <v>0</v>
      </c>
      <c r="J413" t="str">
        <f t="shared" si="6"/>
        <v>Минимум</v>
      </c>
    </row>
    <row r="414" spans="1:10" ht="32" x14ac:dyDescent="0.2">
      <c r="A414">
        <v>405</v>
      </c>
      <c r="B414" s="24">
        <v>45716</v>
      </c>
      <c r="C414" s="4" t="s">
        <v>85</v>
      </c>
      <c r="D414" t="s">
        <v>996</v>
      </c>
      <c r="E414" s="6" t="s">
        <v>80</v>
      </c>
      <c r="F414" s="11">
        <v>700000</v>
      </c>
      <c r="G414">
        <v>700000</v>
      </c>
      <c r="H414">
        <v>1000000</v>
      </c>
      <c r="I414" cm="1">
        <f t="array" ref="I414">_xlfn.IFS(F414=H414,1,F414=G414,0,F414&lt;&gt;G414,(F414-G414)/(G414))</f>
        <v>0</v>
      </c>
      <c r="J414" t="str">
        <f t="shared" si="6"/>
        <v>Минимум</v>
      </c>
    </row>
    <row r="415" spans="1:10" ht="16" x14ac:dyDescent="0.2">
      <c r="A415">
        <v>406</v>
      </c>
      <c r="B415" s="24">
        <v>45716</v>
      </c>
      <c r="C415" s="4" t="s">
        <v>493</v>
      </c>
      <c r="D415" t="s">
        <v>997</v>
      </c>
      <c r="E415" s="6" t="s">
        <v>23</v>
      </c>
      <c r="F415" s="11">
        <v>3000</v>
      </c>
      <c r="G415">
        <v>3000</v>
      </c>
      <c r="H415">
        <v>5000</v>
      </c>
      <c r="I415" cm="1">
        <f t="array" ref="I415">_xlfn.IFS(F415=H415,1,F415=G415,0,F415&lt;&gt;G415,(F415-G415)/(G415))</f>
        <v>0</v>
      </c>
      <c r="J415" t="str">
        <f t="shared" si="6"/>
        <v>Минимум</v>
      </c>
    </row>
    <row r="416" spans="1:10" ht="16" x14ac:dyDescent="0.2">
      <c r="A416">
        <v>407</v>
      </c>
      <c r="B416" s="24">
        <v>45713</v>
      </c>
      <c r="C416" s="4" t="s">
        <v>464</v>
      </c>
      <c r="D416" t="s">
        <v>996</v>
      </c>
      <c r="E416" s="6" t="s">
        <v>75</v>
      </c>
      <c r="F416" s="11">
        <v>250000</v>
      </c>
      <c r="G416">
        <v>500000</v>
      </c>
      <c r="H416">
        <v>700000</v>
      </c>
      <c r="I416" cm="1">
        <f t="array" ref="I416">_xlfn.IFS(F416=H416,1,F416=G416,0,F416&lt;&gt;G416,(F416-G416)/(G416))</f>
        <v>-0.5</v>
      </c>
      <c r="J416" t="str">
        <f t="shared" si="6"/>
        <v>Ниже минимума</v>
      </c>
    </row>
    <row r="417" spans="1:10" ht="32" x14ac:dyDescent="0.2">
      <c r="A417">
        <v>408</v>
      </c>
      <c r="B417" s="24">
        <v>45713</v>
      </c>
      <c r="C417" s="4" t="s">
        <v>494</v>
      </c>
      <c r="D417" t="s">
        <v>996</v>
      </c>
      <c r="E417" s="6" t="s">
        <v>83</v>
      </c>
      <c r="F417" s="11" t="s">
        <v>11</v>
      </c>
      <c r="G417">
        <v>500000</v>
      </c>
      <c r="H417">
        <v>700000</v>
      </c>
      <c r="I417" t="e" cm="1">
        <f t="array" ref="I417">_xlfn.IFS(F417=H417,1,F417=G417,0,F417&lt;&gt;G417,(F417-G417)/(G417))</f>
        <v>#VALUE!</v>
      </c>
      <c r="J417" t="str">
        <f t="shared" si="6"/>
        <v>Предупреждение</v>
      </c>
    </row>
    <row r="418" spans="1:10" ht="16" x14ac:dyDescent="0.2">
      <c r="A418">
        <v>409</v>
      </c>
      <c r="B418" s="24">
        <v>45713</v>
      </c>
      <c r="C418" s="4" t="s">
        <v>495</v>
      </c>
      <c r="D418" t="s">
        <v>997</v>
      </c>
      <c r="E418" s="6" t="s">
        <v>23</v>
      </c>
      <c r="F418" s="11">
        <v>3000</v>
      </c>
      <c r="G418">
        <v>3000</v>
      </c>
      <c r="H418">
        <v>5000</v>
      </c>
      <c r="I418" cm="1">
        <f t="array" ref="I418">_xlfn.IFS(F418=H418,1,F418=G418,0,F418&lt;&gt;G418,(F418-G418)/(G418))</f>
        <v>0</v>
      </c>
      <c r="J418" t="str">
        <f t="shared" si="6"/>
        <v>Минимум</v>
      </c>
    </row>
    <row r="419" spans="1:10" ht="32" x14ac:dyDescent="0.2">
      <c r="A419">
        <v>410</v>
      </c>
      <c r="B419" s="24">
        <v>45713</v>
      </c>
      <c r="C419" s="4" t="s">
        <v>414</v>
      </c>
      <c r="D419" t="s">
        <v>996</v>
      </c>
      <c r="E419" s="6" t="s">
        <v>8</v>
      </c>
      <c r="F419" s="11">
        <v>300000</v>
      </c>
      <c r="G419">
        <v>300000</v>
      </c>
      <c r="H419">
        <v>500000</v>
      </c>
      <c r="I419" cm="1">
        <f t="array" ref="I419">_xlfn.IFS(F419=H419,1,F419=G419,0,F419&lt;&gt;G419,(F419-G419)/(G419))</f>
        <v>0</v>
      </c>
      <c r="J419" t="str">
        <f t="shared" si="6"/>
        <v>Минимум</v>
      </c>
    </row>
    <row r="420" spans="1:10" ht="16" x14ac:dyDescent="0.2">
      <c r="A420">
        <v>411</v>
      </c>
      <c r="B420" s="24">
        <v>45712</v>
      </c>
      <c r="C420" s="4" t="s">
        <v>84</v>
      </c>
      <c r="D420" t="s">
        <v>996</v>
      </c>
      <c r="E420" s="6" t="s">
        <v>80</v>
      </c>
      <c r="F420" s="11">
        <v>700000</v>
      </c>
      <c r="G420">
        <v>700000</v>
      </c>
      <c r="H420">
        <v>1000000</v>
      </c>
      <c r="I420" cm="1">
        <f t="array" ref="I420">_xlfn.IFS(F420=H420,1,F420=G420,0,F420&lt;&gt;G420,(F420-G420)/(G420))</f>
        <v>0</v>
      </c>
      <c r="J420" t="str">
        <f t="shared" si="6"/>
        <v>Минимум</v>
      </c>
    </row>
    <row r="421" spans="1:10" ht="16" x14ac:dyDescent="0.2">
      <c r="A421">
        <v>412</v>
      </c>
      <c r="B421" s="24">
        <v>45712</v>
      </c>
      <c r="C421" s="4" t="s">
        <v>435</v>
      </c>
      <c r="D421" t="s">
        <v>996</v>
      </c>
      <c r="E421" s="6" t="s">
        <v>8</v>
      </c>
      <c r="F421" s="11">
        <v>300000</v>
      </c>
      <c r="G421">
        <v>300000</v>
      </c>
      <c r="H421">
        <v>500000</v>
      </c>
      <c r="I421" cm="1">
        <f t="array" ref="I421">_xlfn.IFS(F421=H421,1,F421=G421,0,F421&lt;&gt;G421,(F421-G421)/(G421))</f>
        <v>0</v>
      </c>
      <c r="J421" t="str">
        <f t="shared" si="6"/>
        <v>Минимум</v>
      </c>
    </row>
    <row r="422" spans="1:10" ht="16" x14ac:dyDescent="0.2">
      <c r="A422">
        <v>413</v>
      </c>
      <c r="B422" s="24">
        <v>45709</v>
      </c>
      <c r="C422" s="4" t="s">
        <v>369</v>
      </c>
      <c r="D422" t="s">
        <v>996</v>
      </c>
      <c r="E422" s="6" t="s">
        <v>72</v>
      </c>
      <c r="F422" s="11">
        <v>250000</v>
      </c>
      <c r="G422">
        <v>500000</v>
      </c>
      <c r="H422">
        <v>700000</v>
      </c>
      <c r="I422" cm="1">
        <f t="array" ref="I422">_xlfn.IFS(F422=H422,1,F422=G422,0,F422&lt;&gt;G422,(F422-G422)/(G422))</f>
        <v>-0.5</v>
      </c>
      <c r="J422" t="str">
        <f t="shared" si="6"/>
        <v>Ниже минимума</v>
      </c>
    </row>
    <row r="423" spans="1:10" ht="16" x14ac:dyDescent="0.2">
      <c r="A423">
        <v>414</v>
      </c>
      <c r="B423" s="24">
        <v>45709</v>
      </c>
      <c r="C423" s="4" t="s">
        <v>498</v>
      </c>
      <c r="D423" t="s">
        <v>997</v>
      </c>
      <c r="E423" s="6" t="s">
        <v>23</v>
      </c>
      <c r="F423" s="11">
        <v>3000</v>
      </c>
      <c r="G423">
        <v>3000</v>
      </c>
      <c r="H423">
        <v>5000</v>
      </c>
      <c r="I423" cm="1">
        <f t="array" ref="I423">_xlfn.IFS(F423=H423,1,F423=G423,0,F423&lt;&gt;G423,(F423-G423)/(G423))</f>
        <v>0</v>
      </c>
      <c r="J423" t="str">
        <f t="shared" si="6"/>
        <v>Минимум</v>
      </c>
    </row>
    <row r="424" spans="1:10" ht="16" x14ac:dyDescent="0.2">
      <c r="A424">
        <v>415</v>
      </c>
      <c r="B424" s="24">
        <v>45706</v>
      </c>
      <c r="C424" s="4" t="s">
        <v>307</v>
      </c>
      <c r="D424" t="s">
        <v>996</v>
      </c>
      <c r="E424" s="6" t="s">
        <v>108</v>
      </c>
      <c r="F424" s="11">
        <v>500000</v>
      </c>
      <c r="G424">
        <v>500000</v>
      </c>
      <c r="H424">
        <v>700000</v>
      </c>
      <c r="I424" cm="1">
        <f t="array" ref="I424">_xlfn.IFS(F424=H424,1,F424=G424,0,F424&lt;&gt;G424,(F424-G424)/(G424))</f>
        <v>0</v>
      </c>
      <c r="J424" t="str">
        <f t="shared" si="6"/>
        <v>Минимум</v>
      </c>
    </row>
    <row r="425" spans="1:10" ht="32" x14ac:dyDescent="0.2">
      <c r="A425">
        <v>416</v>
      </c>
      <c r="B425" s="24">
        <v>45706</v>
      </c>
      <c r="C425" s="4" t="s">
        <v>85</v>
      </c>
      <c r="D425" t="s">
        <v>996</v>
      </c>
      <c r="E425" s="6" t="s">
        <v>18</v>
      </c>
      <c r="F425" s="11">
        <v>500000</v>
      </c>
      <c r="G425">
        <v>500000</v>
      </c>
      <c r="H425">
        <v>700000</v>
      </c>
      <c r="I425" cm="1">
        <f t="array" ref="I425">_xlfn.IFS(F425=H425,1,F425=G425,0,F425&lt;&gt;G425,(F425-G425)/(G425))</f>
        <v>0</v>
      </c>
      <c r="J425" t="str">
        <f t="shared" si="6"/>
        <v>Минимум</v>
      </c>
    </row>
    <row r="426" spans="1:10" ht="32" x14ac:dyDescent="0.2">
      <c r="A426">
        <v>416</v>
      </c>
      <c r="B426" s="24">
        <v>45706</v>
      </c>
      <c r="C426" s="4" t="s">
        <v>85</v>
      </c>
      <c r="D426" t="s">
        <v>996</v>
      </c>
      <c r="E426" s="6" t="s">
        <v>5</v>
      </c>
      <c r="F426" s="11">
        <v>700000</v>
      </c>
      <c r="G426">
        <v>700000</v>
      </c>
      <c r="H426">
        <v>1000000</v>
      </c>
      <c r="I426" cm="1">
        <f t="array" ref="I426">_xlfn.IFS(F426=H426,1,F426=G426,0,F426&lt;&gt;G426,(F426-G426)/(G426))</f>
        <v>0</v>
      </c>
      <c r="J426" t="str">
        <f t="shared" si="6"/>
        <v>Минимум</v>
      </c>
    </row>
    <row r="427" spans="1:10" ht="16" x14ac:dyDescent="0.2">
      <c r="A427">
        <v>417</v>
      </c>
      <c r="B427" s="24">
        <v>45706</v>
      </c>
      <c r="C427" s="4" t="s">
        <v>500</v>
      </c>
      <c r="D427" t="s">
        <v>996</v>
      </c>
      <c r="E427" s="6" t="s">
        <v>8</v>
      </c>
      <c r="F427" s="11">
        <v>300000</v>
      </c>
      <c r="G427">
        <v>300000</v>
      </c>
      <c r="H427">
        <v>500000</v>
      </c>
      <c r="I427" cm="1">
        <f t="array" ref="I427">_xlfn.IFS(F427=H427,1,F427=G427,0,F427&lt;&gt;G427,(F427-G427)/(G427))</f>
        <v>0</v>
      </c>
      <c r="J427" t="str">
        <f t="shared" si="6"/>
        <v>Минимум</v>
      </c>
    </row>
    <row r="428" spans="1:10" ht="16" x14ac:dyDescent="0.2">
      <c r="A428">
        <v>418</v>
      </c>
      <c r="B428" s="24">
        <v>45705</v>
      </c>
      <c r="C428" s="4" t="s">
        <v>502</v>
      </c>
      <c r="D428" t="s">
        <v>996</v>
      </c>
      <c r="E428" s="6" t="s">
        <v>8</v>
      </c>
      <c r="F428" s="11">
        <v>300000</v>
      </c>
      <c r="G428">
        <v>300000</v>
      </c>
      <c r="H428">
        <v>500000</v>
      </c>
      <c r="I428" cm="1">
        <f t="array" ref="I428">_xlfn.IFS(F428=H428,1,F428=G428,0,F428&lt;&gt;G428,(F428-G428)/(G428))</f>
        <v>0</v>
      </c>
      <c r="J428" t="str">
        <f t="shared" si="6"/>
        <v>Минимум</v>
      </c>
    </row>
    <row r="429" spans="1:10" ht="16" x14ac:dyDescent="0.2">
      <c r="A429">
        <v>419</v>
      </c>
      <c r="B429" s="24">
        <v>45702</v>
      </c>
      <c r="C429" s="4" t="s">
        <v>504</v>
      </c>
      <c r="D429" t="s">
        <v>997</v>
      </c>
      <c r="E429" s="6" t="s">
        <v>23</v>
      </c>
      <c r="F429" s="11">
        <v>3000</v>
      </c>
      <c r="G429">
        <v>3000</v>
      </c>
      <c r="H429">
        <v>5000</v>
      </c>
      <c r="I429" cm="1">
        <f t="array" ref="I429">_xlfn.IFS(F429=H429,1,F429=G429,0,F429&lt;&gt;G429,(F429-G429)/(G429))</f>
        <v>0</v>
      </c>
      <c r="J429" t="str">
        <f t="shared" si="6"/>
        <v>Минимум</v>
      </c>
    </row>
    <row r="430" spans="1:10" ht="16" x14ac:dyDescent="0.2">
      <c r="A430">
        <v>420</v>
      </c>
      <c r="B430" s="24">
        <v>45699</v>
      </c>
      <c r="C430" s="4" t="s">
        <v>506</v>
      </c>
      <c r="D430" t="s">
        <v>997</v>
      </c>
      <c r="E430" s="6" t="s">
        <v>23</v>
      </c>
      <c r="F430" s="11">
        <v>3000</v>
      </c>
      <c r="G430">
        <v>3000</v>
      </c>
      <c r="H430">
        <v>5000</v>
      </c>
      <c r="I430" cm="1">
        <f t="array" ref="I430">_xlfn.IFS(F430=H430,1,F430=G430,0,F430&lt;&gt;G430,(F430-G430)/(G430))</f>
        <v>0</v>
      </c>
      <c r="J430" t="str">
        <f t="shared" si="6"/>
        <v>Минимум</v>
      </c>
    </row>
    <row r="431" spans="1:10" ht="32" x14ac:dyDescent="0.2">
      <c r="A431">
        <v>421</v>
      </c>
      <c r="B431" s="24">
        <v>45699</v>
      </c>
      <c r="C431" s="4" t="s">
        <v>298</v>
      </c>
      <c r="D431" t="s">
        <v>996</v>
      </c>
      <c r="E431" s="6" t="s">
        <v>80</v>
      </c>
      <c r="F431" s="11">
        <v>350000</v>
      </c>
      <c r="G431">
        <v>700000</v>
      </c>
      <c r="H431">
        <v>1000000</v>
      </c>
      <c r="I431" cm="1">
        <f t="array" ref="I431">_xlfn.IFS(F431=H431,1,F431=G431,0,F431&lt;&gt;G431,(F431-G431)/(G431))</f>
        <v>-0.5</v>
      </c>
      <c r="J431" t="str">
        <f t="shared" si="6"/>
        <v>Ниже минимума</v>
      </c>
    </row>
    <row r="432" spans="1:10" ht="16" x14ac:dyDescent="0.2">
      <c r="A432">
        <v>422</v>
      </c>
      <c r="B432" s="24">
        <v>45698</v>
      </c>
      <c r="C432" s="4" t="s">
        <v>508</v>
      </c>
      <c r="D432" t="s">
        <v>997</v>
      </c>
      <c r="E432" s="6" t="s">
        <v>23</v>
      </c>
      <c r="F432" s="11">
        <v>3000</v>
      </c>
      <c r="G432">
        <v>3000</v>
      </c>
      <c r="H432">
        <v>5000</v>
      </c>
      <c r="I432" cm="1">
        <f t="array" ref="I432">_xlfn.IFS(F432=H432,1,F432=G432,0,F432&lt;&gt;G432,(F432-G432)/(G432))</f>
        <v>0</v>
      </c>
      <c r="J432" t="str">
        <f t="shared" si="6"/>
        <v>Минимум</v>
      </c>
    </row>
    <row r="433" spans="1:10" ht="32" x14ac:dyDescent="0.2">
      <c r="A433">
        <v>423</v>
      </c>
      <c r="B433" s="24">
        <v>45698</v>
      </c>
      <c r="C433" s="4" t="s">
        <v>509</v>
      </c>
      <c r="D433" t="s">
        <v>996</v>
      </c>
      <c r="E433" s="6" t="s">
        <v>83</v>
      </c>
      <c r="F433" s="11" t="s">
        <v>11</v>
      </c>
      <c r="G433">
        <v>500000</v>
      </c>
      <c r="H433">
        <v>700000</v>
      </c>
      <c r="I433" t="e" cm="1">
        <f t="array" ref="I433">_xlfn.IFS(F433=H433,1,F433=G433,0,F433&lt;&gt;G433,(F433-G433)/(G433))</f>
        <v>#VALUE!</v>
      </c>
      <c r="J433" t="str">
        <f t="shared" si="6"/>
        <v>Предупреждение</v>
      </c>
    </row>
    <row r="434" spans="1:10" ht="16" x14ac:dyDescent="0.2">
      <c r="A434">
        <v>424</v>
      </c>
      <c r="B434" s="24">
        <v>45685</v>
      </c>
      <c r="C434" s="4" t="s">
        <v>511</v>
      </c>
      <c r="D434" t="s">
        <v>997</v>
      </c>
      <c r="E434" s="6" t="s">
        <v>23</v>
      </c>
      <c r="F434" s="11">
        <v>3000</v>
      </c>
      <c r="G434">
        <v>3000</v>
      </c>
      <c r="H434">
        <v>5000</v>
      </c>
      <c r="I434" cm="1">
        <f t="array" ref="I434">_xlfn.IFS(F434=H434,1,F434=G434,0,F434&lt;&gt;G434,(F434-G434)/(G434))</f>
        <v>0</v>
      </c>
      <c r="J434" t="str">
        <f t="shared" si="6"/>
        <v>Минимум</v>
      </c>
    </row>
    <row r="435" spans="1:10" ht="16" x14ac:dyDescent="0.2">
      <c r="A435">
        <v>425</v>
      </c>
      <c r="B435" s="24">
        <v>45684</v>
      </c>
      <c r="C435" s="4" t="s">
        <v>513</v>
      </c>
      <c r="D435" t="s">
        <v>997</v>
      </c>
      <c r="E435" s="6" t="s">
        <v>8</v>
      </c>
      <c r="F435" s="11" t="s">
        <v>11</v>
      </c>
      <c r="G435">
        <v>1000</v>
      </c>
      <c r="H435">
        <v>3000</v>
      </c>
      <c r="I435" t="e" cm="1">
        <f t="array" ref="I435">_xlfn.IFS(F435=H435,1,F435=G435,0,F435&lt;&gt;G435,(F435-G435)/(G435))</f>
        <v>#VALUE!</v>
      </c>
      <c r="J435" t="str">
        <f t="shared" si="6"/>
        <v>Предупреждение</v>
      </c>
    </row>
    <row r="436" spans="1:10" ht="32" x14ac:dyDescent="0.2">
      <c r="A436">
        <v>426</v>
      </c>
      <c r="B436" s="24">
        <v>45684</v>
      </c>
      <c r="C436" s="4" t="s">
        <v>514</v>
      </c>
      <c r="D436" t="s">
        <v>996</v>
      </c>
      <c r="E436" s="6" t="s">
        <v>8</v>
      </c>
      <c r="F436" s="11">
        <v>150000</v>
      </c>
      <c r="G436">
        <v>300000</v>
      </c>
      <c r="H436">
        <v>500000</v>
      </c>
      <c r="I436" cm="1">
        <f t="array" ref="I436">_xlfn.IFS(F436=H436,1,F436=G436,0,F436&lt;&gt;G436,(F436-G436)/(G436))</f>
        <v>-0.5</v>
      </c>
      <c r="J436" t="str">
        <f t="shared" si="6"/>
        <v>Ниже минимума</v>
      </c>
    </row>
    <row r="437" spans="1:10" ht="16" x14ac:dyDescent="0.2">
      <c r="A437">
        <v>427</v>
      </c>
      <c r="B437" s="24">
        <v>45678</v>
      </c>
      <c r="C437" s="4" t="s">
        <v>516</v>
      </c>
      <c r="D437" t="s">
        <v>997</v>
      </c>
      <c r="E437" s="6" t="s">
        <v>23</v>
      </c>
      <c r="F437" s="11">
        <v>3000</v>
      </c>
      <c r="G437">
        <v>3000</v>
      </c>
      <c r="H437">
        <v>5000</v>
      </c>
      <c r="I437" cm="1">
        <f t="array" ref="I437">_xlfn.IFS(F437=H437,1,F437=G437,0,F437&lt;&gt;G437,(F437-G437)/(G437))</f>
        <v>0</v>
      </c>
      <c r="J437" t="str">
        <f t="shared" si="6"/>
        <v>Минимум</v>
      </c>
    </row>
    <row r="438" spans="1:10" ht="16" x14ac:dyDescent="0.2">
      <c r="A438">
        <v>428</v>
      </c>
      <c r="B438" s="24">
        <v>45667</v>
      </c>
      <c r="C438" s="4" t="s">
        <v>82</v>
      </c>
      <c r="D438" t="s">
        <v>996</v>
      </c>
      <c r="E438" s="6" t="s">
        <v>5</v>
      </c>
      <c r="F438" s="11">
        <v>700000</v>
      </c>
      <c r="G438">
        <v>700000</v>
      </c>
      <c r="H438">
        <v>1000000</v>
      </c>
      <c r="I438" cm="1">
        <f t="array" ref="I438">_xlfn.IFS(F438=H438,1,F438=G438,0,F438&lt;&gt;G438,(F438-G438)/(G438))</f>
        <v>0</v>
      </c>
      <c r="J438" t="str">
        <f t="shared" si="6"/>
        <v>Минимум</v>
      </c>
    </row>
    <row r="439" spans="1:10" ht="16" x14ac:dyDescent="0.2">
      <c r="A439">
        <v>428</v>
      </c>
      <c r="B439" s="24">
        <v>45667</v>
      </c>
      <c r="C439" s="4" t="s">
        <v>82</v>
      </c>
      <c r="D439" t="s">
        <v>996</v>
      </c>
      <c r="E439" s="6" t="s">
        <v>5</v>
      </c>
      <c r="F439" s="11">
        <v>700000</v>
      </c>
      <c r="G439">
        <v>700000</v>
      </c>
      <c r="H439">
        <v>1000000</v>
      </c>
      <c r="I439" cm="1">
        <f t="array" ref="I439">_xlfn.IFS(F439=H439,1,F439=G439,0,F439&lt;&gt;G439,(F439-G439)/(G439))</f>
        <v>0</v>
      </c>
      <c r="J439" t="str">
        <f t="shared" si="6"/>
        <v>Минимум</v>
      </c>
    </row>
    <row r="440" spans="1:10" ht="16" x14ac:dyDescent="0.2">
      <c r="A440">
        <v>429</v>
      </c>
      <c r="B440" s="24">
        <v>45667</v>
      </c>
      <c r="C440" s="4" t="s">
        <v>99</v>
      </c>
      <c r="D440" t="s">
        <v>996</v>
      </c>
      <c r="E440" s="6" t="s">
        <v>80</v>
      </c>
      <c r="F440" s="11">
        <v>700000</v>
      </c>
      <c r="G440">
        <v>700000</v>
      </c>
      <c r="H440">
        <v>1000000</v>
      </c>
      <c r="I440" cm="1">
        <f t="array" ref="I440">_xlfn.IFS(F440=H440,1,F440=G440,0,F440&lt;&gt;G440,(F440-G440)/(G440))</f>
        <v>0</v>
      </c>
      <c r="J440" t="str">
        <f t="shared" si="6"/>
        <v>Минимум</v>
      </c>
    </row>
    <row r="441" spans="1:10" ht="32" x14ac:dyDescent="0.2">
      <c r="A441">
        <v>430</v>
      </c>
      <c r="B441" s="24">
        <v>45667</v>
      </c>
      <c r="C441" s="4" t="s">
        <v>85</v>
      </c>
      <c r="D441" t="s">
        <v>996</v>
      </c>
      <c r="E441" s="6" t="s">
        <v>7</v>
      </c>
      <c r="F441" s="11">
        <v>700000</v>
      </c>
      <c r="G441">
        <v>700000</v>
      </c>
      <c r="H441">
        <v>1000000</v>
      </c>
      <c r="I441" cm="1">
        <f t="array" ref="I441">_xlfn.IFS(F441=H441,1,F441=G441,0,F441&lt;&gt;G441,(F441-G441)/(G441))</f>
        <v>0</v>
      </c>
      <c r="J441" t="str">
        <f t="shared" si="6"/>
        <v>Минимум</v>
      </c>
    </row>
    <row r="442" spans="1:10" ht="32" x14ac:dyDescent="0.2">
      <c r="A442">
        <v>430</v>
      </c>
      <c r="B442" s="24">
        <v>45667</v>
      </c>
      <c r="C442" s="4" t="s">
        <v>85</v>
      </c>
      <c r="D442" t="s">
        <v>996</v>
      </c>
      <c r="E442" s="6" t="s">
        <v>8</v>
      </c>
      <c r="F442" s="11">
        <v>300000</v>
      </c>
      <c r="G442">
        <v>300000</v>
      </c>
      <c r="H442">
        <v>500000</v>
      </c>
      <c r="I442" cm="1">
        <f t="array" ref="I442">_xlfn.IFS(F442=H442,1,F442=G442,0,F442&lt;&gt;G442,(F442-G442)/(G442))</f>
        <v>0</v>
      </c>
      <c r="J442" t="str">
        <f t="shared" si="6"/>
        <v>Минимум</v>
      </c>
    </row>
    <row r="443" spans="1:10" ht="16" x14ac:dyDescent="0.2">
      <c r="A443">
        <v>431</v>
      </c>
      <c r="B443" s="24">
        <v>45667</v>
      </c>
      <c r="C443" s="4" t="s">
        <v>284</v>
      </c>
      <c r="D443" t="s">
        <v>996</v>
      </c>
      <c r="E443" s="6" t="s">
        <v>83</v>
      </c>
      <c r="F443" s="11">
        <v>500000</v>
      </c>
      <c r="G443">
        <v>500000</v>
      </c>
      <c r="H443">
        <v>700000</v>
      </c>
      <c r="I443" cm="1">
        <f t="array" ref="I443">_xlfn.IFS(F443=H443,1,F443=G443,0,F443&lt;&gt;G443,(F443-G443)/(G443))</f>
        <v>0</v>
      </c>
      <c r="J443" t="str">
        <f t="shared" si="6"/>
        <v>Минимум</v>
      </c>
    </row>
    <row r="444" spans="1:10" ht="32" x14ac:dyDescent="0.2">
      <c r="A444">
        <v>432</v>
      </c>
      <c r="B444" s="24">
        <v>45667</v>
      </c>
      <c r="C444" s="4" t="s">
        <v>518</v>
      </c>
      <c r="D444" t="s">
        <v>996</v>
      </c>
      <c r="E444" s="6" t="s">
        <v>83</v>
      </c>
      <c r="F444" s="11" t="s">
        <v>11</v>
      </c>
      <c r="G444">
        <v>500000</v>
      </c>
      <c r="H444">
        <v>700000</v>
      </c>
      <c r="I444" t="e" cm="1">
        <f t="array" ref="I444">_xlfn.IFS(F444=H444,1,F444=G444,0,F444&lt;&gt;G444,(F444-G444)/(G444))</f>
        <v>#VALUE!</v>
      </c>
      <c r="J444" t="str">
        <f t="shared" si="6"/>
        <v>Предупреждение</v>
      </c>
    </row>
    <row r="445" spans="1:10" ht="16" x14ac:dyDescent="0.2">
      <c r="A445">
        <v>433</v>
      </c>
      <c r="B445" s="24">
        <v>45666</v>
      </c>
      <c r="C445" s="4" t="s">
        <v>285</v>
      </c>
      <c r="D445" t="s">
        <v>996</v>
      </c>
      <c r="E445" s="6" t="s">
        <v>75</v>
      </c>
      <c r="F445" s="11" t="s">
        <v>11</v>
      </c>
      <c r="G445">
        <v>500000</v>
      </c>
      <c r="H445">
        <v>700000</v>
      </c>
      <c r="I445" t="e" cm="1">
        <f t="array" ref="I445">_xlfn.IFS(F445=H445,1,F445=G445,0,F445&lt;&gt;G445,(F445-G445)/(G445))</f>
        <v>#VALUE!</v>
      </c>
      <c r="J445" t="str">
        <f t="shared" si="6"/>
        <v>Предупреждение</v>
      </c>
    </row>
    <row r="446" spans="1:10" ht="16" x14ac:dyDescent="0.2">
      <c r="A446">
        <v>433</v>
      </c>
      <c r="B446" s="24">
        <v>45666</v>
      </c>
      <c r="C446" s="4" t="s">
        <v>285</v>
      </c>
      <c r="D446" t="s">
        <v>996</v>
      </c>
      <c r="E446" s="6" t="s">
        <v>72</v>
      </c>
      <c r="F446" s="11">
        <v>250000</v>
      </c>
      <c r="G446">
        <v>500000</v>
      </c>
      <c r="H446">
        <v>700000</v>
      </c>
      <c r="I446" cm="1">
        <f t="array" ref="I446">_xlfn.IFS(F446=H446,1,F446=G446,0,F446&lt;&gt;G446,(F446-G446)/(G446))</f>
        <v>-0.5</v>
      </c>
      <c r="J446" t="str">
        <f t="shared" si="6"/>
        <v>Ниже минимума</v>
      </c>
    </row>
    <row r="447" spans="1:10" ht="16" x14ac:dyDescent="0.2">
      <c r="A447">
        <v>434</v>
      </c>
      <c r="B447" s="24">
        <v>45666</v>
      </c>
      <c r="C447" s="4" t="s">
        <v>520</v>
      </c>
      <c r="D447" t="s">
        <v>996</v>
      </c>
      <c r="E447" s="6" t="s">
        <v>75</v>
      </c>
      <c r="F447" s="11" t="s">
        <v>11</v>
      </c>
      <c r="G447">
        <v>500000</v>
      </c>
      <c r="H447">
        <v>700000</v>
      </c>
      <c r="I447" t="e" cm="1">
        <f t="array" ref="I447">_xlfn.IFS(F447=H447,1,F447=G447,0,F447&lt;&gt;G447,(F447-G447)/(G447))</f>
        <v>#VALUE!</v>
      </c>
      <c r="J447" t="str">
        <f t="shared" si="6"/>
        <v>Предупреждение</v>
      </c>
    </row>
    <row r="448" spans="1:10" ht="16" x14ac:dyDescent="0.2">
      <c r="A448">
        <v>435</v>
      </c>
      <c r="B448" s="24">
        <v>45666</v>
      </c>
      <c r="C448" s="4" t="s">
        <v>457</v>
      </c>
      <c r="D448" t="s">
        <v>997</v>
      </c>
      <c r="E448" s="6" t="s">
        <v>23</v>
      </c>
      <c r="F448" s="11">
        <v>3000</v>
      </c>
      <c r="G448">
        <v>3000</v>
      </c>
      <c r="H448">
        <v>5000</v>
      </c>
      <c r="I448" cm="1">
        <f t="array" ref="I448">_xlfn.IFS(F448=H448,1,F448=G448,0,F448&lt;&gt;G448,(F448-G448)/(G448))</f>
        <v>0</v>
      </c>
      <c r="J448" t="str">
        <f t="shared" si="6"/>
        <v>Минимум</v>
      </c>
    </row>
    <row r="449" spans="1:10" ht="16" x14ac:dyDescent="0.2">
      <c r="A449">
        <v>436</v>
      </c>
      <c r="B449" s="24">
        <v>45666</v>
      </c>
      <c r="C449" s="4" t="s">
        <v>458</v>
      </c>
      <c r="D449" t="s">
        <v>997</v>
      </c>
      <c r="E449" s="6" t="s">
        <v>23</v>
      </c>
      <c r="F449" s="11">
        <v>3000</v>
      </c>
      <c r="G449">
        <v>3000</v>
      </c>
      <c r="H449">
        <v>5000</v>
      </c>
      <c r="I449" cm="1">
        <f t="array" ref="I449">_xlfn.IFS(F449=H449,1,F449=G449,0,F449&lt;&gt;G449,(F449-G449)/(G449))</f>
        <v>0</v>
      </c>
      <c r="J449" t="str">
        <f t="shared" si="6"/>
        <v>Минимум</v>
      </c>
    </row>
    <row r="450" spans="1:10" ht="16" x14ac:dyDescent="0.2">
      <c r="A450">
        <v>437</v>
      </c>
      <c r="B450" s="24">
        <v>45666</v>
      </c>
      <c r="C450" s="4" t="s">
        <v>99</v>
      </c>
      <c r="D450" t="s">
        <v>996</v>
      </c>
      <c r="E450" s="6" t="s">
        <v>8</v>
      </c>
      <c r="F450" s="11">
        <v>300000</v>
      </c>
      <c r="G450">
        <v>300000</v>
      </c>
      <c r="H450">
        <v>500000</v>
      </c>
      <c r="I450" cm="1">
        <f t="array" ref="I450">_xlfn.IFS(F450=H450,1,F450=G450,0,F450&lt;&gt;G450,(F450-G450)/(G450))</f>
        <v>0</v>
      </c>
      <c r="J450" t="str">
        <f t="shared" si="6"/>
        <v>Минимум</v>
      </c>
    </row>
  </sheetData>
  <conditionalFormatting sqref="I2:I1048576">
    <cfRule type="cellIs" dxfId="2" priority="1" operator="greaterThanOrEqual">
      <formula>1</formula>
    </cfRule>
    <cfRule type="cellIs" dxfId="1" priority="2" operator="greaterThan">
      <formula>0</formula>
    </cfRule>
    <cfRule type="cellIs" dxfId="0" priority="3" operator="lessThan">
      <formula>0</formula>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5A9A8-5A9D-6D4D-8A86-D8831F78824A}">
  <dimension ref="A1:K450"/>
  <sheetViews>
    <sheetView zoomScale="75" workbookViewId="0">
      <selection activeCell="C2" sqref="C2"/>
    </sheetView>
  </sheetViews>
  <sheetFormatPr baseColWidth="10" defaultRowHeight="15" x14ac:dyDescent="0.2"/>
  <cols>
    <col min="1" max="1" width="12.33203125" style="27" bestFit="1" customWidth="1"/>
    <col min="2" max="2" width="27.83203125" style="27" bestFit="1" customWidth="1"/>
    <col min="3" max="3" width="56.83203125" style="27" customWidth="1"/>
    <col min="4" max="4" width="16.5" style="27" bestFit="1" customWidth="1"/>
    <col min="5" max="5" width="18.33203125" style="27" bestFit="1" customWidth="1"/>
    <col min="6" max="6" width="14.83203125" style="27" bestFit="1" customWidth="1"/>
    <col min="7" max="8" width="10.83203125" style="27"/>
    <col min="9" max="9" width="15.5" style="27" bestFit="1" customWidth="1"/>
    <col min="10" max="10" width="74.6640625" style="6" customWidth="1"/>
    <col min="11" max="11" width="83" style="4" customWidth="1"/>
  </cols>
  <sheetData>
    <row r="1" spans="1:11" ht="16" x14ac:dyDescent="0.2">
      <c r="A1" s="15" t="s">
        <v>979</v>
      </c>
      <c r="B1" s="15" t="s">
        <v>0</v>
      </c>
      <c r="C1" s="5" t="s">
        <v>1</v>
      </c>
      <c r="D1" s="15" t="s">
        <v>995</v>
      </c>
      <c r="E1" s="15" t="s">
        <v>2</v>
      </c>
      <c r="F1" s="15" t="s">
        <v>1005</v>
      </c>
      <c r="G1" s="15" t="s">
        <v>1003</v>
      </c>
      <c r="H1" s="15" t="s">
        <v>1004</v>
      </c>
      <c r="I1" s="28" t="s">
        <v>1057</v>
      </c>
      <c r="J1" s="28" t="s">
        <v>1066</v>
      </c>
      <c r="K1" s="28" t="s">
        <v>522</v>
      </c>
    </row>
    <row r="2" spans="1:11" ht="144" x14ac:dyDescent="0.2">
      <c r="A2" s="16">
        <v>1</v>
      </c>
      <c r="B2" s="29">
        <v>46070</v>
      </c>
      <c r="C2" s="17" t="s">
        <v>4</v>
      </c>
      <c r="D2" s="16" t="s">
        <v>996</v>
      </c>
      <c r="E2" s="16" t="s">
        <v>5</v>
      </c>
      <c r="F2" s="26">
        <v>700000</v>
      </c>
      <c r="G2" s="16">
        <v>700000</v>
      </c>
      <c r="H2" s="16">
        <v>1000000</v>
      </c>
      <c r="I2" s="16" t="s">
        <v>1060</v>
      </c>
      <c r="J2" s="17" t="str">
        <f>VLOOKUP(E2,статьи!$G$2:$H$24,2,TRUE)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2" s="17" t="str">
        <f>VLOOKUP(A2,'компании+описание'!$A$1:$D$438,4,)</f>
        <v>По результатам рассмотрения материалов дела об административном правонарушении № ЦА-38-ЮЛ-26-258, возбуждённого за совершение административного правонарушения, ответственность за которое предусмотрена частью 9 статьи 15.29 Кодекса Российской Федерации об административных правонарушениях, АО «НПФ «Ростех» назначено административное наказание в виде штрафа в размере 700 000 рублей. Постановление вступило в законную силу 17.02.2026.</v>
      </c>
    </row>
    <row r="3" spans="1:11" ht="160" x14ac:dyDescent="0.2">
      <c r="A3" s="16">
        <v>2</v>
      </c>
      <c r="B3" s="29">
        <v>46070</v>
      </c>
      <c r="C3" s="17" t="s">
        <v>6</v>
      </c>
      <c r="D3" s="16" t="s">
        <v>996</v>
      </c>
      <c r="E3" s="16" t="s">
        <v>7</v>
      </c>
      <c r="F3" s="26">
        <v>700000</v>
      </c>
      <c r="G3" s="16">
        <v>700000</v>
      </c>
      <c r="H3" s="16">
        <v>1000000</v>
      </c>
      <c r="I3" s="16" t="s">
        <v>1060</v>
      </c>
      <c r="J3" s="17" t="str">
        <f>VLOOKUP(E3,статьи!$G$2:$H$24,2,TRUE)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3" s="17" t="str">
        <f>VLOOKUP(A3,'компании+описание'!$A$1:$D$438,4,)</f>
        <v>По результатам рассмотрения материалов дела об административном правонарушении № ЦА-38-ЮЛ-26-92, возбужденного за совершение административного правонарушения, ответственность за которое предусмотрена частью 6 статьи 15.29 КоАП РФ, Обществу с ограниченной ответственностью «Управляющая компания «Атон-менеджмент» назначено административное наказание в виде штрафа в размере 700 000 рублей. Постановление вступило в законную силу 17.02.2026.По результатам рассмотрения материалов дела об административном правонарушении № ЦА-38-ЮЛ-26-93,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«Управляющая компания «Атон-менеджмент» назначено административное наказание в виде штрафа в размере 320 000 рублей. Постановление вступило в законную силу 17.02.2026.</v>
      </c>
    </row>
    <row r="4" spans="1:11" ht="160" x14ac:dyDescent="0.2">
      <c r="A4" s="16">
        <v>2</v>
      </c>
      <c r="B4" s="29">
        <v>46070</v>
      </c>
      <c r="C4" s="17" t="s">
        <v>6</v>
      </c>
      <c r="D4" s="16" t="s">
        <v>996</v>
      </c>
      <c r="E4" s="16" t="s">
        <v>8</v>
      </c>
      <c r="F4" s="26">
        <v>320000</v>
      </c>
      <c r="G4" s="16">
        <v>300000</v>
      </c>
      <c r="H4" s="16">
        <v>500000</v>
      </c>
      <c r="I4" s="16" t="s">
        <v>1059</v>
      </c>
      <c r="J4" s="17" t="str">
        <f>VLOOKUP(E4,статьи!$G$2:$H$24,2,TRUE)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 s="17" t="str">
        <f>VLOOKUP(A4,'компании+описание'!$A$1:$D$438,4,)</f>
        <v>По результатам рассмотрения материалов дела об административном правонарушении № ЦА-38-ЮЛ-26-92, возбужденного за совершение административного правонарушения, ответственность за которое предусмотрена частью 6 статьи 15.29 КоАП РФ, Обществу с ограниченной ответственностью «Управляющая компания «Атон-менеджмент» назначено административное наказание в виде штрафа в размере 700 000 рублей. Постановление вступило в законную силу 17.02.2026.По результатам рассмотрения материалов дела об административном правонарушении № ЦА-38-ЮЛ-26-93,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«Управляющая компания «Атон-менеджмент» назначено административное наказание в виде штрафа в размере 320 000 рублей. Постановление вступило в законную силу 17.02.2026.</v>
      </c>
    </row>
    <row r="5" spans="1:11" ht="80" x14ac:dyDescent="0.2">
      <c r="A5" s="16">
        <v>3</v>
      </c>
      <c r="B5" s="29">
        <v>46066</v>
      </c>
      <c r="C5" s="17" t="s">
        <v>10</v>
      </c>
      <c r="D5" s="16" t="s">
        <v>996</v>
      </c>
      <c r="E5" s="16" t="s">
        <v>8</v>
      </c>
      <c r="F5" s="26" t="s">
        <v>11</v>
      </c>
      <c r="G5" s="16">
        <v>300000</v>
      </c>
      <c r="H5" s="16">
        <v>500000</v>
      </c>
      <c r="I5" s="16" t="s">
        <v>1062</v>
      </c>
      <c r="J5" s="17" t="str">
        <f>VLOOKUP(E5,статьи!$G$2:$H$24,2,TRUE)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5" s="17" t="str">
        <f>VLOOKUP(A5,'компании+описание'!$A$1:$D$438,4,)</f>
        <v>По результатам рассмотрения материалов дела об административном правонарушении № ЦА-38-ЮЛ-26-12,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Управляющей компании «Центр Эссет Менеджмент» назначено административное наказание в виде предупреждения. Постановление вступило в законную силу 13.02.2026.</v>
      </c>
    </row>
    <row r="6" spans="1:11" ht="144" x14ac:dyDescent="0.2">
      <c r="A6" s="16">
        <v>4</v>
      </c>
      <c r="B6" s="29">
        <v>46063</v>
      </c>
      <c r="C6" s="17" t="s">
        <v>13</v>
      </c>
      <c r="D6" s="16" t="s">
        <v>996</v>
      </c>
      <c r="E6" s="16" t="s">
        <v>5</v>
      </c>
      <c r="F6" s="26">
        <v>1000000</v>
      </c>
      <c r="G6" s="16">
        <v>700000</v>
      </c>
      <c r="H6" s="16">
        <v>1000000</v>
      </c>
      <c r="I6" s="16" t="s">
        <v>1063</v>
      </c>
      <c r="J6" s="17" t="str">
        <f>VLOOKUP(E6,статьи!$G$2:$H$24,2,TRUE)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6" s="17" t="str">
        <f>VLOOKUP(A6,'компании+описание'!$A$1:$D$438,4,)</f>
        <v>По результатам рассмотрения материалов дела об административном правонарушении № ЦА-34-ЮЛ-26-294, возбужденного за совершение административного правонарушения, ответственность за которое предусмотрена частью 9 статьи 15.29 КоАП РФ, акционерному обществу «Инвестиционная компания «РИКОМ-ТРАСТ» назначено административное наказание в виде штрафа размером 1 000 000 (один миллион) рублей. Постановление от 26.01.2026 № 26-294/3110-1 о назначении административного наказания вступило в законную силу 10.02.2026.</v>
      </c>
    </row>
    <row r="7" spans="1:11" ht="80" x14ac:dyDescent="0.2">
      <c r="A7" s="16">
        <v>5</v>
      </c>
      <c r="B7" s="29">
        <v>46063</v>
      </c>
      <c r="C7" s="17" t="s">
        <v>14</v>
      </c>
      <c r="D7" s="16" t="s">
        <v>996</v>
      </c>
      <c r="E7" s="16" t="s">
        <v>8</v>
      </c>
      <c r="F7" s="26">
        <v>350000</v>
      </c>
      <c r="G7" s="16">
        <v>300000</v>
      </c>
      <c r="H7" s="16">
        <v>500000</v>
      </c>
      <c r="I7" s="16" t="s">
        <v>1059</v>
      </c>
      <c r="J7" s="17" t="str">
        <f>VLOOKUP(E7,статьи!$G$2:$H$24,2,TRUE)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7" s="17" t="str">
        <f>VLOOKUP(A7,'компании+описание'!$A$1:$D$438,4,)</f>
        <v>По результатам рассмотрения материалов дела об административном правонарушении № ЦА-38-ЮЛ-26-19, возбуждённого за совершение административного правонарушения, ответственность за которое предусмотрена частью 12 статьи 15.29 Кодекса Российской Федерации об административных правонарушениях, АО ВИМ Инвестиции назначено административное наказание в виде штрафа в размере 350 000 рублей. Постановление вступило в законную силу 10.02.2026.</v>
      </c>
    </row>
    <row r="8" spans="1:11" ht="144" x14ac:dyDescent="0.2">
      <c r="A8" s="16">
        <v>6</v>
      </c>
      <c r="B8" s="29">
        <v>46063</v>
      </c>
      <c r="C8" s="17" t="s">
        <v>15</v>
      </c>
      <c r="D8" s="16" t="s">
        <v>996</v>
      </c>
      <c r="E8" s="16" t="s">
        <v>7</v>
      </c>
      <c r="F8" s="26" t="s">
        <v>11</v>
      </c>
      <c r="G8" s="16">
        <v>700000</v>
      </c>
      <c r="H8" s="16">
        <v>1000000</v>
      </c>
      <c r="I8" s="16" t="s">
        <v>1062</v>
      </c>
      <c r="J8" s="17" t="str">
        <f>VLOOKUP(E8,статьи!$G$2:$H$24,2,TRUE)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8" s="17" t="str">
        <f>VLOOKUP(A8,'компании+описание'!$A$1:$D$438,4,)</f>
        <v>По результатам рассмотрения материалов дела об административном правонарушении № ЦА-38-ЮЛ-26-2, возбужденного за совершение административного правонарушения, ответственность за которое предусмотрена частью 6 статьи 15.29 КоАП РФ, Обществу с ограниченной ответственностью «Управляющая компания «Ресурс» назначено административное наказание в виде предупреждения. Постановление вступило в законную силу 10.02.2026.</v>
      </c>
    </row>
    <row r="9" spans="1:11" ht="80" x14ac:dyDescent="0.2">
      <c r="A9" s="16">
        <v>7</v>
      </c>
      <c r="B9" s="29">
        <v>46063</v>
      </c>
      <c r="C9" s="17" t="s">
        <v>16</v>
      </c>
      <c r="D9" s="16" t="s">
        <v>996</v>
      </c>
      <c r="E9" s="16" t="s">
        <v>8</v>
      </c>
      <c r="F9" s="26" t="s">
        <v>11</v>
      </c>
      <c r="G9" s="16">
        <v>300000</v>
      </c>
      <c r="H9" s="16">
        <v>500000</v>
      </c>
      <c r="I9" s="16" t="s">
        <v>1062</v>
      </c>
      <c r="J9" s="17" t="str">
        <f>VLOOKUP(E9,статьи!$G$2:$H$24,2,TRUE)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9" s="17" t="str">
        <f>VLOOKUP(A9,'компании+описание'!$A$1:$D$438,4,)</f>
        <v>По результатам рассмотрения материалов дела об административном правонарушении № ЦА-38-ЮЛ-26-85,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«ТрастЮнион Эссет Менеджмент» назначено административное наказание в виде предупреждения. Постановление вступило в законную силу 10.02.2026.</v>
      </c>
    </row>
    <row r="10" spans="1:11" ht="144" x14ac:dyDescent="0.2">
      <c r="A10" s="16">
        <v>8</v>
      </c>
      <c r="B10" s="29">
        <v>46063</v>
      </c>
      <c r="C10" s="17" t="s">
        <v>17</v>
      </c>
      <c r="D10" s="16" t="s">
        <v>996</v>
      </c>
      <c r="E10" s="16" t="s">
        <v>18</v>
      </c>
      <c r="F10" s="26">
        <v>250000</v>
      </c>
      <c r="G10" s="16">
        <v>500000</v>
      </c>
      <c r="H10" s="16">
        <v>700000</v>
      </c>
      <c r="I10" s="16" t="s">
        <v>1061</v>
      </c>
      <c r="J10" s="17" t="str">
        <f>VLOOKUP(E10,статьи!$G$2:$H$24,2,TRUE)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10" s="17" t="str">
        <f>VLOOKUP(A10,'компании+описание'!$A$1:$D$438,4,)</f>
        <v>По результатам рассмотрения материалов дела об административном правонарушении № ЦА-38-ЮЛ-26-6, возбужденного за совершение административного правонарушения, ответственность за которое предусмотрена частью 5 статьи 15.29 КоАП РФ, Акционерному обществу «Управляющая Компания ТРИНФИКО» назначено административное наказание в виде штрафа в размере 250 000 рублей. Постановление вступило в законную силу 10.02.2026.</v>
      </c>
    </row>
    <row r="11" spans="1:11" ht="80" x14ac:dyDescent="0.2">
      <c r="A11" s="16">
        <v>9</v>
      </c>
      <c r="B11" s="29">
        <v>46062</v>
      </c>
      <c r="C11" s="17" t="s">
        <v>20</v>
      </c>
      <c r="D11" s="16" t="s">
        <v>996</v>
      </c>
      <c r="E11" s="16" t="s">
        <v>8</v>
      </c>
      <c r="F11" s="26">
        <v>300000</v>
      </c>
      <c r="G11" s="16">
        <v>300000</v>
      </c>
      <c r="H11" s="16">
        <v>500000</v>
      </c>
      <c r="I11" s="16" t="s">
        <v>1060</v>
      </c>
      <c r="J11" s="17" t="str">
        <f>VLOOKUP(E11,статьи!$G$2:$H$24,2,TRUE)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1" s="17" t="str">
        <f>VLOOKUP(A11,'компании+описание'!$A$1:$D$438,4,)</f>
        <v>По результатам рассмотрения материалов дела об административном правонарушении № ЦА-34-ЮЛ-26-191, возбужденного за совершение административного правонарушения, ответственность за которое предусмотрена частью 12 статьи 15.29 КоАП РФ, ООО «Цифра брокер» назначено административное наказание в виде штрафа в размере 300 000 рублей. Постановление № 26-191/3110-1 о назначении административного наказания вступило в законную силу 07.02.2026.</v>
      </c>
    </row>
    <row r="12" spans="1:11" ht="96" x14ac:dyDescent="0.2">
      <c r="A12" s="16">
        <v>10</v>
      </c>
      <c r="B12" s="29">
        <v>46059</v>
      </c>
      <c r="C12" s="17" t="s">
        <v>22</v>
      </c>
      <c r="D12" s="16" t="s">
        <v>997</v>
      </c>
      <c r="E12" s="16" t="s">
        <v>23</v>
      </c>
      <c r="F12" s="26">
        <v>3000</v>
      </c>
      <c r="G12" s="16">
        <v>3000</v>
      </c>
      <c r="H12" s="16">
        <v>5000</v>
      </c>
      <c r="I12" s="16" t="s">
        <v>1060</v>
      </c>
      <c r="J12" s="17" t="str">
        <f>VLOOKUP(E12,статьи!$G$2:$H$24,2,TRUE)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2" s="17" t="str">
        <f>VLOOKUP(A12,'компании+описание'!$A$1:$D$438,4,)</f>
        <v>По результатам рассмотрения материалов дела об административном правонарушении № ЦА-34-Гр-25-21433,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Голубкову Виктору Владимировичу назначено административное наказание в виде штрафа в размере 3 000 рублей. Постановление от 18.12.2025 № 25-21433/3110-1 о назначении административного наказания вступило в законную силу 03.02.2026.</v>
      </c>
    </row>
    <row r="13" spans="1:11" ht="112" x14ac:dyDescent="0.2">
      <c r="A13" s="16">
        <v>11</v>
      </c>
      <c r="B13" s="29">
        <v>46059</v>
      </c>
      <c r="C13" s="17" t="s">
        <v>26</v>
      </c>
      <c r="D13" s="16" t="s">
        <v>998</v>
      </c>
      <c r="E13" s="16" t="s">
        <v>23</v>
      </c>
      <c r="F13" s="26">
        <v>30000</v>
      </c>
      <c r="G13" s="16">
        <v>30000</v>
      </c>
      <c r="H13" s="16">
        <v>50000</v>
      </c>
      <c r="I13" s="16" t="s">
        <v>1060</v>
      </c>
      <c r="J13" s="17" t="str">
        <f>VLOOKUP(E13,статьи!$G$2:$H$24,2,TRUE)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3" s="17" t="str">
        <f>VLOOKUP(A13,'компании+описание'!$A$1:$D$438,4,)</f>
        <v>По результатам рассмотрения материалов дела об административном правонарушении № ЦА-34-ДЛ-25-20686,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генеральному директору общества с ограниченной ответственностью «Тринити Шиппинг» Ярошенко Александру Ивановичу назначено административное наказание в виде штрафа в размере 30 000 рублей. Постановление от 25.12.2025 № 25-20686/3110-1 о назначении административного наказания вступило в законную силу 31.01.2026.</v>
      </c>
    </row>
    <row r="14" spans="1:11" ht="96" x14ac:dyDescent="0.2">
      <c r="A14" s="16">
        <v>12</v>
      </c>
      <c r="B14" s="29">
        <v>46059</v>
      </c>
      <c r="C14" s="17" t="s">
        <v>27</v>
      </c>
      <c r="D14" s="16" t="s">
        <v>997</v>
      </c>
      <c r="E14" s="16" t="s">
        <v>23</v>
      </c>
      <c r="F14" s="26">
        <v>3000</v>
      </c>
      <c r="G14" s="16">
        <v>3000</v>
      </c>
      <c r="H14" s="16">
        <v>5000</v>
      </c>
      <c r="I14" s="16" t="s">
        <v>1060</v>
      </c>
      <c r="J14" s="17" t="str">
        <f>VLOOKUP(E14,статьи!$G$2:$H$24,2,TRUE)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4" s="17" t="str">
        <f>VLOOKUP(A14,'компании+описание'!$A$1:$D$438,4,)</f>
        <v>По результатам рассмотрения материалов дела об административном правонарушении № ЦА-34-ГР-25-21130,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Гальямовой Наталье Александровне назначено административное наказание в виде штрафа в размере 3 000 рублей. Постановление от 25.12.2025 № 25-21130/3110-1 о назначении административного наказания вступило в законную силу 06.02.2026.</v>
      </c>
    </row>
    <row r="15" spans="1:11" ht="96" x14ac:dyDescent="0.2">
      <c r="A15" s="16">
        <v>13</v>
      </c>
      <c r="B15" s="29">
        <v>46056</v>
      </c>
      <c r="C15" s="17" t="s">
        <v>28</v>
      </c>
      <c r="D15" s="16" t="s">
        <v>997</v>
      </c>
      <c r="E15" s="16" t="s">
        <v>23</v>
      </c>
      <c r="F15" s="26">
        <v>3000</v>
      </c>
      <c r="G15" s="16">
        <v>3000</v>
      </c>
      <c r="H15" s="16">
        <v>5000</v>
      </c>
      <c r="I15" s="16" t="s">
        <v>1060</v>
      </c>
      <c r="J15" s="17" t="str">
        <f>VLOOKUP(E15,статьи!$G$2:$H$24,2,TRUE)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5" s="17" t="str">
        <f>VLOOKUP(A15,'компании+описание'!$A$1:$D$438,4,)</f>
        <v>По результатам рассмотрения материалов дела об административном правонарушении № ЦА-34-Гр-25-21347, возбужденного за совершение административного правонарушения, ответственность за которое предусмотрена статьей 15.30 КоАП РФ, Чмыхало Юлии Анатольевне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18.12.2025 № 25-21347/3110-1 вступило в законную силу 03.02.2026.</v>
      </c>
    </row>
    <row r="16" spans="1:11" ht="96" x14ac:dyDescent="0.2">
      <c r="A16" s="16">
        <v>14</v>
      </c>
      <c r="B16" s="29">
        <v>46052</v>
      </c>
      <c r="C16" s="17" t="s">
        <v>30</v>
      </c>
      <c r="D16" s="16" t="s">
        <v>997</v>
      </c>
      <c r="E16" s="16" t="s">
        <v>23</v>
      </c>
      <c r="F16" s="26">
        <v>3000</v>
      </c>
      <c r="G16" s="16">
        <v>3000</v>
      </c>
      <c r="H16" s="16">
        <v>5000</v>
      </c>
      <c r="I16" s="16" t="s">
        <v>1060</v>
      </c>
      <c r="J16" s="17" t="str">
        <f>VLOOKUP(E16,статьи!$G$2:$H$24,2,TRUE)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6" s="17" t="str">
        <f>VLOOKUP(A16,'компании+описание'!$A$1:$D$438,4,)</f>
        <v>По результатам рассмотрения материалов дела об административном правонарушении № ЦА-34-Гр-25-21234, возбужденного за совершение административного правонарушения, ответственность за которое предусмотрена статьей 15.30 КоАП РФ, Усольцевой Яне Германовне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17.12.2025 № 25-21234/3110-1 вступило в законную силу 30.01.2026.</v>
      </c>
    </row>
    <row r="17" spans="1:11" ht="96" x14ac:dyDescent="0.2">
      <c r="A17" s="16">
        <v>15</v>
      </c>
      <c r="B17" s="29">
        <v>46052</v>
      </c>
      <c r="C17" s="17" t="s">
        <v>31</v>
      </c>
      <c r="D17" s="16" t="s">
        <v>997</v>
      </c>
      <c r="E17" s="16" t="s">
        <v>23</v>
      </c>
      <c r="F17" s="26">
        <v>3000</v>
      </c>
      <c r="G17" s="16">
        <v>3000</v>
      </c>
      <c r="H17" s="16">
        <v>5000</v>
      </c>
      <c r="I17" s="16" t="s">
        <v>1060</v>
      </c>
      <c r="J17" s="17" t="str">
        <f>VLOOKUP(E17,статьи!$G$2:$H$24,2,TRUE)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7" s="17" t="str">
        <f>VLOOKUP(A17,'компании+описание'!$A$1:$D$438,4,)</f>
        <v>По результатам рассмотрения материалов дела об административном правонарушении № ЦА-34-Гр-25-16976, возбужденного за совершение административного правонарушения, ответственность за которое предусмотрена статьей 15.30 КоАП РФ, Красновой Галине Ивановне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16.10.2025 № 25-16976/3110-1 вступило в законную силу 30.01.2026.</v>
      </c>
    </row>
    <row r="18" spans="1:11" ht="96" x14ac:dyDescent="0.2">
      <c r="A18" s="16">
        <v>16</v>
      </c>
      <c r="B18" s="29">
        <v>46052</v>
      </c>
      <c r="C18" s="17" t="s">
        <v>32</v>
      </c>
      <c r="D18" s="16" t="s">
        <v>997</v>
      </c>
      <c r="E18" s="16" t="s">
        <v>23</v>
      </c>
      <c r="F18" s="26">
        <v>3000</v>
      </c>
      <c r="G18" s="16">
        <v>3000</v>
      </c>
      <c r="H18" s="16">
        <v>5000</v>
      </c>
      <c r="I18" s="16" t="s">
        <v>1060</v>
      </c>
      <c r="J18" s="17" t="str">
        <f>VLOOKUP(E18,статьи!$G$2:$H$24,2,TRUE)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8" s="17" t="str">
        <f>VLOOKUP(A18,'компании+описание'!$A$1:$D$438,4,)</f>
        <v>По результатам рассмотрения материалов дела об административном правонарушении № ЦА-34-Гр-25-19400, возбужденного за совершение административного правонарушения, ответственность за которое предусмотрена статьей 15.30 КоАП РФ, Артамонову Валерию Геннадьевичу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20.11.2025 № 25-19400/3110-1 вступило в законную силу 24.01.2026.</v>
      </c>
    </row>
    <row r="19" spans="1:11" ht="96" x14ac:dyDescent="0.2">
      <c r="A19" s="16">
        <v>17</v>
      </c>
      <c r="B19" s="29">
        <v>46052</v>
      </c>
      <c r="C19" s="17" t="s">
        <v>33</v>
      </c>
      <c r="D19" s="16" t="s">
        <v>997</v>
      </c>
      <c r="E19" s="16" t="s">
        <v>23</v>
      </c>
      <c r="F19" s="26">
        <v>3000</v>
      </c>
      <c r="G19" s="16">
        <v>3000</v>
      </c>
      <c r="H19" s="16">
        <v>5000</v>
      </c>
      <c r="I19" s="16" t="s">
        <v>1060</v>
      </c>
      <c r="J19" s="17" t="str">
        <f>VLOOKUP(E19,статьи!$G$2:$H$24,2,TRUE)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9" s="17" t="str">
        <f>VLOOKUP(A19,'компании+описание'!$A$1:$D$438,4,)</f>
        <v>По результатам рассмотрения материалов дела об административном правонарушении № ЦА-34-Гр-25-20359, возбужденного за совершение административного правонарушения, ответственность за которое предусмотрена статьей 15.30 КоАП РФ, Манюковой Татьяне Васильевне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04.12.2025 № 25-20359/3110-1 вступило в законную силу 30.01.2026.</v>
      </c>
    </row>
    <row r="20" spans="1:11" ht="96" x14ac:dyDescent="0.2">
      <c r="A20" s="16">
        <v>18</v>
      </c>
      <c r="B20" s="29">
        <v>46052</v>
      </c>
      <c r="C20" s="17" t="s">
        <v>34</v>
      </c>
      <c r="D20" s="16" t="s">
        <v>997</v>
      </c>
      <c r="E20" s="16" t="s">
        <v>23</v>
      </c>
      <c r="F20" s="26">
        <v>3000</v>
      </c>
      <c r="G20" s="16">
        <v>3000</v>
      </c>
      <c r="H20" s="16">
        <v>5000</v>
      </c>
      <c r="I20" s="16" t="s">
        <v>1060</v>
      </c>
      <c r="J20" s="17" t="str">
        <f>VLOOKUP(E20,статьи!$G$2:$H$24,2,TRUE)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0" s="17" t="str">
        <f>VLOOKUP(A20,'компании+описание'!$A$1:$D$438,4,)</f>
        <v>По результатам рассмотрения материалов дела об административном правонарушении № ЦА-34-Гр-25-20532, возбужденного за совершение административного правонарушения, ответственность за которое предусмотрена статьей 15.30 КоАП РФ, Доценко Марине Сергеевне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08.12.2025 № 25-20532/3110-1 вступило в законную силу 30.01.2026.</v>
      </c>
    </row>
    <row r="21" spans="1:11" ht="96" x14ac:dyDescent="0.2">
      <c r="A21" s="16">
        <v>19</v>
      </c>
      <c r="B21" s="29">
        <v>46052</v>
      </c>
      <c r="C21" s="17" t="s">
        <v>35</v>
      </c>
      <c r="D21" s="16" t="s">
        <v>997</v>
      </c>
      <c r="E21" s="16" t="s">
        <v>23</v>
      </c>
      <c r="F21" s="26">
        <v>3000</v>
      </c>
      <c r="G21" s="16">
        <v>3000</v>
      </c>
      <c r="H21" s="16">
        <v>5000</v>
      </c>
      <c r="I21" s="16" t="s">
        <v>1060</v>
      </c>
      <c r="J21" s="17" t="str">
        <f>VLOOKUP(E21,статьи!$G$2:$H$24,2,TRUE)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1" s="17" t="str">
        <f>VLOOKUP(A21,'компании+описание'!$A$1:$D$438,4,)</f>
        <v>По результатам рассмотрения материалов дела об административном правонарушении № ЦА-34-Гр-25-21126, возбужденного за совершение административного правонарушения, ответственность за которое предусмотрена статьей 15.30 КоАП РФ, Гальямову Марселю Геральдовичу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16.12.2025 № 25-21126/3110-1 вступило в законную силу 30.01.2026.</v>
      </c>
    </row>
    <row r="22" spans="1:11" ht="96" x14ac:dyDescent="0.2">
      <c r="A22" s="16">
        <v>20</v>
      </c>
      <c r="B22" s="29">
        <v>46052</v>
      </c>
      <c r="C22" s="17" t="s">
        <v>36</v>
      </c>
      <c r="D22" s="16" t="s">
        <v>997</v>
      </c>
      <c r="E22" s="16" t="s">
        <v>23</v>
      </c>
      <c r="F22" s="26">
        <v>3000</v>
      </c>
      <c r="G22" s="16">
        <v>3000</v>
      </c>
      <c r="H22" s="16">
        <v>5000</v>
      </c>
      <c r="I22" s="16" t="s">
        <v>1060</v>
      </c>
      <c r="J22" s="17" t="str">
        <f>VLOOKUP(E22,статьи!$G$2:$H$24,2,TRUE)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2" s="17" t="str">
        <f>VLOOKUP(A22,'компании+описание'!$A$1:$D$438,4,)</f>
        <v>По результатам рассмотрения материалов дела об административном правонарушении № ЦА-34-Гр-25-21343, возбужденного за совершение административного правонарушения, ответственность за которое предусмотрена статьей 15.30 КоАП РФ, Садырову Игорю Рашидовичу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18.12.2025 № 25-21343/3110-1 вступило в законную силу 24.01.2026.</v>
      </c>
    </row>
    <row r="23" spans="1:11" ht="96" x14ac:dyDescent="0.2">
      <c r="A23" s="16">
        <v>21</v>
      </c>
      <c r="B23" s="29">
        <v>46049</v>
      </c>
      <c r="C23" s="17" t="s">
        <v>38</v>
      </c>
      <c r="D23" s="16" t="s">
        <v>997</v>
      </c>
      <c r="E23" s="16" t="s">
        <v>23</v>
      </c>
      <c r="F23" s="26">
        <v>3000</v>
      </c>
      <c r="G23" s="16">
        <v>3000</v>
      </c>
      <c r="H23" s="16">
        <v>5000</v>
      </c>
      <c r="I23" s="16" t="s">
        <v>1060</v>
      </c>
      <c r="J23" s="17" t="str">
        <f>VLOOKUP(E23,статьи!$G$2:$H$24,2,TRUE)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3" s="17" t="str">
        <f>VLOOKUP(A23,'компании+описание'!$A$1:$D$438,4,)</f>
        <v>По результатам рассмотрения материалов дела об административном правонарушении № ЦА-34-Гр-25-21233, возбужденного за совершение административного правонарушения, ответственность за которое предусмотрена статьей 15.30 КоАП РФ, Карчевскому Павлу Владимировичу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17.12.2025 № 25-21233/3110-1 вступило в законную силу 27.01.2026.</v>
      </c>
    </row>
    <row r="24" spans="1:11" ht="96" x14ac:dyDescent="0.2">
      <c r="A24" s="16">
        <v>22</v>
      </c>
      <c r="B24" s="29">
        <v>46049</v>
      </c>
      <c r="C24" s="17" t="s">
        <v>39</v>
      </c>
      <c r="D24" s="16" t="s">
        <v>997</v>
      </c>
      <c r="E24" s="16" t="s">
        <v>23</v>
      </c>
      <c r="F24" s="26">
        <v>3000</v>
      </c>
      <c r="G24" s="16">
        <v>3000</v>
      </c>
      <c r="H24" s="16">
        <v>5000</v>
      </c>
      <c r="I24" s="16" t="s">
        <v>1060</v>
      </c>
      <c r="J24" s="17" t="str">
        <f>VLOOKUP(E24,статьи!$G$2:$H$24,2,TRUE)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4" s="17" t="str">
        <f>VLOOKUP(A24,'компании+описание'!$A$1:$D$438,4,)</f>
        <v>По результатам рассмотрения материалов дела об административном правонарушении № ЦА-34-Гр-25-19782, возбужденного за совершение административного правонарушения, ответственность за которое предусмотрена статьей 15.30 КоАП РФ, Шушину Олегу Игоревичу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26.11.2025 № 25-19782/3110-1 вступило в законную силу 27.01.2026.</v>
      </c>
    </row>
    <row r="25" spans="1:11" ht="96" x14ac:dyDescent="0.2">
      <c r="A25" s="16">
        <v>23</v>
      </c>
      <c r="B25" s="29">
        <v>46048</v>
      </c>
      <c r="C25" s="17" t="s">
        <v>41</v>
      </c>
      <c r="D25" s="16" t="s">
        <v>997</v>
      </c>
      <c r="E25" s="16" t="s">
        <v>23</v>
      </c>
      <c r="F25" s="26">
        <v>3000</v>
      </c>
      <c r="G25" s="16">
        <v>3000</v>
      </c>
      <c r="H25" s="16">
        <v>5000</v>
      </c>
      <c r="I25" s="16" t="s">
        <v>1060</v>
      </c>
      <c r="J25" s="17" t="str">
        <f>VLOOKUP(E25,статьи!$G$2:$H$24,2,TRUE)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5" s="17" t="str">
        <f>VLOOKUP(A25,'компании+описание'!$A$1:$D$438,4,)</f>
        <v>По результатам рассмотрения материалов дела об административном правонарушении № ЦА-34-Гр-25-21230, возбужденного за совершение административного правонарушения, ответственность за которое предусмотрена статьей 15.30 КоАП РФ, Беломытцевой Наталии Сергеевне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17.12.2025 № 25-21230/3110-1 вступило в законную силу 24.01.2026.</v>
      </c>
    </row>
    <row r="26" spans="1:11" ht="96" x14ac:dyDescent="0.2">
      <c r="A26" s="16">
        <v>24</v>
      </c>
      <c r="B26" s="29">
        <v>46045</v>
      </c>
      <c r="C26" s="17" t="s">
        <v>43</v>
      </c>
      <c r="D26" s="16" t="s">
        <v>997</v>
      </c>
      <c r="E26" s="16" t="s">
        <v>23</v>
      </c>
      <c r="F26" s="26">
        <v>3000</v>
      </c>
      <c r="G26" s="16">
        <v>3000</v>
      </c>
      <c r="H26" s="16">
        <v>5000</v>
      </c>
      <c r="I26" s="16" t="s">
        <v>1060</v>
      </c>
      <c r="J26" s="17" t="str">
        <f>VLOOKUP(E26,статьи!$G$2:$H$24,2,TRUE)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6" s="17" t="str">
        <f>VLOOKUP(A26,'компании+описание'!$A$1:$D$438,4,)</f>
        <v>По результатам рассмотрения материалов дела об административном правонарушении № ЦА-34-Гр-25-20531, возбужденного за совершение административного правонарушения, ответственность за которое предусмотрена статьей 15.30 КоАП РФ, Ретровской Нине Борисовне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08.12.2025 № 25-20531/3110-1 вступило в законную силу 23.01.2026.</v>
      </c>
    </row>
    <row r="27" spans="1:11" ht="96" x14ac:dyDescent="0.2">
      <c r="A27" s="16">
        <v>25</v>
      </c>
      <c r="B27" s="29">
        <v>46045</v>
      </c>
      <c r="C27" s="17" t="s">
        <v>44</v>
      </c>
      <c r="D27" s="16" t="s">
        <v>997</v>
      </c>
      <c r="E27" s="16" t="s">
        <v>23</v>
      </c>
      <c r="F27" s="26">
        <v>3000</v>
      </c>
      <c r="G27" s="16">
        <v>3000</v>
      </c>
      <c r="H27" s="16">
        <v>5000</v>
      </c>
      <c r="I27" s="16" t="s">
        <v>1060</v>
      </c>
      <c r="J27" s="17" t="str">
        <f>VLOOKUP(E27,статьи!$G$2:$H$24,2,TRUE)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7" s="17" t="str">
        <f>VLOOKUP(A27,'компании+описание'!$A$1:$D$438,4,)</f>
        <v>По результатам рассмотрения материалов дела об административном правонарушении № ЦА-34-Гр-25-21120, возбужденного за совершение административного правонарушения, ответственность за которое предусмотрена статьей 15.30 КоАП РФ, Исаченко Наталии Николаевне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16.12.2025 № 25-21120/3110-1 вступило в законную силу 23.01.2026.</v>
      </c>
    </row>
    <row r="28" spans="1:11" ht="96" x14ac:dyDescent="0.2">
      <c r="A28" s="16">
        <v>26</v>
      </c>
      <c r="B28" s="29">
        <v>46045</v>
      </c>
      <c r="C28" s="17" t="s">
        <v>45</v>
      </c>
      <c r="D28" s="16" t="s">
        <v>997</v>
      </c>
      <c r="E28" s="16" t="s">
        <v>23</v>
      </c>
      <c r="F28" s="26">
        <v>3000</v>
      </c>
      <c r="G28" s="16">
        <v>3000</v>
      </c>
      <c r="H28" s="16">
        <v>5000</v>
      </c>
      <c r="I28" s="16" t="s">
        <v>1060</v>
      </c>
      <c r="J28" s="17" t="str">
        <f>VLOOKUP(E28,статьи!$G$2:$H$24,2,TRUE)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8" s="17" t="str">
        <f>VLOOKUP(A28,'компании+описание'!$A$1:$D$438,4,)</f>
        <v>По результатам рассмотрения материалов дела об административном правонарушении № ЦА-34-Гр-25-21228, возбужденного за совершение административного правонарушения, ответственность за которое предусмотрена статьей 15.30 КоАП РФ, Беломытцеву Павлу Анатольевичу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17.12.2025 № 25-21228/3110-1 вступило в законную силу 23.01.2026.</v>
      </c>
    </row>
    <row r="29" spans="1:11" ht="96" x14ac:dyDescent="0.2">
      <c r="A29" s="16">
        <v>27</v>
      </c>
      <c r="B29" s="29">
        <v>46045</v>
      </c>
      <c r="C29" s="17" t="s">
        <v>46</v>
      </c>
      <c r="D29" s="16" t="s">
        <v>997</v>
      </c>
      <c r="E29" s="16" t="s">
        <v>23</v>
      </c>
      <c r="F29" s="26">
        <v>3000</v>
      </c>
      <c r="G29" s="16">
        <v>3000</v>
      </c>
      <c r="H29" s="16">
        <v>5000</v>
      </c>
      <c r="I29" s="16" t="s">
        <v>1060</v>
      </c>
      <c r="J29" s="17" t="str">
        <f>VLOOKUP(E29,статьи!$G$2:$H$24,2,TRUE)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9" s="17" t="str">
        <f>VLOOKUP(A29,'компании+описание'!$A$1:$D$438,4,)</f>
        <v>По результатам рассмотрения материалов дела об административном правонарушении № ЦА-34-Гр-25-21346, возбужденного за совершение административного правонарушения, ответственность за которое предусмотрена статьей 15.30 КоАП РФ, Зайцеву Александру Олеговичу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18.12.2025 № 25-21346/3110-1 вступило в законную силу 23.01.2026.</v>
      </c>
    </row>
    <row r="30" spans="1:11" ht="96" x14ac:dyDescent="0.2">
      <c r="A30" s="16">
        <v>28</v>
      </c>
      <c r="B30" s="29">
        <v>46045</v>
      </c>
      <c r="C30" s="17" t="s">
        <v>47</v>
      </c>
      <c r="D30" s="16" t="s">
        <v>997</v>
      </c>
      <c r="E30" s="16" t="s">
        <v>23</v>
      </c>
      <c r="F30" s="26">
        <v>3000</v>
      </c>
      <c r="G30" s="16">
        <v>3000</v>
      </c>
      <c r="H30" s="16">
        <v>5000</v>
      </c>
      <c r="I30" s="16" t="s">
        <v>1060</v>
      </c>
      <c r="J30" s="17" t="str">
        <f>VLOOKUP(E30,статьи!$G$2:$H$24,2,TRUE)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0" s="17" t="str">
        <f>VLOOKUP(A30,'компании+описание'!$A$1:$D$438,4,)</f>
        <v>По результатам рассмотрения материалов дела об административном правонарушении № ЦА-34-Гр-25-20832, возбужденного за совершение административного правонарушения, ответственность за которое предусмотрена статьей 15.30 КоАП РФ, Нарушевой Елене Гаптелахатовне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10.12.2025 № 25-20832/3110-1 вступило в законную силу 23.01.2026.</v>
      </c>
    </row>
    <row r="31" spans="1:11" ht="96" x14ac:dyDescent="0.2">
      <c r="A31" s="16">
        <v>29</v>
      </c>
      <c r="B31" s="29">
        <v>46045</v>
      </c>
      <c r="C31" s="17" t="s">
        <v>48</v>
      </c>
      <c r="D31" s="16" t="s">
        <v>997</v>
      </c>
      <c r="E31" s="16" t="s">
        <v>23</v>
      </c>
      <c r="F31" s="26">
        <v>3000</v>
      </c>
      <c r="G31" s="16">
        <v>3000</v>
      </c>
      <c r="H31" s="16">
        <v>5000</v>
      </c>
      <c r="I31" s="16" t="s">
        <v>1060</v>
      </c>
      <c r="J31" s="17" t="str">
        <f>VLOOKUP(E31,статьи!$G$2:$H$24,2,TRUE)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1" s="17" t="str">
        <f>VLOOKUP(A31,'компании+описание'!$A$1:$D$438,4,)</f>
        <v>По результатам рассмотрения материалов дела об административном правонарушении № ЦА-34-Гр-25-20827, возбужденного за совершение административного правонарушения, ответственность за которое предусмотрена статьей 15.30 КоАП РФ, Нарушеву Андрею Ивановичу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10.12.2025 № 25-20827/3110-1 вступило в законную силу 23.01.2026.</v>
      </c>
    </row>
    <row r="32" spans="1:11" ht="96" x14ac:dyDescent="0.2">
      <c r="A32" s="16">
        <v>30</v>
      </c>
      <c r="B32" s="29">
        <v>46041</v>
      </c>
      <c r="C32" s="17" t="s">
        <v>50</v>
      </c>
      <c r="D32" s="16" t="s">
        <v>997</v>
      </c>
      <c r="E32" s="16" t="s">
        <v>23</v>
      </c>
      <c r="F32" s="26">
        <v>30000</v>
      </c>
      <c r="G32" s="16">
        <v>3000</v>
      </c>
      <c r="H32" s="16">
        <v>5000</v>
      </c>
      <c r="I32" s="16" t="s">
        <v>1065</v>
      </c>
      <c r="J32" s="17" t="str">
        <f>VLOOKUP(E32,статьи!$G$2:$H$24,2,TRUE)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2" s="17" t="str">
        <f>VLOOKUP(A32,'компании+описание'!$A$1:$D$438,4,)</f>
        <v>По результатам рассмотрения материалов дела об административном правонарушении № ЦА-34-ИП-25-17802, возбужденного за совершение административного правонарушения, ответственность за которое предусмотрена статьей 15.30 КоАП РФ, индивидуальному предпринимателю Панову Александру Константиновичу назначено административное наказание в виде штрафа в размере 30 000 рублей. Постановление о наложении штрафа по делу об административном правонарушении от 11.12.2025 № 25-17802/3110-1 вступило в законную силу 13.01.2026.</v>
      </c>
    </row>
    <row r="33" spans="1:11" ht="96" x14ac:dyDescent="0.2">
      <c r="A33" s="16">
        <v>31</v>
      </c>
      <c r="B33" s="29">
        <v>46041</v>
      </c>
      <c r="C33" s="17" t="s">
        <v>52</v>
      </c>
      <c r="D33" s="16" t="s">
        <v>997</v>
      </c>
      <c r="E33" s="16" t="s">
        <v>23</v>
      </c>
      <c r="F33" s="26">
        <v>30000</v>
      </c>
      <c r="G33" s="16">
        <v>3000</v>
      </c>
      <c r="H33" s="16">
        <v>5000</v>
      </c>
      <c r="I33" s="16" t="s">
        <v>1065</v>
      </c>
      <c r="J33" s="17" t="str">
        <f>VLOOKUP(E33,статьи!$G$2:$H$24,2,TRUE)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3" s="17" t="str">
        <f>VLOOKUP(A33,'компании+описание'!$A$1:$D$438,4,)</f>
        <v>По результатам рассмотрения материалов дела об административном правонарушении № ЦА-34-ИП-25-19111, возбужденного за совершение административного правонарушения, ответственность за которое предусмотрена статьей 15.30 КоАП РФ, индивидуальному предпринимателю Панову Владимиру Константиновичу назначено административное наказание в виде штрафа в размере 30 000 рублей. Постановление о наложении штрафа по делу об административном правонарушении от 11.12.2025 № 25-19111/3110-1 вступило в законную силу 13.01.2026.</v>
      </c>
    </row>
    <row r="34" spans="1:11" ht="96" x14ac:dyDescent="0.2">
      <c r="A34" s="16">
        <v>32</v>
      </c>
      <c r="B34" s="29">
        <v>46041</v>
      </c>
      <c r="C34" s="17" t="s">
        <v>53</v>
      </c>
      <c r="D34" s="16" t="s">
        <v>997</v>
      </c>
      <c r="E34" s="16" t="s">
        <v>23</v>
      </c>
      <c r="F34" s="26">
        <v>3000</v>
      </c>
      <c r="G34" s="16">
        <v>3000</v>
      </c>
      <c r="H34" s="16">
        <v>5000</v>
      </c>
      <c r="I34" s="16" t="s">
        <v>1060</v>
      </c>
      <c r="J34" s="17" t="str">
        <f>VLOOKUP(E34,статьи!$G$2:$H$24,2,TRUE)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4" s="17" t="str">
        <f>VLOOKUP(A34,'компании+описание'!$A$1:$D$438,4,)</f>
        <v>По результатам рассмотрения материалов дела об административном правонарушении № ЦА-34-Гр-25-17414,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Оганезяну Роману Рафиковичу назначено административное наказание в виде штрафа в размере 3 000 рублей. Постановление от 18.10.2025 № 25-17414/3110-1 о назначении административного наказания вступило в законную силу 13.01.2026.</v>
      </c>
    </row>
    <row r="35" spans="1:11" ht="96" x14ac:dyDescent="0.2">
      <c r="A35" s="16">
        <v>33</v>
      </c>
      <c r="B35" s="29">
        <v>46041</v>
      </c>
      <c r="C35" s="17" t="s">
        <v>54</v>
      </c>
      <c r="D35" s="16" t="s">
        <v>997</v>
      </c>
      <c r="E35" s="16" t="s">
        <v>23</v>
      </c>
      <c r="F35" s="26">
        <v>3000</v>
      </c>
      <c r="G35" s="16">
        <v>3000</v>
      </c>
      <c r="H35" s="16">
        <v>5000</v>
      </c>
      <c r="I35" s="16" t="s">
        <v>1060</v>
      </c>
      <c r="J35" s="17" t="str">
        <f>VLOOKUP(E35,статьи!$G$2:$H$24,2,TRUE)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5" s="17" t="str">
        <f>VLOOKUP(A35,'компании+описание'!$A$1:$D$438,4,)</f>
        <v>По результатам рассмотрения материалов дела об административном правонарушении № ЦА-34-Гр-25-21291,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Клименко Артему Валерьевичу назначено административное наказание в виде штрафа в размере 3 000 рублей. Постановление от 17.12.2025 № 25-21291/3110-1 о назначении административного наказания вступило в законную силу 13.01.2026.</v>
      </c>
    </row>
    <row r="36" spans="1:11" ht="96" x14ac:dyDescent="0.2">
      <c r="A36" s="16">
        <v>34</v>
      </c>
      <c r="B36" s="29">
        <v>46041</v>
      </c>
      <c r="C36" s="17" t="s">
        <v>55</v>
      </c>
      <c r="D36" s="16" t="s">
        <v>997</v>
      </c>
      <c r="E36" s="16" t="s">
        <v>23</v>
      </c>
      <c r="F36" s="26">
        <v>3000</v>
      </c>
      <c r="G36" s="16">
        <v>3000</v>
      </c>
      <c r="H36" s="16">
        <v>5000</v>
      </c>
      <c r="I36" s="16" t="s">
        <v>1060</v>
      </c>
      <c r="J36" s="17" t="str">
        <f>VLOOKUP(E36,статьи!$G$2:$H$24,2,TRUE)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6" s="17" t="str">
        <f>VLOOKUP(A36,'компании+описание'!$A$1:$D$438,4,)</f>
        <v>По результатам рассмотрения материалов дела об административном правонарушении № ЦА-34-Гр-25-21119,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Тихомирову Вадиму Владимировичу назначено административное наказание в виде штрафа в размере 3 000 рублей. Постановление от 16.12.2025 № 25-21119/3110-1 о назначении административного наказания вступило в законную силу 13.01.2026.</v>
      </c>
    </row>
    <row r="37" spans="1:11" ht="96" x14ac:dyDescent="0.2">
      <c r="A37" s="16">
        <v>35</v>
      </c>
      <c r="B37" s="29">
        <v>46037</v>
      </c>
      <c r="C37" s="17" t="s">
        <v>57</v>
      </c>
      <c r="D37" s="16" t="s">
        <v>996</v>
      </c>
      <c r="E37" s="16" t="s">
        <v>23</v>
      </c>
      <c r="F37" s="26">
        <v>700000</v>
      </c>
      <c r="G37" s="16">
        <v>700000</v>
      </c>
      <c r="H37" s="16" t="s">
        <v>1002</v>
      </c>
      <c r="I37" s="16" t="s">
        <v>1060</v>
      </c>
      <c r="J37" s="17" t="str">
        <f>VLOOKUP(E37,статьи!$G$2:$H$24,2,TRUE)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7" s="17" t="str">
        <f>VLOOKUP(A37,'компании+описание'!$A$1:$D$438,4,)</f>
        <v>По результатам рассмотрения материалов дела об административном правонарушении № ЦА-34-ЮЛ-25-20682,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ООО "Тринити Шиппинг" назначено административное наказание в виде штрафа в размере 700 000 рублей. Постановление от 13.10.2025 № 25-20682/3110-1 о назначении административного наказания вступило в законную силу 30.12.2025.</v>
      </c>
    </row>
    <row r="38" spans="1:11" ht="96" x14ac:dyDescent="0.2">
      <c r="A38" s="16">
        <v>36</v>
      </c>
      <c r="B38" s="29">
        <v>46037</v>
      </c>
      <c r="C38" s="17" t="s">
        <v>59</v>
      </c>
      <c r="D38" s="16" t="s">
        <v>997</v>
      </c>
      <c r="E38" s="16" t="s">
        <v>23</v>
      </c>
      <c r="F38" s="26">
        <v>3000</v>
      </c>
      <c r="G38" s="16">
        <v>3000</v>
      </c>
      <c r="H38" s="16">
        <v>5000</v>
      </c>
      <c r="I38" s="16" t="s">
        <v>1060</v>
      </c>
      <c r="J38" s="17" t="str">
        <f>VLOOKUP(E38,статьи!$G$2:$H$24,2,TRUE)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8" s="17" t="str">
        <f>VLOOKUP(A38,'компании+описание'!$A$1:$D$438,4,)</f>
        <v>По результатам рассмотрения материалов дела об административном правонарушении № ЦА-34-Гр-25-16635,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Бурыкину Ивану Терентьевичу назначено административное наказание в виде штрафа в размере 3 000 рублей. Постановление от 13.10.2025 № 25-16635/3110-1 о назначении административного наказания вступило в законную силу 30.12.2025.</v>
      </c>
    </row>
    <row r="39" spans="1:11" ht="96" x14ac:dyDescent="0.2">
      <c r="A39" s="16">
        <v>37</v>
      </c>
      <c r="B39" s="29">
        <v>46035</v>
      </c>
      <c r="C39" s="17" t="s">
        <v>60</v>
      </c>
      <c r="D39" s="16" t="s">
        <v>997</v>
      </c>
      <c r="E39" s="16" t="s">
        <v>23</v>
      </c>
      <c r="F39" s="26">
        <v>3000</v>
      </c>
      <c r="G39" s="16">
        <v>3000</v>
      </c>
      <c r="H39" s="16">
        <v>5000</v>
      </c>
      <c r="I39" s="16" t="s">
        <v>1060</v>
      </c>
      <c r="J39" s="17" t="str">
        <f>VLOOKUP(E39,статьи!$G$2:$H$24,2,TRUE)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9" s="17" t="str">
        <f>VLOOKUP(A39,'компании+описание'!$A$1:$D$438,4,)</f>
        <v>По результатам рассмотрения материалов дела об административном правонарушении № ЦА-34-Гр-25-20369,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Колесниковой Надежде Вячеславовне назначено административное наказание в виде штрафа в размере 3 000 рублей. Постановление от 04.12.2025 № 25-20369/3110-1 о назначении административного наказания вступило в законную силу 13.01.2026.</v>
      </c>
    </row>
    <row r="40" spans="1:11" ht="96" x14ac:dyDescent="0.2">
      <c r="A40" s="16">
        <v>38</v>
      </c>
      <c r="B40" s="29">
        <v>46035</v>
      </c>
      <c r="C40" s="17" t="s">
        <v>61</v>
      </c>
      <c r="D40" s="16" t="s">
        <v>997</v>
      </c>
      <c r="E40" s="16" t="s">
        <v>23</v>
      </c>
      <c r="F40" s="26">
        <v>3000</v>
      </c>
      <c r="G40" s="16">
        <v>3000</v>
      </c>
      <c r="H40" s="16">
        <v>5000</v>
      </c>
      <c r="I40" s="16" t="s">
        <v>1060</v>
      </c>
      <c r="J40" s="17" t="str">
        <f>VLOOKUP(E40,статьи!$G$2:$H$24,2,TRUE)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0" s="17" t="str">
        <f>VLOOKUP(A40,'компании+описание'!$A$1:$D$438,4,)</f>
        <v>По результатам рассмотрения материалов дела об административном правонарушении № ЦА-34-Гр-25-20432,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Мазневу Андрею Вячеславовичу назначено административное наказание в виде штрафа в размере 3 000 рублей. Постановление от 04.12.2025 № 25-20432/3110-1 о назначении административного наказания вступило в законную силу 13.01.2026.</v>
      </c>
    </row>
    <row r="41" spans="1:11" ht="96" x14ac:dyDescent="0.2">
      <c r="A41" s="16">
        <v>39</v>
      </c>
      <c r="B41" s="29">
        <v>46035</v>
      </c>
      <c r="C41" s="17" t="s">
        <v>62</v>
      </c>
      <c r="D41" s="16" t="s">
        <v>997</v>
      </c>
      <c r="E41" s="16" t="s">
        <v>23</v>
      </c>
      <c r="F41" s="26">
        <v>3000</v>
      </c>
      <c r="G41" s="16">
        <v>3000</v>
      </c>
      <c r="H41" s="16">
        <v>5000</v>
      </c>
      <c r="I41" s="16" t="s">
        <v>1060</v>
      </c>
      <c r="J41" s="17" t="str">
        <f>VLOOKUP(E41,статьи!$G$2:$H$24,2,TRUE)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1" s="17" t="str">
        <f>VLOOKUP(A41,'компании+описание'!$A$1:$D$438,4,)</f>
        <v>По результатам рассмотрения материалов дела об административном правонарушении № ЦА-34-Гр-25-20433,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Мазневу Сергею Вячеславовичу назначено административное наказание в виде штрафа в размере 3 000 рублей. Постановление от 04.12.2025 № 25-20433/3110-1 о назначении административного наказания вступило в законную силу 13.01.2026.</v>
      </c>
    </row>
    <row r="42" spans="1:11" ht="96" x14ac:dyDescent="0.2">
      <c r="A42" s="16">
        <v>40</v>
      </c>
      <c r="B42" s="29">
        <v>46035</v>
      </c>
      <c r="C42" s="17" t="s">
        <v>63</v>
      </c>
      <c r="D42" s="16" t="s">
        <v>997</v>
      </c>
      <c r="E42" s="16" t="s">
        <v>23</v>
      </c>
      <c r="F42" s="26">
        <v>3000</v>
      </c>
      <c r="G42" s="16">
        <v>3000</v>
      </c>
      <c r="H42" s="16">
        <v>5000</v>
      </c>
      <c r="I42" s="16" t="s">
        <v>1060</v>
      </c>
      <c r="J42" s="17" t="str">
        <f>VLOOKUP(E42,статьи!$G$2:$H$24,2,TRUE)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2" s="17" t="str">
        <f>VLOOKUP(A42,'компании+описание'!$A$1:$D$438,4,)</f>
        <v>По результатам рассмотрения материалов дела об административном правонарушении № ЦА-34-Гр-25-20370,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Дмитриеву Андрею Николаевичу назначено административное наказание в виде штрафа в размере 3 000 рублей. Постановление от 04.12.2025 № 25-20370/3110-1 о назначении административного наказания вступило в законную силу 13.01.2026.</v>
      </c>
    </row>
    <row r="43" spans="1:11" ht="96" x14ac:dyDescent="0.2">
      <c r="A43" s="16">
        <v>41</v>
      </c>
      <c r="B43" s="29">
        <v>46035</v>
      </c>
      <c r="C43" s="17" t="s">
        <v>64</v>
      </c>
      <c r="D43" s="16" t="s">
        <v>997</v>
      </c>
      <c r="E43" s="16" t="s">
        <v>23</v>
      </c>
      <c r="F43" s="26">
        <v>3000</v>
      </c>
      <c r="G43" s="16">
        <v>3000</v>
      </c>
      <c r="H43" s="16">
        <v>5000</v>
      </c>
      <c r="I43" s="16" t="s">
        <v>1060</v>
      </c>
      <c r="J43" s="17" t="str">
        <f>VLOOKUP(E43,статьи!$G$2:$H$24,2,TRUE)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3" s="17" t="str">
        <f>VLOOKUP(A43,'компании+описание'!$A$1:$D$438,4,)</f>
        <v>По результатам рассмотрения материалов дела об административном правонарушении № ЦА-34-Гр-25-20681,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Малыку Герману Андреевичу назначено административное наказание в виде штрафа в размере 3 000 рублей. Постановление от 09.12.2025 № 25-20681/3110-1 о назначении административного наказания вступило в законную силу 13.01.2026.</v>
      </c>
    </row>
    <row r="44" spans="1:11" ht="96" x14ac:dyDescent="0.2">
      <c r="A44" s="16">
        <v>42</v>
      </c>
      <c r="B44" s="29">
        <v>46035</v>
      </c>
      <c r="C44" s="17" t="s">
        <v>65</v>
      </c>
      <c r="D44" s="16" t="s">
        <v>997</v>
      </c>
      <c r="E44" s="16" t="s">
        <v>23</v>
      </c>
      <c r="F44" s="26">
        <v>3000</v>
      </c>
      <c r="G44" s="16">
        <v>3000</v>
      </c>
      <c r="H44" s="16">
        <v>5000</v>
      </c>
      <c r="I44" s="16" t="s">
        <v>1060</v>
      </c>
      <c r="J44" s="17" t="str">
        <f>VLOOKUP(E44,статьи!$G$2:$H$24,2,TRUE)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4" s="17" t="str">
        <f>VLOOKUP(A44,'компании+описание'!$A$1:$D$438,4,)</f>
        <v>По результатам рассмотрения материалов дела об административном правонарушении № ЦА-34-Гр-25-20372,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Усачеву Андрею Николаевичу назначено административное наказание в виде штрафа в размере 3 000 рублей. Постановление от 04.12.2025 № 25-20372/3110-1 о назначении административного наказания вступило в законную силу 13.01.2026.</v>
      </c>
    </row>
    <row r="45" spans="1:11" ht="96" x14ac:dyDescent="0.2">
      <c r="A45" s="16">
        <v>43</v>
      </c>
      <c r="B45" s="29">
        <v>46035</v>
      </c>
      <c r="C45" s="17" t="s">
        <v>66</v>
      </c>
      <c r="D45" s="16" t="s">
        <v>997</v>
      </c>
      <c r="E45" s="16" t="s">
        <v>23</v>
      </c>
      <c r="F45" s="26">
        <v>3000</v>
      </c>
      <c r="G45" s="16">
        <v>3000</v>
      </c>
      <c r="H45" s="16">
        <v>5000</v>
      </c>
      <c r="I45" s="16" t="s">
        <v>1060</v>
      </c>
      <c r="J45" s="17" t="str">
        <f>VLOOKUP(E45,статьи!$G$2:$H$24,2,TRUE)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5" s="17" t="str">
        <f>VLOOKUP(A45,'компании+описание'!$A$1:$D$438,4,)</f>
        <v>По результатам рассмотрения материалов дела об административном правонарушении № ЦА-34-Гр-25-19780,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Шушину Игорю Борисовичу назначено административное наказание в виде штрафа в размере 3 000 рублей. Постановление от 26.11.2025 № 25-19780/3110-1 о назначении административного наказания вступило в законную силу 13.01.2026.</v>
      </c>
    </row>
    <row r="46" spans="1:11" ht="96" x14ac:dyDescent="0.2">
      <c r="A46" s="16">
        <v>44</v>
      </c>
      <c r="B46" s="29">
        <v>46035</v>
      </c>
      <c r="C46" s="17" t="s">
        <v>67</v>
      </c>
      <c r="D46" s="16" t="s">
        <v>997</v>
      </c>
      <c r="E46" s="16" t="s">
        <v>23</v>
      </c>
      <c r="F46" s="26">
        <v>3000</v>
      </c>
      <c r="G46" s="16">
        <v>3000</v>
      </c>
      <c r="H46" s="16">
        <v>5000</v>
      </c>
      <c r="I46" s="16" t="s">
        <v>1060</v>
      </c>
      <c r="J46" s="17" t="str">
        <f>VLOOKUP(E46,статьи!$G$2:$H$24,2,TRUE)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6" s="17" t="str">
        <f>VLOOKUP(A46,'компании+описание'!$A$1:$D$438,4,)</f>
        <v>По результатам рассмотрения материалов дела об административном правонарушении № ЦА-34-Гр-25-19781,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Шушиной Татьяне Геннадьевне назначено административное наказание в виде штрафа в размере 3 000 рублей. Постановление от 26.11.2025 № 25-19781/3110-1 о назначении административного наказания вступило в законную силу 13.01.2026.</v>
      </c>
    </row>
    <row r="47" spans="1:11" ht="96" x14ac:dyDescent="0.2">
      <c r="A47" s="16">
        <v>45</v>
      </c>
      <c r="B47" s="29">
        <v>46035</v>
      </c>
      <c r="C47" s="17" t="s">
        <v>68</v>
      </c>
      <c r="D47" s="16" t="s">
        <v>997</v>
      </c>
      <c r="E47" s="16" t="s">
        <v>23</v>
      </c>
      <c r="F47" s="26">
        <v>3000</v>
      </c>
      <c r="G47" s="16">
        <v>3000</v>
      </c>
      <c r="H47" s="16">
        <v>5000</v>
      </c>
      <c r="I47" s="16" t="s">
        <v>1060</v>
      </c>
      <c r="J47" s="17" t="str">
        <f>VLOOKUP(E47,статьи!$G$2:$H$24,2,TRUE)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7" s="17" t="str">
        <f>VLOOKUP(A47,'компании+описание'!$A$1:$D$438,4,)</f>
        <v>По результатам рассмотрения материалов дела об административном правонарушении № ЦА-34-Гр-25-19034,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Богачеву Вячеславу Анатольевичу назначено административное наказание в виде штрафа в размере 3 000 рублей. Постановление от 11.11.2025 № 25-19034/3110-1 о назначении административного наказания вступило в законную силу 13.01.2026.</v>
      </c>
    </row>
    <row r="48" spans="1:11" ht="96" x14ac:dyDescent="0.2">
      <c r="A48" s="16">
        <v>46</v>
      </c>
      <c r="B48" s="29">
        <v>46035</v>
      </c>
      <c r="C48" s="17" t="s">
        <v>69</v>
      </c>
      <c r="D48" s="16" t="s">
        <v>997</v>
      </c>
      <c r="E48" s="16" t="s">
        <v>23</v>
      </c>
      <c r="F48" s="26">
        <v>3000</v>
      </c>
      <c r="G48" s="16">
        <v>3000</v>
      </c>
      <c r="H48" s="16">
        <v>5000</v>
      </c>
      <c r="I48" s="16" t="s">
        <v>1060</v>
      </c>
      <c r="J48" s="17" t="str">
        <f>VLOOKUP(E48,статьи!$G$2:$H$24,2,TRUE)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8" s="17" t="str">
        <f>VLOOKUP(A48,'компании+описание'!$A$1:$D$438,4,)</f>
        <v>По результатам рассмотрения материалов дела об административном правонарушении № ЦА-34-Гр-25-20133,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Султанаевой Эльвире Дамировне назначено административное наказание в виде штрафа в размере 3 000 рублей. Постановление от 02.12.2025 № 25-20133/3110-1 о назначении административного наказания вступило в законную силу 13.01.2026.</v>
      </c>
    </row>
    <row r="49" spans="1:11" ht="96" x14ac:dyDescent="0.2">
      <c r="A49" s="16">
        <v>47</v>
      </c>
      <c r="B49" s="29">
        <v>46035</v>
      </c>
      <c r="C49" s="17" t="s">
        <v>70</v>
      </c>
      <c r="D49" s="16" t="s">
        <v>997</v>
      </c>
      <c r="E49" s="16" t="s">
        <v>23</v>
      </c>
      <c r="F49" s="26">
        <v>3000</v>
      </c>
      <c r="G49" s="16">
        <v>3000</v>
      </c>
      <c r="H49" s="16">
        <v>5000</v>
      </c>
      <c r="I49" s="16" t="s">
        <v>1060</v>
      </c>
      <c r="J49" s="17" t="str">
        <f>VLOOKUP(E49,статьи!$G$2:$H$24,2,TRUE)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9" s="17" t="str">
        <f>VLOOKUP(A49,'компании+описание'!$A$1:$D$438,4,)</f>
        <v>По результатам рассмотрения материалов дела об административном правонарушении № ЦА-34-Гр-25-20728,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Бурыкину Ивану Ивановичу назначено административное наказание в виде штрафа в размере 3 000 рублей. Постановление от 10.12.2025 № 25-20728/3110-1 о назначении административного наказания вступило в законную силу 13.01.2026.</v>
      </c>
    </row>
    <row r="50" spans="1:11" ht="144" x14ac:dyDescent="0.2">
      <c r="A50" s="16">
        <v>48</v>
      </c>
      <c r="B50" s="29">
        <v>46035</v>
      </c>
      <c r="C50" s="17" t="s">
        <v>13</v>
      </c>
      <c r="D50" s="16" t="s">
        <v>996</v>
      </c>
      <c r="E50" s="16" t="s">
        <v>5</v>
      </c>
      <c r="F50" s="26">
        <v>1000000</v>
      </c>
      <c r="G50" s="16">
        <v>700000</v>
      </c>
      <c r="H50" s="16">
        <v>1000000</v>
      </c>
      <c r="I50" s="16" t="s">
        <v>1063</v>
      </c>
      <c r="J50" s="17" t="str">
        <f>VLOOKUP(E50,статьи!$G$2:$H$24,2,TRUE)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50" s="17" t="str">
        <f>VLOOKUP(A50,'компании+описание'!$A$1:$D$438,4,)</f>
        <v>По результатам рассмотрения материалов дела об административном правонарушении № ЦА-34-ЮЛ-25-22189, возбужденного за совершение административного правонарушения, ответственность за которое предусмотрена частью 9 статьи 15.29 КоАП РФ, акционерному обществу «Инвестиционная компания «РИКОМ-ТРАСТ» назначено административное наказание в виде штрафа размером 1 000 000 (один миллион) рублей. Постановление от 25.12.2025 № 25-22189/3110-1 о назначении административного наказания вступило в законную силу 13.01.2026.</v>
      </c>
    </row>
    <row r="51" spans="1:11" ht="144" x14ac:dyDescent="0.2">
      <c r="A51" s="16">
        <v>49</v>
      </c>
      <c r="B51" s="29">
        <v>46035</v>
      </c>
      <c r="C51" s="17" t="s">
        <v>71</v>
      </c>
      <c r="D51" s="16" t="s">
        <v>996</v>
      </c>
      <c r="E51" s="16" t="s">
        <v>72</v>
      </c>
      <c r="F51" s="26">
        <v>250000</v>
      </c>
      <c r="G51" s="16">
        <v>500000</v>
      </c>
      <c r="H51" s="16">
        <v>700000</v>
      </c>
      <c r="I51" s="16" t="s">
        <v>1061</v>
      </c>
      <c r="J51" s="17" t="str">
        <f>VLOOKUP(E51,статьи!$G$2:$H$24,2,TRUE)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51" s="17" t="str">
        <f>VLOOKUP(A51,'компании+описание'!$A$1:$D$438,4,)</f>
        <v>По результатам рассмотрения материалов дела об административном правонарушении № ЦА-34-ЮЛ-25-22421,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«КВАЛИТИ»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24.12.2025 № 25-22421/3110-1 вступило в законную силу 13.01.2026.</v>
      </c>
    </row>
    <row r="52" spans="1:11" ht="144" x14ac:dyDescent="0.2">
      <c r="A52" s="16">
        <v>50</v>
      </c>
      <c r="B52" s="29">
        <v>46035</v>
      </c>
      <c r="C52" s="17" t="s">
        <v>73</v>
      </c>
      <c r="D52" s="16" t="s">
        <v>996</v>
      </c>
      <c r="E52" s="16" t="s">
        <v>72</v>
      </c>
      <c r="F52" s="26">
        <v>250000</v>
      </c>
      <c r="G52" s="16">
        <v>500000</v>
      </c>
      <c r="H52" s="16">
        <v>700000</v>
      </c>
      <c r="I52" s="16" t="s">
        <v>1061</v>
      </c>
      <c r="J52" s="17" t="str">
        <f>VLOOKUP(E52,статьи!$G$2:$H$24,2,TRUE)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52" s="17" t="str">
        <f>VLOOKUP(A52,'компании+описание'!$A$1:$D$438,4,)</f>
        <v>По результатам рассмотрения материалов дела об административном правонарушении № ЦА-34-ЮЛ-25-22385,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«ТНЕДЕНЬГИ.РУ»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24.12.2025 № 25-22385/3110-1 вступило в законную силу 13.01.2026.</v>
      </c>
    </row>
    <row r="53" spans="1:11" ht="112" x14ac:dyDescent="0.2">
      <c r="A53" s="16">
        <v>51</v>
      </c>
      <c r="B53" s="29">
        <v>46035</v>
      </c>
      <c r="C53" s="17" t="s">
        <v>74</v>
      </c>
      <c r="D53" s="16" t="s">
        <v>996</v>
      </c>
      <c r="E53" s="16" t="s">
        <v>75</v>
      </c>
      <c r="F53" s="26">
        <v>350000</v>
      </c>
      <c r="G53" s="16">
        <v>500000</v>
      </c>
      <c r="H53" s="16">
        <v>700000</v>
      </c>
      <c r="I53" s="16" t="s">
        <v>1061</v>
      </c>
      <c r="J53" s="17" t="str">
        <f>VLOOKUP(E53,статьи!$G$2:$H$24,2,TRUE)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53" s="17" t="str">
        <f>VLOOKUP(A53,'компании+описание'!$A$1:$D$438,4,)</f>
        <v>По результатам рассмотрения материалов дела об административном правонарушении № ЦА-34-ЮЛ-25-21724,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«ПФЛ НОВЫЕ ИНВЕСТИЦИИ» назначено административное наказание в виде штрафа в размере 350 000 (триста пятьдесят тысяч) рублей. Постановление о наложении штрафа по делу об административном правонарушении от 18.12.2025 № 25-21724/3110-1 вступило в законную силу 13.01.2026.</v>
      </c>
    </row>
    <row r="54" spans="1:11" ht="112" x14ac:dyDescent="0.2">
      <c r="A54" s="16">
        <v>52</v>
      </c>
      <c r="B54" s="29">
        <v>46035</v>
      </c>
      <c r="C54" s="17" t="s">
        <v>76</v>
      </c>
      <c r="D54" s="16" t="s">
        <v>996</v>
      </c>
      <c r="E54" s="16" t="s">
        <v>75</v>
      </c>
      <c r="F54" s="26" t="s">
        <v>11</v>
      </c>
      <c r="G54" s="16">
        <v>500000</v>
      </c>
      <c r="H54" s="16">
        <v>700000</v>
      </c>
      <c r="I54" s="16" t="s">
        <v>1062</v>
      </c>
      <c r="J54" s="17" t="str">
        <f>VLOOKUP(E54,статьи!$G$2:$H$24,2,TRUE)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54" s="17" t="str">
        <f>VLOOKUP(A54,'компании+описание'!$A$1:$D$438,4,)</f>
        <v>По результатам рассмотрения материалов дела об административном правонарушении № ЦА-34-ЮЛ-25-21885,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«ТОЧКА ИНВЕСТИЦИИ» назначено административное наказание в виде предупреждения. Постановление о назначении  административного наказания от 18.12.2025 № ЦА-34-ЮЛ-25-21885/3120-1 вступило в законную силу 13.01.2026.</v>
      </c>
    </row>
    <row r="55" spans="1:11" ht="80" x14ac:dyDescent="0.2">
      <c r="A55" s="16">
        <v>53</v>
      </c>
      <c r="B55" s="29">
        <v>46035</v>
      </c>
      <c r="C55" s="17" t="s">
        <v>77</v>
      </c>
      <c r="D55" s="16" t="s">
        <v>996</v>
      </c>
      <c r="E55" s="16" t="s">
        <v>8</v>
      </c>
      <c r="F55" s="26" t="s">
        <v>11</v>
      </c>
      <c r="G55" s="16">
        <v>300000</v>
      </c>
      <c r="H55" s="16">
        <v>500000</v>
      </c>
      <c r="I55" s="16" t="s">
        <v>1062</v>
      </c>
      <c r="J55" s="17" t="str">
        <f>VLOOKUP(E55,статьи!$G$2:$H$24,2,TRUE)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55" s="17" t="str">
        <f>VLOOKUP(A55,'компании+описание'!$A$1:$D$438,4,)</f>
        <v>По результатам рассмотрения материалов дела об административном правонарушении № ЦА-38-ЮЛ-25-21237, возбуждённого за совершение административного правонарушения, ответственность за которое предусмотрена частью 12 статьи 15.29 Кодекса Российской Федерации об административных правонарушениях, АО "Частные Активы" назначено административное наказание в виде предупреждения. Постановление вступило в законную силу 13.01.2026.</v>
      </c>
    </row>
    <row r="56" spans="1:11" ht="160" x14ac:dyDescent="0.2">
      <c r="A56" s="16">
        <v>54</v>
      </c>
      <c r="B56" s="29">
        <v>46035</v>
      </c>
      <c r="C56" s="17" t="s">
        <v>78</v>
      </c>
      <c r="D56" s="16" t="s">
        <v>996</v>
      </c>
      <c r="E56" s="16" t="s">
        <v>5</v>
      </c>
      <c r="F56" s="26">
        <v>350000</v>
      </c>
      <c r="G56" s="16">
        <v>700000</v>
      </c>
      <c r="H56" s="16">
        <v>1000000</v>
      </c>
      <c r="I56" s="16" t="s">
        <v>1061</v>
      </c>
      <c r="J56" s="17" t="str">
        <f>VLOOKUP(E56,статьи!$G$2:$H$24,2,TRUE)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56" s="17" t="str">
        <f>VLOOKUP(A56,'компании+описание'!$A$1:$D$438,4,)</f>
        <v>По результатам рассмотрения материалов дела об административном правонарушении № ЦА-38-ЮЛ-25-22094, возбуждённого за совершение административного правонарушения, ответственность за которое предусмотрена частью 9 статьи 15.29 Кодекса Российской Федерации об административных правонарушениях, ООО УК "Юнион Инвест Групп" назначено административное наказание в виде штрафа в размере 350 000 рублей. Постановление вступило в законную силу 13.01.2026.По результатам рассмотрения материалов дела об административном правонарушении № ЦА-38-ЮЛ-25-22095, возбуждённого за совершение административного правонарушения, ответственность за которое предусмотрена частью 12 статьи 15.29 Кодекса Российской Федерации об административных правонарушениях, ООО УК "Юнион Инвест Групп" назначено административное наказание в виде штрафа в размере 150 000 рублей. Постановление вступило в законную силу 13.01.2026.</v>
      </c>
    </row>
    <row r="57" spans="1:11" ht="160" x14ac:dyDescent="0.2">
      <c r="A57" s="16">
        <v>54</v>
      </c>
      <c r="B57" s="29">
        <v>46035</v>
      </c>
      <c r="C57" s="17" t="s">
        <v>78</v>
      </c>
      <c r="D57" s="16" t="s">
        <v>996</v>
      </c>
      <c r="E57" s="16" t="s">
        <v>8</v>
      </c>
      <c r="F57" s="26">
        <v>150000</v>
      </c>
      <c r="G57" s="16">
        <v>300000</v>
      </c>
      <c r="H57" s="16">
        <v>500000</v>
      </c>
      <c r="I57" s="16" t="s">
        <v>1061</v>
      </c>
      <c r="J57" s="17" t="str">
        <f>VLOOKUP(E57,статьи!$G$2:$H$24,2,TRUE)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57" s="17" t="str">
        <f>VLOOKUP(A57,'компании+описание'!$A$1:$D$438,4,)</f>
        <v>По результатам рассмотрения материалов дела об административном правонарушении № ЦА-38-ЮЛ-25-22094, возбуждённого за совершение административного правонарушения, ответственность за которое предусмотрена частью 9 статьи 15.29 Кодекса Российской Федерации об административных правонарушениях, ООО УК "Юнион Инвест Групп" назначено административное наказание в виде штрафа в размере 350 000 рублей. Постановление вступило в законную силу 13.01.2026.По результатам рассмотрения материалов дела об административном правонарушении № ЦА-38-ЮЛ-25-22095, возбуждённого за совершение административного правонарушения, ответственность за которое предусмотрена частью 12 статьи 15.29 Кодекса Российской Федерации об административных правонарушениях, ООО УК "Юнион Инвест Групп" назначено административное наказание в виде штрафа в размере 150 000 рублей. Постановление вступило в законную силу 13.01.2026.</v>
      </c>
    </row>
    <row r="58" spans="1:11" ht="144" x14ac:dyDescent="0.2">
      <c r="A58" s="16">
        <v>55</v>
      </c>
      <c r="B58" s="29">
        <v>46035</v>
      </c>
      <c r="C58" s="17" t="s">
        <v>79</v>
      </c>
      <c r="D58" s="16" t="s">
        <v>996</v>
      </c>
      <c r="E58" s="16" t="s">
        <v>5</v>
      </c>
      <c r="F58" s="26">
        <v>700000</v>
      </c>
      <c r="G58" s="16">
        <v>700000</v>
      </c>
      <c r="H58" s="16">
        <v>1000000</v>
      </c>
      <c r="I58" s="16" t="s">
        <v>1060</v>
      </c>
      <c r="J58" s="17" t="str">
        <f>VLOOKUP(E58,статьи!$G$2:$H$24,2,TRUE)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58" s="17" t="str">
        <f>VLOOKUP(A58,'компании+описание'!$A$1:$D$438,4,)</f>
        <v>По результатам рассмотрения материалов дела об административном правонарушении № ЦА-38-ЮЛ-25-21436, возбуждённого за совершение административного правонарушения, ответственность за которое предусмотрена частью 9 статьи 15.29 Кодекса Российской Федерации об административных правонарушениях, АО НПФ ВТБ Пенсионный фонд назначено административное наказание в виде штрафа в размере 700 000 рублей. Постановление вступило в законную силу 13.01.2026.</v>
      </c>
    </row>
    <row r="59" spans="1:11" ht="80" x14ac:dyDescent="0.2">
      <c r="A59" s="16">
        <v>56</v>
      </c>
      <c r="B59" s="29">
        <v>46035</v>
      </c>
      <c r="C59" s="17" t="s">
        <v>17</v>
      </c>
      <c r="D59" s="16" t="s">
        <v>996</v>
      </c>
      <c r="E59" s="16" t="s">
        <v>80</v>
      </c>
      <c r="F59" s="26" t="s">
        <v>11</v>
      </c>
      <c r="G59" s="16">
        <v>700000</v>
      </c>
      <c r="H59" s="16">
        <v>1000000</v>
      </c>
      <c r="I59" s="16" t="s">
        <v>1062</v>
      </c>
      <c r="J59" s="17" t="str">
        <f>VLOOKUP(E59,статьи!$G$2:$H$24,2,TRUE)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59" s="17" t="str">
        <f>VLOOKUP(A59,'компании+описание'!$A$1:$D$438,4,)</f>
        <v>По результатам рассмотрения материалов дела об административном правонарушении № ЦА-38-ЮЛ-25-21929,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«Управляющая Компания ТРИНФИКО» назначено административное наказание в виде предупреждения. Постановление вступило в законную силу 13.01.2026.</v>
      </c>
    </row>
    <row r="60" spans="1:11" ht="80" x14ac:dyDescent="0.2">
      <c r="A60" s="16">
        <v>57</v>
      </c>
      <c r="B60" s="29">
        <v>46035</v>
      </c>
      <c r="C60" s="17" t="s">
        <v>81</v>
      </c>
      <c r="D60" s="16" t="s">
        <v>996</v>
      </c>
      <c r="E60" s="16" t="s">
        <v>80</v>
      </c>
      <c r="F60" s="26" t="s">
        <v>11</v>
      </c>
      <c r="G60" s="16">
        <v>700000</v>
      </c>
      <c r="H60" s="16">
        <v>1000000</v>
      </c>
      <c r="I60" s="16" t="s">
        <v>1062</v>
      </c>
      <c r="J60" s="17" t="str">
        <f>VLOOKUP(E60,статьи!$G$2:$H$24,2,TRUE)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60" s="17" t="str">
        <f>VLOOKUP(A60,'компании+описание'!$A$1:$D$438,4,)</f>
        <v>По результатам рассмотрения материалов дела об административном правонарушении № ЦА-38-ЮЛ-25-21845,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«АБ Капитал» назначено административное наказание в виде предупреждения. Постановление вступило в законную силу 13.01.2026.</v>
      </c>
    </row>
    <row r="61" spans="1:11" ht="80" x14ac:dyDescent="0.2">
      <c r="A61" s="16">
        <v>58</v>
      </c>
      <c r="B61" s="29">
        <v>46035</v>
      </c>
      <c r="C61" s="17" t="s">
        <v>82</v>
      </c>
      <c r="D61" s="16" t="s">
        <v>996</v>
      </c>
      <c r="E61" s="16" t="s">
        <v>83</v>
      </c>
      <c r="F61" s="26">
        <v>500000</v>
      </c>
      <c r="G61" s="16">
        <v>500000</v>
      </c>
      <c r="H61" s="16">
        <v>700000</v>
      </c>
      <c r="I61" s="16" t="s">
        <v>1060</v>
      </c>
      <c r="J61" s="17" t="str">
        <f>VLOOKUP(E61,статьи!$G$2:$H$24,2,TRUE)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61" s="17" t="str">
        <f>VLOOKUP(A61,'компании+описание'!$A$1:$D$438,4,)</f>
        <v>По результатам рассмотрения материалов дела об административном правонарушении № ЦА-38-ЮЛ-25-21513, возбужденного за совершение административного правонарушения, ответственность за которое предусмотрена частью 2 статьи 15.29 КоАП РФ, Акционерному обществу «Инвестиционная компания «РИКОМ-ТРАСТ» назначено административное наказание в виде штрафа в размере 500 000 рублей. Постановление вступило в законную силу 13.01.2026.</v>
      </c>
    </row>
    <row r="62" spans="1:11" ht="80" x14ac:dyDescent="0.2">
      <c r="A62" s="16">
        <v>59</v>
      </c>
      <c r="B62" s="29">
        <v>46035</v>
      </c>
      <c r="C62" s="17" t="s">
        <v>84</v>
      </c>
      <c r="D62" s="16" t="s">
        <v>996</v>
      </c>
      <c r="E62" s="16" t="s">
        <v>80</v>
      </c>
      <c r="F62" s="26">
        <v>700000</v>
      </c>
      <c r="G62" s="16">
        <v>700000</v>
      </c>
      <c r="H62" s="16">
        <v>1000000</v>
      </c>
      <c r="I62" s="16" t="s">
        <v>1060</v>
      </c>
      <c r="J62" s="17" t="str">
        <f>VLOOKUP(E62,статьи!$G$2:$H$24,2,TRUE)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62" s="17" t="str">
        <f>VLOOKUP(A62,'компании+описание'!$A$1:$D$438,4,)</f>
        <v>По результатам рассмотрения материалов дела об административном правонарушении № ЦА-38-ЮЛ-25-21240, возбужденного за совершение административного правонарушения, ответственность за которое предусмотрена частью 2 статьи 15.19 КоАП РФ, Обществу с ограниченной ответственностью «Т-Капитал» назначено административное наказание в виде штрафа в размере 700 000 рублей. Постановление вступило в законную силу 13.01.2026.</v>
      </c>
    </row>
    <row r="63" spans="1:11" ht="80" x14ac:dyDescent="0.2">
      <c r="A63" s="16">
        <v>60</v>
      </c>
      <c r="B63" s="29">
        <v>46035</v>
      </c>
      <c r="C63" s="17" t="s">
        <v>85</v>
      </c>
      <c r="D63" s="16" t="s">
        <v>996</v>
      </c>
      <c r="E63" s="16" t="s">
        <v>8</v>
      </c>
      <c r="F63" s="26">
        <v>400000</v>
      </c>
      <c r="G63" s="16">
        <v>300000</v>
      </c>
      <c r="H63" s="16">
        <v>500000</v>
      </c>
      <c r="I63" s="16" t="s">
        <v>1059</v>
      </c>
      <c r="J63" s="17" t="str">
        <f>VLOOKUP(E63,статьи!$G$2:$H$24,2,TRUE)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63" s="17" t="str">
        <f>VLOOKUP(A63,'компании+описание'!$A$1:$D$438,4,)</f>
        <v>По результатам рассмотрения материалов дела об административном правонарушении № ЦА-38-ЮЛ-25-21566,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«РСХБ Управление Активами» назначено административное наказание в виде штрафа в размере 400 000 рублей. Постановление вступило в законную силу 13.01.2026.</v>
      </c>
    </row>
    <row r="64" spans="1:11" ht="80" x14ac:dyDescent="0.2">
      <c r="A64" s="16">
        <v>61</v>
      </c>
      <c r="B64" s="29">
        <v>46021</v>
      </c>
      <c r="C64" s="17" t="s">
        <v>86</v>
      </c>
      <c r="D64" s="16" t="s">
        <v>996</v>
      </c>
      <c r="E64" s="16" t="s">
        <v>75</v>
      </c>
      <c r="F64" s="26">
        <v>700000</v>
      </c>
      <c r="G64" s="16">
        <v>500000</v>
      </c>
      <c r="H64" s="16">
        <v>700000</v>
      </c>
      <c r="I64" s="16" t="s">
        <v>1063</v>
      </c>
      <c r="J64" s="17" t="str">
        <f>VLOOKUP(E64,статьи!$G$2:$H$24,2,TRUE)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64" s="17" t="str">
        <f>VLOOKUP(A64,'компании+описание'!$A$1:$D$438,4,)</f>
        <v>По результатам рассмотрения материалов дела об административном правонарушении № ЦА-44-ЮЛ-25-21165, возбужденного за совершение административного правонарушения, ответственность за которое предусмотрена частью 1 статьи 19.7.3 КоАП РФ, акционерному обществу «Объединенное кредитное бюро» назначено административное наказание в виде штрафа в размере 700 000 рублей. Постановление о назначении административного наказания вступило в законную силу 30.12.2025.</v>
      </c>
    </row>
    <row r="65" spans="1:11" ht="96" x14ac:dyDescent="0.2">
      <c r="A65" s="16">
        <v>62</v>
      </c>
      <c r="B65" s="29">
        <v>46021</v>
      </c>
      <c r="C65" s="17" t="s">
        <v>87</v>
      </c>
      <c r="D65" s="16" t="s">
        <v>997</v>
      </c>
      <c r="E65" s="16" t="s">
        <v>23</v>
      </c>
      <c r="F65" s="26">
        <v>3000</v>
      </c>
      <c r="G65" s="16">
        <v>3000</v>
      </c>
      <c r="H65" s="16">
        <v>5000</v>
      </c>
      <c r="I65" s="16" t="s">
        <v>1060</v>
      </c>
      <c r="J65" s="17" t="str">
        <f>VLOOKUP(E65,статьи!$G$2:$H$24,2,TRUE)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65" s="17" t="str">
        <f>VLOOKUP(A65,'компании+описание'!$A$1:$D$438,4,)</f>
        <v>По результатам рассмотрения материалов дела об административном правонарушении № ЦА-34-Гр-25-18608,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Пивень Наталье Анатольевне назначено административное наказание в виде штрафа в размере 3 000 рублей. Постановление от 21.11.2025 № 25-18608/3110-1 о назначении административного наказания вступило в законную силу 30.12.2025.</v>
      </c>
    </row>
    <row r="66" spans="1:11" ht="80" x14ac:dyDescent="0.2">
      <c r="A66" s="16">
        <v>63</v>
      </c>
      <c r="B66" s="29">
        <v>46021</v>
      </c>
      <c r="C66" s="17" t="s">
        <v>88</v>
      </c>
      <c r="D66" s="16" t="s">
        <v>996</v>
      </c>
      <c r="E66" s="16" t="s">
        <v>75</v>
      </c>
      <c r="F66" s="26">
        <v>700000</v>
      </c>
      <c r="G66" s="16">
        <v>500000</v>
      </c>
      <c r="H66" s="16">
        <v>700000</v>
      </c>
      <c r="I66" s="16" t="s">
        <v>1063</v>
      </c>
      <c r="J66" s="17" t="str">
        <f>VLOOKUP(E66,статьи!$G$2:$H$24,2,TRUE)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66" s="17" t="str">
        <f>VLOOKUP(A66,'компании+описание'!$A$1:$D$438,4,)</f>
        <v>По результатам рассмотрения материалов дела об административном правонарушении № ЦА-44-ЮЛ-25-21166, возбужденного за совершение административного правонарушения, ответственность за которое предусмотрена частью 1 статьи 19.7.3 КоАП РФ, акционерному обществу «Объединенное кредитное бюро» назначено административное наказание в виде штрафа в размере 700 000 рублей. Постановление о назначении административного наказания вступило в законную силу 30.12.2025.</v>
      </c>
    </row>
    <row r="67" spans="1:11" ht="96" x14ac:dyDescent="0.2">
      <c r="A67" s="16">
        <v>64</v>
      </c>
      <c r="B67" s="29">
        <v>46021</v>
      </c>
      <c r="C67" s="17" t="s">
        <v>89</v>
      </c>
      <c r="D67" s="16" t="s">
        <v>997</v>
      </c>
      <c r="E67" s="16" t="s">
        <v>23</v>
      </c>
      <c r="F67" s="26">
        <v>3000</v>
      </c>
      <c r="G67" s="16">
        <v>3000</v>
      </c>
      <c r="H67" s="16">
        <v>5000</v>
      </c>
      <c r="I67" s="16" t="s">
        <v>1060</v>
      </c>
      <c r="J67" s="17" t="str">
        <f>VLOOKUP(E67,статьи!$G$2:$H$24,2,TRUE)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67" s="17" t="str">
        <f>VLOOKUP(A67,'компании+описание'!$A$1:$D$438,4,)</f>
        <v>По результатам рассмотрения материалов дела об административном правонарушении № ЦА-34-Гр-25-18606,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Пивню Демиду Романовичу назначено административное наказание в виде штрафа в размере 3 000 рублей. Постановление от 21.11.2025 № 25-18606/3110-1 о назначении административного наказания вступило в законную силу 30.12.2025.</v>
      </c>
    </row>
    <row r="68" spans="1:11" ht="80" x14ac:dyDescent="0.2">
      <c r="A68" s="16">
        <v>65</v>
      </c>
      <c r="B68" s="29">
        <v>46020</v>
      </c>
      <c r="C68" s="17" t="s">
        <v>91</v>
      </c>
      <c r="D68" s="16" t="s">
        <v>996</v>
      </c>
      <c r="E68" s="16" t="s">
        <v>83</v>
      </c>
      <c r="F68" s="26" t="s">
        <v>11</v>
      </c>
      <c r="G68" s="16">
        <v>500000</v>
      </c>
      <c r="H68" s="16">
        <v>700000</v>
      </c>
      <c r="I68" s="16" t="s">
        <v>1062</v>
      </c>
      <c r="J68" s="17" t="str">
        <f>VLOOKUP(E68,статьи!$G$2:$H$24,2,TRUE)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68" s="17" t="str">
        <f>VLOOKUP(A68,'компании+описание'!$A$1:$D$438,4,)</f>
        <v>По результатам рассмотрения материалов дела об административном правонарушении № ЦА-38-ЮЛ-25-20445, возбуждённого за совершение административного правонарушения, ответственность за которое предусмотрена частью 2 статьи 15.29 Кодекса Российской Федерации об административных правонарушениях, АО «ИК «Лидер» назначено административное наказание в виде предупреждения. Постановление вступило в законную силу 27.12.2025.</v>
      </c>
    </row>
    <row r="69" spans="1:11" ht="96" x14ac:dyDescent="0.2">
      <c r="A69" s="16">
        <v>66</v>
      </c>
      <c r="B69" s="29">
        <v>46014</v>
      </c>
      <c r="C69" s="17" t="s">
        <v>93</v>
      </c>
      <c r="D69" s="16" t="s">
        <v>997</v>
      </c>
      <c r="E69" s="16" t="s">
        <v>23</v>
      </c>
      <c r="F69" s="26">
        <v>3000</v>
      </c>
      <c r="G69" s="16">
        <v>3000</v>
      </c>
      <c r="H69" s="16">
        <v>5000</v>
      </c>
      <c r="I69" s="16" t="s">
        <v>1060</v>
      </c>
      <c r="J69" s="17" t="str">
        <f>VLOOKUP(E69,статьи!$G$2:$H$24,2,TRUE)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69" s="17" t="str">
        <f>VLOOKUP(A69,'компании+описание'!$A$1:$D$438,4,)</f>
        <v>По результатам рассмотрения материалов дела об административном правонарушении № ЦА-34-Гр-25-19266,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Кувшиновой Анне Викторовне назначено административное наказание в виде штрафа в размере 3 000 рублей. Постановление от 19.11.2025 № 25-19266/3110-1 о назначении административного наказания вступило в законную силу 16.12.2025.</v>
      </c>
    </row>
    <row r="70" spans="1:11" ht="96" x14ac:dyDescent="0.2">
      <c r="A70" s="16">
        <v>67</v>
      </c>
      <c r="B70" s="29">
        <v>46014</v>
      </c>
      <c r="C70" s="17" t="s">
        <v>95</v>
      </c>
      <c r="D70" s="16" t="s">
        <v>997</v>
      </c>
      <c r="E70" s="16" t="s">
        <v>23</v>
      </c>
      <c r="F70" s="26">
        <v>3000</v>
      </c>
      <c r="G70" s="16">
        <v>3000</v>
      </c>
      <c r="H70" s="16">
        <v>5000</v>
      </c>
      <c r="I70" s="16" t="s">
        <v>1060</v>
      </c>
      <c r="J70" s="17" t="str">
        <f>VLOOKUP(E70,статьи!$G$2:$H$24,2,TRUE)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70" s="17" t="str">
        <f>VLOOKUP(A70,'компании+описание'!$A$1:$D$438,4,)</f>
        <v>По результатам рассмотрения материалов дела об административном правонарушении № ЦА-34-Гр-25-19256,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Кувшинову Роману Сергеевичу назначено административное наказание в виде штрафа в размере 3 000 рублей. Постановление от 19.11.2025 № 25-19256/3110-1 о назначении административного наказания вступило в законную силу 16.12.2025.</v>
      </c>
    </row>
    <row r="71" spans="1:11" ht="112" x14ac:dyDescent="0.2">
      <c r="A71" s="16">
        <v>68</v>
      </c>
      <c r="B71" s="29">
        <v>46014</v>
      </c>
      <c r="C71" s="17" t="s">
        <v>96</v>
      </c>
      <c r="D71" s="16" t="s">
        <v>997</v>
      </c>
      <c r="E71" s="16" t="s">
        <v>23</v>
      </c>
      <c r="F71" s="26">
        <v>30000</v>
      </c>
      <c r="G71" s="16">
        <v>3000</v>
      </c>
      <c r="H71" s="16">
        <v>5000</v>
      </c>
      <c r="I71" s="16" t="s">
        <v>1065</v>
      </c>
      <c r="J71" s="17" t="str">
        <f>VLOOKUP(E71,статьи!$G$2:$H$24,2,TRUE)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71" s="17" t="str">
        <f>VLOOKUP(A71,'компании+описание'!$A$1:$D$438,4,)</f>
        <v>По результатам рассмотрения материалов дела об административном правонарушении № ЦА-34-ДЛ-25-19399,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директору Общества с ограниченной ответственностью «ТОСОЛ-СИНТЕЗ ТРЕЙДИНГ» Чамкину Михаилу Александровичу назначено административное наказание в виде штрафа в размере 30 000 рублей. Постановление от 20.11.2025 № 25-19399/3110-1 о назначении административного наказания вступило в законную силу 12.12.2025.</v>
      </c>
    </row>
    <row r="72" spans="1:11" ht="144" x14ac:dyDescent="0.2">
      <c r="A72" s="16">
        <v>69</v>
      </c>
      <c r="B72" s="29">
        <v>46014</v>
      </c>
      <c r="C72" s="17" t="s">
        <v>98</v>
      </c>
      <c r="D72" s="16" t="s">
        <v>996</v>
      </c>
      <c r="E72" s="16" t="s">
        <v>72</v>
      </c>
      <c r="F72" s="26">
        <v>250000</v>
      </c>
      <c r="G72" s="16">
        <v>500000</v>
      </c>
      <c r="H72" s="16">
        <v>700000</v>
      </c>
      <c r="I72" s="16" t="s">
        <v>1061</v>
      </c>
      <c r="J72" s="17" t="str">
        <f>VLOOKUP(E72,статьи!$G$2:$H$24,2,TRUE)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72" s="17" t="str">
        <f>VLOOKUP(A72,'компании+описание'!$A$1:$D$438,4,)</f>
        <v>По результатам рассмотрения материалов дела об административном правонарушении № ЦА-34-ЮЛ-25-20912,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«НАРОДНАЯ ИНВЕСТИЦИОННАЯ ПЛАТФОРМА»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08.12.2025 № 25-20912/3110-1 вступило в законную силу 23.12.2025.</v>
      </c>
    </row>
    <row r="73" spans="1:11" ht="144" x14ac:dyDescent="0.2">
      <c r="A73" s="16">
        <v>70</v>
      </c>
      <c r="B73" s="29">
        <v>46014</v>
      </c>
      <c r="C73" s="17" t="s">
        <v>99</v>
      </c>
      <c r="D73" s="16" t="s">
        <v>996</v>
      </c>
      <c r="E73" s="16" t="s">
        <v>7</v>
      </c>
      <c r="F73" s="26">
        <v>700000</v>
      </c>
      <c r="G73" s="16">
        <v>700000</v>
      </c>
      <c r="H73" s="16">
        <v>1000000</v>
      </c>
      <c r="I73" s="16" t="s">
        <v>1060</v>
      </c>
      <c r="J73" s="17" t="str">
        <f>VLOOKUP(E73,статьи!$G$2:$H$24,2,TRUE)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73" s="17" t="str">
        <f>VLOOKUP(A73,'компании+описание'!$A$1:$D$438,4,)</f>
        <v>По результатам рассмотрения материалов дела об административном правонарушении № ЦА-38-ЮЛ-25-20491, возбужденного за совершение административного правонарушения, ответственность за которое предусмотрена частью 6 статьи 15.29 КоАП РФ, Акционерному обществу «Управляющая компания «Первая» назначено административное наказание в виде штрафа в размере 700 000 рублей. Постановление вступило в законную силу 23.12.2025.</v>
      </c>
    </row>
    <row r="74" spans="1:11" ht="160" x14ac:dyDescent="0.2">
      <c r="A74" s="16">
        <v>71</v>
      </c>
      <c r="B74" s="29">
        <v>46014</v>
      </c>
      <c r="C74" s="17" t="s">
        <v>100</v>
      </c>
      <c r="D74" s="16" t="s">
        <v>996</v>
      </c>
      <c r="E74" s="16" t="s">
        <v>8</v>
      </c>
      <c r="F74" s="26">
        <v>150000</v>
      </c>
      <c r="G74" s="16">
        <v>300000</v>
      </c>
      <c r="H74" s="16">
        <v>500000</v>
      </c>
      <c r="I74" s="16" t="s">
        <v>1061</v>
      </c>
      <c r="J74" s="17" t="str">
        <f>VLOOKUP(E74,статьи!$G$2:$H$24,2,TRUE)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74" s="17" t="str">
        <f>VLOOKUP(A74,'компании+описание'!$A$1:$D$438,4,)</f>
        <v>По результатам рассмотрения материалов дела об административном правонарушении № ЦА-38-ЮЛ-25-20149,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«Контрада Капитал» назначено административное наказание в виде штрафа в размере 150 000 рублей. Постановление вступило в законную силу 23.12.2025._x000D_
По результатам рассмотрения материалов дела об административном правонарушении № ЦА-38-ЮЛ-25-20147, возбужденного за совершение административного правонарушения, ответственность за которое предусмотрена частью 6 статьи 15.29 КоАП РФ, Акционерному обществу «Контрада Капитал» назначено административное наказание в виде штрафа в размере 350 000 рублей. Постановление вступило в законную силу 23.12.2025.</v>
      </c>
    </row>
    <row r="75" spans="1:11" ht="160" x14ac:dyDescent="0.2">
      <c r="A75" s="16">
        <v>71</v>
      </c>
      <c r="B75" s="29">
        <v>46014</v>
      </c>
      <c r="C75" s="17" t="s">
        <v>100</v>
      </c>
      <c r="D75" s="16" t="s">
        <v>996</v>
      </c>
      <c r="E75" s="16" t="s">
        <v>7</v>
      </c>
      <c r="F75" s="26">
        <v>350000</v>
      </c>
      <c r="G75" s="16">
        <v>700000</v>
      </c>
      <c r="H75" s="16">
        <v>1000000</v>
      </c>
      <c r="I75" s="16" t="s">
        <v>1061</v>
      </c>
      <c r="J75" s="17" t="str">
        <f>VLOOKUP(E75,статьи!$G$2:$H$24,2,TRUE)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75" s="17" t="str">
        <f>VLOOKUP(A75,'компании+описание'!$A$1:$D$438,4,)</f>
        <v>По результатам рассмотрения материалов дела об административном правонарушении № ЦА-38-ЮЛ-25-20149,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«Контрада Капитал» назначено административное наказание в виде штрафа в размере 150 000 рублей. Постановление вступило в законную силу 23.12.2025._x000D_
По результатам рассмотрения материалов дела об административном правонарушении № ЦА-38-ЮЛ-25-20147, возбужденного за совершение административного правонарушения, ответственность за которое предусмотрена частью 6 статьи 15.29 КоАП РФ, Акционерному обществу «Контрада Капитал» назначено административное наказание в виде штрафа в размере 350 000 рублей. Постановление вступило в законную силу 23.12.2025.</v>
      </c>
    </row>
    <row r="76" spans="1:11" ht="96" x14ac:dyDescent="0.2">
      <c r="A76" s="16">
        <v>72</v>
      </c>
      <c r="B76" s="29">
        <v>46010</v>
      </c>
      <c r="C76" s="17" t="s">
        <v>102</v>
      </c>
      <c r="D76" s="16" t="s">
        <v>996</v>
      </c>
      <c r="E76" s="16" t="s">
        <v>23</v>
      </c>
      <c r="F76" s="26">
        <v>350000</v>
      </c>
      <c r="G76" s="16">
        <v>700000</v>
      </c>
      <c r="H76" s="16" t="s">
        <v>1002</v>
      </c>
      <c r="I76" s="16" t="s">
        <v>1061</v>
      </c>
      <c r="J76" s="17" t="str">
        <f>VLOOKUP(E76,статьи!$G$2:$H$24,2,TRUE)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76" s="17" t="str">
        <f>VLOOKUP(A76,'компании+описание'!$A$1:$D$438,4,)</f>
        <v>По результатам рассмотрения материалов дела об административном правонарушении № ЦА-34-ЮЛ-25-17527, возбужденного за совершение административного правонарушения, ответственность за которое предусмотрена статьей 15.30 КоАП РФ, обществу с ограниченной ответственностью "ТОРГОВАЯ СИСТЕМА" назначено административное наказание в виде штрафа в размере 350 000 рублей. Постановление о наложении штрафа по делу об административном правонарушении от 23.10.2025 № 25-17527/3110-1 вступило в законную силу 19.12.2025.</v>
      </c>
    </row>
    <row r="77" spans="1:11" ht="96" x14ac:dyDescent="0.2">
      <c r="A77" s="16">
        <v>73</v>
      </c>
      <c r="B77" s="29">
        <v>46010</v>
      </c>
      <c r="C77" s="17" t="s">
        <v>103</v>
      </c>
      <c r="D77" s="16" t="s">
        <v>997</v>
      </c>
      <c r="E77" s="16" t="s">
        <v>23</v>
      </c>
      <c r="F77" s="26">
        <v>3000</v>
      </c>
      <c r="G77" s="16">
        <v>3000</v>
      </c>
      <c r="H77" s="16">
        <v>5000</v>
      </c>
      <c r="I77" s="16" t="s">
        <v>1060</v>
      </c>
      <c r="J77" s="17" t="str">
        <f>VLOOKUP(E77,статьи!$G$2:$H$24,2,TRUE)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77" s="17" t="str">
        <f>VLOOKUP(A77,'компании+описание'!$A$1:$D$438,4,)</f>
        <v>По результатам рассмотрения материалов дела об административном правонарушении № ЦА-34-Гр-25-19385, возбужденного за совершение административного правонарушения, ответственность за которое предусмотрена статьей 15.30 КоАП РФ, Кривовой Надежде Юнусовне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19.11.2025 № 25-19385/3110-1 вступило в законную силу 19.12.2025.</v>
      </c>
    </row>
    <row r="78" spans="1:11" ht="96" x14ac:dyDescent="0.2">
      <c r="A78" s="16">
        <v>74</v>
      </c>
      <c r="B78" s="29">
        <v>46010</v>
      </c>
      <c r="C78" s="17" t="s">
        <v>104</v>
      </c>
      <c r="D78" s="16" t="s">
        <v>997</v>
      </c>
      <c r="E78" s="16" t="s">
        <v>23</v>
      </c>
      <c r="F78" s="26">
        <v>3000</v>
      </c>
      <c r="G78" s="16">
        <v>3000</v>
      </c>
      <c r="H78" s="16">
        <v>5000</v>
      </c>
      <c r="I78" s="16" t="s">
        <v>1060</v>
      </c>
      <c r="J78" s="17" t="str">
        <f>VLOOKUP(E78,статьи!$G$2:$H$24,2,TRUE)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78" s="17" t="str">
        <f>VLOOKUP(A78,'компании+описание'!$A$1:$D$438,4,)</f>
        <v>По результатам рассмотрения материалов дела об административном правонарушении № ЦА-34-Гр-25-19383, возбужденного за совершение административного правонарушения, ответственность за которое предусмотрена статьей 15.30 КоАП РФ, Кривову Вадиму Ивановичу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19.11.2025 № 25-19383/3110-1 вступило в законную силу 19.12.2025.</v>
      </c>
    </row>
    <row r="79" spans="1:11" ht="80" x14ac:dyDescent="0.2">
      <c r="A79" s="16">
        <v>75</v>
      </c>
      <c r="B79" s="29">
        <v>46010</v>
      </c>
      <c r="C79" s="17" t="s">
        <v>105</v>
      </c>
      <c r="D79" s="16" t="s">
        <v>996</v>
      </c>
      <c r="E79" s="16" t="s">
        <v>8</v>
      </c>
      <c r="F79" s="26" t="s">
        <v>11</v>
      </c>
      <c r="G79" s="16">
        <v>300000</v>
      </c>
      <c r="H79" s="16">
        <v>500000</v>
      </c>
      <c r="I79" s="16" t="s">
        <v>1062</v>
      </c>
      <c r="J79" s="17" t="str">
        <f>VLOOKUP(E79,статьи!$G$2:$H$24,2,TRUE)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79" s="17" t="str">
        <f>VLOOKUP(A79,'компании+описание'!$A$1:$D$438,4,)</f>
        <v>По результатам рассмотрения материалов дела об административном правонарушении № ЦА-38-ЮЛ-25-19928,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«Совкомбанк Управление Активами» назначено административное наказание в виде предупреждения. Постановление вступило в законную силу 19.12.2025.</v>
      </c>
    </row>
    <row r="80" spans="1:11" ht="96" x14ac:dyDescent="0.2">
      <c r="A80" s="16">
        <v>76</v>
      </c>
      <c r="B80" s="29">
        <v>46007</v>
      </c>
      <c r="C80" s="17" t="s">
        <v>106</v>
      </c>
      <c r="D80" s="16" t="s">
        <v>996</v>
      </c>
      <c r="E80" s="16" t="s">
        <v>23</v>
      </c>
      <c r="F80" s="26">
        <v>350000</v>
      </c>
      <c r="G80" s="16">
        <v>700000</v>
      </c>
      <c r="H80" s="16" t="s">
        <v>1002</v>
      </c>
      <c r="I80" s="16" t="s">
        <v>1061</v>
      </c>
      <c r="J80" s="17" t="str">
        <f>VLOOKUP(E80,статьи!$G$2:$H$24,2,TRUE)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80" s="17" t="str">
        <f>VLOOKUP(A80,'компании+описание'!$A$1:$D$438,4,)</f>
        <v>По результатам рассмотрения материалов дела об административном правонарушении № ЦА-34-ЮЛ-25-1083, возбужденного за совершение административного правонарушения, ответственность за которое предусмотрена статьей 15.30 КоАП РФ, обществу с ограниченной ответственностью "Зитрон" назначено административное наказание в виде штрафа в размере 350 000 рублей. Постановление о наложении штрафа по делу об административном правонарушении от 05.03.2025 № 25-1083/3110-1 вступило в законную силу 04.12.2025.</v>
      </c>
    </row>
    <row r="81" spans="1:11" ht="144" x14ac:dyDescent="0.2">
      <c r="A81" s="16">
        <v>77</v>
      </c>
      <c r="B81" s="29">
        <v>46007</v>
      </c>
      <c r="C81" s="17" t="s">
        <v>107</v>
      </c>
      <c r="D81" s="16" t="s">
        <v>996</v>
      </c>
      <c r="E81" s="16" t="s">
        <v>108</v>
      </c>
      <c r="F81" s="26">
        <v>500000</v>
      </c>
      <c r="G81" s="16">
        <v>500000</v>
      </c>
      <c r="H81" s="16">
        <v>700000</v>
      </c>
      <c r="I81" s="16" t="s">
        <v>1060</v>
      </c>
      <c r="J81" s="17" t="str">
        <f>VLOOKUP(E81,статьи!$G$2:$H$24,2,TRUE)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81" s="17" t="str">
        <f>VLOOKUP(A81,'компании+описание'!$A$1:$D$438,4,)</f>
        <v>По результатам рассмотрения материалов дела об административном правонарушении № ЦА-34-ЮЛ-25-17383, возбужденного за совершение административного правонарушения, ответственность за которое предусмотрена частью 7 статьи 15.29 КоАП РФ, АО «НРК-Р.О.С.Т.» назначено административное наказание в виде штрафа в размере 500 000 рублей. Постановление № 25-17383/3110-1 о назначении административного наказания вступило в законную силу 16.12.2025.</v>
      </c>
    </row>
    <row r="82" spans="1:11" ht="96" x14ac:dyDescent="0.2">
      <c r="A82" s="16">
        <v>78</v>
      </c>
      <c r="B82" s="29">
        <v>46007</v>
      </c>
      <c r="C82" s="17" t="s">
        <v>109</v>
      </c>
      <c r="D82" s="16" t="s">
        <v>996</v>
      </c>
      <c r="E82" s="16" t="s">
        <v>75</v>
      </c>
      <c r="F82" s="26">
        <v>500000</v>
      </c>
      <c r="G82" s="16">
        <v>500000</v>
      </c>
      <c r="H82" s="16">
        <v>700000</v>
      </c>
      <c r="I82" s="16" t="s">
        <v>1060</v>
      </c>
      <c r="J82" s="17" t="str">
        <f>VLOOKUP(E82,статьи!$G$2:$H$24,2,TRUE)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82" s="17" t="str">
        <f>VLOOKUP(A82,'компании+описание'!$A$1:$D$438,4,)</f>
        <v>По результатам рассмотрения материалов дела об административном правонарушении № ЦА-44-ЮЛ-25-20280, возбужденного за совершение административного правонарушения, ответственность за которое предусмотрена частью 1 статьи 19.7.3 КоАП РФ, обществу с ограниченной ответственностью «Бюро кредитных историй КредитИнфо» назначено административное наказание в виде штрафа в размере 500 000 рублей. Постановление о назначении административного наказания вступило в законную силу 16.12.2025.</v>
      </c>
    </row>
    <row r="83" spans="1:11" ht="80" x14ac:dyDescent="0.2">
      <c r="A83" s="16">
        <v>79</v>
      </c>
      <c r="B83" s="29">
        <v>46007</v>
      </c>
      <c r="C83" s="17" t="s">
        <v>110</v>
      </c>
      <c r="D83" s="16" t="s">
        <v>996</v>
      </c>
      <c r="E83" s="16" t="s">
        <v>83</v>
      </c>
      <c r="F83" s="26" t="s">
        <v>11</v>
      </c>
      <c r="G83" s="16">
        <v>500000</v>
      </c>
      <c r="H83" s="16">
        <v>700000</v>
      </c>
      <c r="I83" s="16" t="s">
        <v>1062</v>
      </c>
      <c r="J83" s="17" t="str">
        <f>VLOOKUP(E83,статьи!$G$2:$H$24,2,TRUE)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83" s="17" t="str">
        <f>VLOOKUP(A83,'компании+описание'!$A$1:$D$438,4,)</f>
        <v>По результатам рассмотрения материалов дела об административном правонарушении № ЦА-38-ЮЛ-25-19829, возбужденного за совершение административного правонарушения, ответственность за которое предусмотрена частью 2 статьи 15.29 КоАП РФ, Обществу с ограниченной ответственностью «Апрель Капитал Брокер» назначено административное наказание в виде предупреждения. Постановление вступило в законную силу 16.12.2025.</v>
      </c>
    </row>
    <row r="84" spans="1:11" ht="80" x14ac:dyDescent="0.2">
      <c r="A84" s="16">
        <v>80</v>
      </c>
      <c r="B84" s="29">
        <v>46006</v>
      </c>
      <c r="C84" s="17" t="s">
        <v>112</v>
      </c>
      <c r="D84" s="16" t="s">
        <v>996</v>
      </c>
      <c r="E84" s="16" t="s">
        <v>8</v>
      </c>
      <c r="F84" s="26" t="s">
        <v>11</v>
      </c>
      <c r="G84" s="16">
        <v>300000</v>
      </c>
      <c r="H84" s="16">
        <v>500000</v>
      </c>
      <c r="I84" s="16" t="s">
        <v>1062</v>
      </c>
      <c r="J84" s="17" t="str">
        <f>VLOOKUP(E84,статьи!$G$2:$H$24,2,TRUE)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84" s="17" t="str">
        <f>VLOOKUP(A84,'компании+описание'!$A$1:$D$438,4,)</f>
        <v>По результатам рассмотрения материалов дела об административном правонарушении № ЦА-38-ЮЛ-25-19014,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«Всероссийский банк развития регионов» назначено административное наказание в виде предупреждения. Постановление вступило в законную силу 13.12.2025.</v>
      </c>
    </row>
    <row r="85" spans="1:11" ht="96" x14ac:dyDescent="0.2">
      <c r="A85" s="16">
        <v>81</v>
      </c>
      <c r="B85" s="29">
        <v>46003</v>
      </c>
      <c r="C85" s="17" t="s">
        <v>113</v>
      </c>
      <c r="D85" s="16" t="s">
        <v>997</v>
      </c>
      <c r="E85" s="16" t="s">
        <v>23</v>
      </c>
      <c r="F85" s="26">
        <v>3000</v>
      </c>
      <c r="G85" s="16">
        <v>3000</v>
      </c>
      <c r="H85" s="16">
        <v>5000</v>
      </c>
      <c r="I85" s="16" t="s">
        <v>1060</v>
      </c>
      <c r="J85" s="17" t="str">
        <f>VLOOKUP(E85,статьи!$G$2:$H$24,2,TRUE)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85" s="17" t="str">
        <f>VLOOKUP(A85,'компании+описание'!$A$1:$D$438,4,)</f>
        <v>По результатам рассмотрения материалов дела об административном правонарушении № ЦА-34-Гр-25-17010, возбужденного за совершение административного правонарушения, ответственность за которое предусмотрена статьей 15.30 КоАП РФ, Денисовой Екатерине Алексеевне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11.11.2025 № 25-17010/3110-1 вступило в законную силу 12.12.2025.</v>
      </c>
    </row>
    <row r="86" spans="1:11" ht="96" x14ac:dyDescent="0.2">
      <c r="A86" s="16">
        <v>82</v>
      </c>
      <c r="B86" s="29">
        <v>46002</v>
      </c>
      <c r="C86" s="17" t="s">
        <v>115</v>
      </c>
      <c r="D86" s="16" t="s">
        <v>997</v>
      </c>
      <c r="E86" s="16" t="s">
        <v>23</v>
      </c>
      <c r="F86" s="26">
        <v>3000</v>
      </c>
      <c r="G86" s="16">
        <v>3000</v>
      </c>
      <c r="H86" s="16">
        <v>5000</v>
      </c>
      <c r="I86" s="16" t="s">
        <v>1060</v>
      </c>
      <c r="J86" s="17" t="str">
        <f>VLOOKUP(E86,статьи!$G$2:$H$24,2,TRUE)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86" s="17" t="str">
        <f>VLOOKUP(A86,'компании+описание'!$A$1:$D$438,4,)</f>
        <v>По результатам рассмотрения материалов дела об административном правонарушении № ЦА-34-Гр-25-17506, возбужденного за совершение административного правонарушения, ответственность за которое предусмотрена статьей 15.30 КоАП РФ, Абхаликову Марселю Абдулвалеевичу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11.11.2025 № 25-17506/3110-1 вступило в законную силу 05.12.2025.</v>
      </c>
    </row>
    <row r="87" spans="1:11" ht="96" x14ac:dyDescent="0.2">
      <c r="A87" s="16">
        <v>83</v>
      </c>
      <c r="B87" s="29">
        <v>46001</v>
      </c>
      <c r="C87" s="17" t="s">
        <v>118</v>
      </c>
      <c r="D87" s="16" t="s">
        <v>997</v>
      </c>
      <c r="E87" s="16" t="s">
        <v>23</v>
      </c>
      <c r="F87" s="26">
        <v>3000</v>
      </c>
      <c r="G87" s="16">
        <v>3000</v>
      </c>
      <c r="H87" s="16">
        <v>5000</v>
      </c>
      <c r="I87" s="16" t="s">
        <v>1060</v>
      </c>
      <c r="J87" s="17" t="str">
        <f>VLOOKUP(E87,статьи!$G$2:$H$24,2,TRUE)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87" s="17" t="str">
        <f>VLOOKUP(A87,'компании+описание'!$A$1:$D$438,4,)</f>
        <v>По результатам рассмотрения материалов дела об административном правонарушении № ЦА-34-Гр-25-19033, возбужденного за совершение административного правонарушения, ответственность за которое предусмотрена статьей 15.30 КоАП РФ, Богачеву Алексею Анатольевичу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11.11.2025 № 25-19033/3110-1 вступило в законную силу 04.12.2025.</v>
      </c>
    </row>
    <row r="88" spans="1:11" ht="80" x14ac:dyDescent="0.2">
      <c r="A88" s="16">
        <v>84</v>
      </c>
      <c r="B88" s="29">
        <v>46000</v>
      </c>
      <c r="C88" s="17" t="s">
        <v>120</v>
      </c>
      <c r="D88" s="16" t="s">
        <v>996</v>
      </c>
      <c r="E88" s="16" t="s">
        <v>8</v>
      </c>
      <c r="F88" s="26" t="s">
        <v>11</v>
      </c>
      <c r="G88" s="16">
        <v>300000</v>
      </c>
      <c r="H88" s="16">
        <v>500000</v>
      </c>
      <c r="I88" s="16" t="s">
        <v>1062</v>
      </c>
      <c r="J88" s="17" t="str">
        <f>VLOOKUP(E88,статьи!$G$2:$H$24,2,TRUE)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88" s="17" t="str">
        <f>VLOOKUP(A88,'компании+описание'!$A$1:$D$438,4,)</f>
        <v>По результатам рассмотрения материалов дела об административном правонарушении № ЦА-38-ЮЛ-25-19235,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«Управляющая компания «Парадигма» назначено административное наказание в виде предупреждения. Постановление вступило в законную силу 09.12.2025.</v>
      </c>
    </row>
    <row r="89" spans="1:11" ht="96" x14ac:dyDescent="0.2">
      <c r="A89" s="16">
        <v>85</v>
      </c>
      <c r="B89" s="29">
        <v>45999</v>
      </c>
      <c r="C89" s="17" t="s">
        <v>122</v>
      </c>
      <c r="D89" s="16" t="s">
        <v>997</v>
      </c>
      <c r="E89" s="16" t="s">
        <v>23</v>
      </c>
      <c r="F89" s="26">
        <v>3000</v>
      </c>
      <c r="G89" s="16">
        <v>3000</v>
      </c>
      <c r="H89" s="16">
        <v>5000</v>
      </c>
      <c r="I89" s="16" t="s">
        <v>1060</v>
      </c>
      <c r="J89" s="17" t="str">
        <f>VLOOKUP(E89,статьи!$G$2:$H$24,2,TRUE)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89" s="17" t="str">
        <f>VLOOKUP(A89,'компании+описание'!$A$1:$D$438,4,)</f>
        <v>По результатам рассмотрения материалов дела об административном правонарушении № ЦА-34-Гр-25-18906,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Сысуну Константину Валерьевичу назначено административное наказание в виде штрафа в размере 3 000 рублей. Постановление от 11.11.2025 № 25-18906/3110-1 о назначении административного наказания вступило в законную силу 02.12.2025.</v>
      </c>
    </row>
    <row r="90" spans="1:11" ht="96" x14ac:dyDescent="0.2">
      <c r="A90" s="16">
        <v>86</v>
      </c>
      <c r="B90" s="29">
        <v>45999</v>
      </c>
      <c r="C90" s="17" t="s">
        <v>124</v>
      </c>
      <c r="D90" s="16" t="s">
        <v>997</v>
      </c>
      <c r="E90" s="16" t="s">
        <v>23</v>
      </c>
      <c r="F90" s="26">
        <v>3000</v>
      </c>
      <c r="G90" s="16">
        <v>3000</v>
      </c>
      <c r="H90" s="16">
        <v>5000</v>
      </c>
      <c r="I90" s="16" t="s">
        <v>1060</v>
      </c>
      <c r="J90" s="17" t="str">
        <f>VLOOKUP(E90,статьи!$G$2:$H$24,2,TRUE)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90" s="17" t="str">
        <f>VLOOKUP(A90,'компании+описание'!$A$1:$D$438,4,)</f>
        <v>По результатам рассмотрения материалов дела об административном правонарушении № ЦА-34-Гр-25-15615,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Краснову Борису Владимировичу назначено административное наказание в виде штрафа в размере 3 000 рублей. Постановление от 01.10.2025 № 25-15615/3110-1 о назначении административного наказания вступило в законную силу 06.12.2025.</v>
      </c>
    </row>
    <row r="91" spans="1:11" ht="144" x14ac:dyDescent="0.2">
      <c r="A91" s="16">
        <v>87</v>
      </c>
      <c r="B91" s="29">
        <v>45996</v>
      </c>
      <c r="C91" s="17" t="s">
        <v>125</v>
      </c>
      <c r="D91" s="16" t="s">
        <v>996</v>
      </c>
      <c r="E91" s="16" t="s">
        <v>5</v>
      </c>
      <c r="F91" s="26">
        <v>700000</v>
      </c>
      <c r="G91" s="16">
        <v>700000</v>
      </c>
      <c r="H91" s="16">
        <v>1000000</v>
      </c>
      <c r="I91" s="16" t="s">
        <v>1060</v>
      </c>
      <c r="J91" s="17" t="str">
        <f>VLOOKUP(E91,статьи!$G$2:$H$24,2,TRUE)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91" s="17" t="str">
        <f>VLOOKUP(A91,'компании+описание'!$A$1:$D$438,4,)</f>
        <v>По результатам рассмотрения материалов дела об административном правонарушении № ЦА-34-ЮЛ-25-19571, возбужденного за совершение административного правонарушения, ответственность за которое предусмотрена частью 9 статьи 15.29 КоАП РФ, ООО «МКБ Инвестиции» назначено административное наказание в виде штрафа в размере 700 000 рублей. Постановление 25-19571/3110-1 о назначении административного наказания вступило в законную силу 05.12.2025.</v>
      </c>
    </row>
    <row r="92" spans="1:11" ht="144" x14ac:dyDescent="0.2">
      <c r="A92" s="16">
        <v>88</v>
      </c>
      <c r="B92" s="29">
        <v>45996</v>
      </c>
      <c r="C92" s="17" t="s">
        <v>126</v>
      </c>
      <c r="D92" s="16" t="s">
        <v>996</v>
      </c>
      <c r="E92" s="16" t="s">
        <v>5</v>
      </c>
      <c r="F92" s="26">
        <v>700000</v>
      </c>
      <c r="G92" s="16">
        <v>700000</v>
      </c>
      <c r="H92" s="16">
        <v>1000000</v>
      </c>
      <c r="I92" s="16" t="s">
        <v>1060</v>
      </c>
      <c r="J92" s="17" t="str">
        <f>VLOOKUP(E92,статьи!$G$2:$H$24,2,TRUE)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92" s="17" t="str">
        <f>VLOOKUP(A92,'компании+описание'!$A$1:$D$438,4,)</f>
        <v>По результатам рассмотрения материалов дел об административных правонарушениях №№ ЦА-38-ЮЛ-25-18943,№ ЦА-38-ЮЛ-25-18945, объединённых в одно производство № ЦА-38-ЮЛ-25-18943, возбуждённых за совершение административного правонарушения, ответственность за которое предусмотрена частью 9 статьи 15.29 КоАП РФ, АО «НПФ «БЛАГОСОСТОЯНИЕ»  назначено административное наказание в виде штрафа в размере 700 000 рублей. Постановление вступило в законную силу 05.12.2025.</v>
      </c>
    </row>
    <row r="93" spans="1:11" ht="80" x14ac:dyDescent="0.2">
      <c r="A93" s="16">
        <v>89</v>
      </c>
      <c r="B93" s="29">
        <v>45993</v>
      </c>
      <c r="C93" s="17" t="s">
        <v>82</v>
      </c>
      <c r="D93" s="16" t="s">
        <v>996</v>
      </c>
      <c r="E93" s="16" t="s">
        <v>80</v>
      </c>
      <c r="F93" s="26">
        <v>700000</v>
      </c>
      <c r="G93" s="16">
        <v>700000</v>
      </c>
      <c r="H93" s="16">
        <v>1000000</v>
      </c>
      <c r="I93" s="16" t="s">
        <v>1060</v>
      </c>
      <c r="J93" s="17" t="str">
        <f>VLOOKUP(E93,статьи!$G$2:$H$24,2,TRUE)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93" s="17" t="str">
        <f>VLOOKUP(A93,'компании+описание'!$A$1:$D$438,4,)</f>
        <v>По результатам рассмотрения материалов дела об административном правонарушении № ЦА-38-ЮЛ-25-18851,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«Инвестиционная компания «РИКОМ-ТРАСТ» назначено административное наказание в виде штрафа в размере 700 000 рублей. Постановление вступило в законную силу 02.12.2025.</v>
      </c>
    </row>
    <row r="94" spans="1:11" ht="80" x14ac:dyDescent="0.2">
      <c r="A94" s="16">
        <v>90</v>
      </c>
      <c r="B94" s="29">
        <v>45989</v>
      </c>
      <c r="C94" s="17" t="s">
        <v>128</v>
      </c>
      <c r="D94" s="16" t="s">
        <v>996</v>
      </c>
      <c r="E94" s="16" t="s">
        <v>129</v>
      </c>
      <c r="F94" s="26">
        <v>10000</v>
      </c>
      <c r="G94" s="16">
        <v>10000</v>
      </c>
      <c r="H94" s="16">
        <v>20000</v>
      </c>
      <c r="I94" s="16" t="s">
        <v>1060</v>
      </c>
      <c r="J94" s="17" t="str">
        <f>VLOOKUP(E94,статьи!$G$2:$H$24,2,TRUE)</f>
        <v>Нарушение бюро кредитных историй установленного порядка сбора, хранения, защиты и обработки сведений, составляющих кредитную историю</v>
      </c>
      <c r="K94" s="17" t="str">
        <f>VLOOKUP(A94,'компании+описание'!$A$1:$D$438,4,)</f>
        <v>По результатам рассмотрения материалов дела об административном правонарушении № ЦА-44-ЮЛ-25-19056, возбужденного за совершение административного правонарушения, ответственность за которое предусмотрена статьей 14.30 КоАП РФ, акционерное общество «Национальное бюро кредитных историй» назначено административное наказание в виде штрафа в размере 10 000 рублей. Постановление о назначении административного наказания вступило в законную силу 28.11.2025.</v>
      </c>
    </row>
    <row r="95" spans="1:11" ht="96" x14ac:dyDescent="0.2">
      <c r="A95" s="16">
        <v>91</v>
      </c>
      <c r="B95" s="29">
        <v>45986</v>
      </c>
      <c r="C95" s="17" t="s">
        <v>82</v>
      </c>
      <c r="D95" s="16" t="s">
        <v>996</v>
      </c>
      <c r="E95" s="16" t="s">
        <v>75</v>
      </c>
      <c r="F95" s="26">
        <v>700000</v>
      </c>
      <c r="G95" s="16">
        <v>500000</v>
      </c>
      <c r="H95" s="16">
        <v>700000</v>
      </c>
      <c r="I95" s="16" t="s">
        <v>1063</v>
      </c>
      <c r="J95" s="17" t="str">
        <f>VLOOKUP(E95,статьи!$G$2:$H$24,2,TRUE)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95" s="17" t="str">
        <f>VLOOKUP(A95,'компании+описание'!$A$1:$D$438,4,)</f>
        <v>По результатам рассмотрения материалов дела об административном правонарушении № ЦА-34-ЮЛ-25-18806, возбужденного за совершение административного правонарушения, ответственность за которое предусмотрена частью 1 статьи 19.7.3 КоАП РФ, акционерному обществу «Инвестиционная компания «РИКОМ-ТРАСТ» назначено административное наказание в виде штрафа размером 700 000 (семьсот тысяч) рублей. Постановление от 10.11.2025 № 25-18806/3110-1 о назначении административного наказания вступило в законную силу 25.11.2025.</v>
      </c>
    </row>
    <row r="96" spans="1:11" ht="80" x14ac:dyDescent="0.2">
      <c r="A96" s="16">
        <v>92</v>
      </c>
      <c r="B96" s="29">
        <v>45986</v>
      </c>
      <c r="C96" s="17" t="s">
        <v>131</v>
      </c>
      <c r="D96" s="16" t="s">
        <v>996</v>
      </c>
      <c r="E96" s="16" t="s">
        <v>80</v>
      </c>
      <c r="F96" s="26">
        <v>700000</v>
      </c>
      <c r="G96" s="16">
        <v>700000</v>
      </c>
      <c r="H96" s="16">
        <v>1000000</v>
      </c>
      <c r="I96" s="16" t="s">
        <v>1060</v>
      </c>
      <c r="J96" s="17" t="str">
        <f>VLOOKUP(E96,статьи!$G$2:$H$24,2,TRUE)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96" s="17" t="str">
        <f>VLOOKUP(A96,'компании+описание'!$A$1:$D$438,4,)</f>
        <v>По результатам рассмотрения материалов дела об административном правонарушении № ЦА-38-ЮЛ-25-18589,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«ТБанк» назначено административное наказание в виде штрафа в размере 700 000 рублей. Постановление вступило в законную силу 25.11.2025.</v>
      </c>
    </row>
    <row r="97" spans="1:11" ht="80" x14ac:dyDescent="0.2">
      <c r="A97" s="16">
        <v>93</v>
      </c>
      <c r="B97" s="29">
        <v>45986</v>
      </c>
      <c r="C97" s="17" t="s">
        <v>132</v>
      </c>
      <c r="D97" s="16" t="s">
        <v>996</v>
      </c>
      <c r="E97" s="16" t="s">
        <v>80</v>
      </c>
      <c r="F97" s="26">
        <v>700000</v>
      </c>
      <c r="G97" s="16">
        <v>700000</v>
      </c>
      <c r="H97" s="16">
        <v>1000000</v>
      </c>
      <c r="I97" s="16" t="s">
        <v>1060</v>
      </c>
      <c r="J97" s="17" t="str">
        <f>VLOOKUP(E97,статьи!$G$2:$H$24,2,TRUE)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97" s="17" t="str">
        <f>VLOOKUP(A97,'компании+описание'!$A$1:$D$438,4,)</f>
        <v>По результатам рассмотрения материалов дела об административном правонарушении № ЦА-38-ЮЛ-25-18586,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«Райффайзенбанк» назначено административное наказание в виде штрафа в размере 700 000 рублей. Постановление вступило в законную силу 25.11.2025.</v>
      </c>
    </row>
    <row r="98" spans="1:11" ht="80" x14ac:dyDescent="0.2">
      <c r="A98" s="16">
        <v>94</v>
      </c>
      <c r="B98" s="29">
        <v>45986</v>
      </c>
      <c r="C98" s="17" t="s">
        <v>133</v>
      </c>
      <c r="D98" s="16" t="s">
        <v>996</v>
      </c>
      <c r="E98" s="16" t="s">
        <v>8</v>
      </c>
      <c r="F98" s="26">
        <v>160000</v>
      </c>
      <c r="G98" s="16">
        <v>300000</v>
      </c>
      <c r="H98" s="16">
        <v>500000</v>
      </c>
      <c r="I98" s="16" t="s">
        <v>1061</v>
      </c>
      <c r="J98" s="17" t="str">
        <f>VLOOKUP(E98,статьи!$G$2:$H$24,2,TRUE)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98" s="17" t="str">
        <f>VLOOKUP(A98,'компании+описание'!$A$1:$D$438,4,)</f>
        <v>По результатам рассмотрения материалов дела об административном правонарушении № ЦА-38-ЮЛ-25-18427,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Управляющей компании «Надежное управление» назначено административное наказание в виде штрафа в размере 160 000 рублей. Постановление вступило в законную силу 25.11.2025.</v>
      </c>
    </row>
    <row r="99" spans="1:11" ht="96" x14ac:dyDescent="0.2">
      <c r="A99" s="16">
        <v>95</v>
      </c>
      <c r="B99" s="29">
        <v>45985</v>
      </c>
      <c r="C99" s="17" t="s">
        <v>135</v>
      </c>
      <c r="D99" s="16" t="s">
        <v>997</v>
      </c>
      <c r="E99" s="16" t="s">
        <v>23</v>
      </c>
      <c r="F99" s="26">
        <v>3000</v>
      </c>
      <c r="G99" s="16">
        <v>3000</v>
      </c>
      <c r="H99" s="16">
        <v>5000</v>
      </c>
      <c r="I99" s="16" t="s">
        <v>1060</v>
      </c>
      <c r="J99" s="17" t="str">
        <f>VLOOKUP(E99,статьи!$G$2:$H$24,2,TRUE)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99" s="17" t="str">
        <f>VLOOKUP(A99,'компании+описание'!$A$1:$D$438,4,)</f>
        <v>По результатам рассмотрения материалов дела об административном правонарушении № ЦА-34-Гр-25-17416,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Агамировой Ламаре Бегларовне назначено административное наказание в виде штрафа в размере 3 000 рублей. Постановление от 22.10.2025 № 25-17416/3110-1 о назначении административного наказания вступило в законную силу 18.11.2025.</v>
      </c>
    </row>
    <row r="100" spans="1:11" ht="96" x14ac:dyDescent="0.2">
      <c r="A100" s="16">
        <v>96</v>
      </c>
      <c r="B100" s="29">
        <v>45985</v>
      </c>
      <c r="C100" s="17" t="s">
        <v>137</v>
      </c>
      <c r="D100" s="16" t="s">
        <v>997</v>
      </c>
      <c r="E100" s="16" t="s">
        <v>23</v>
      </c>
      <c r="F100" s="26">
        <v>3000</v>
      </c>
      <c r="G100" s="16">
        <v>3000</v>
      </c>
      <c r="H100" s="16">
        <v>5000</v>
      </c>
      <c r="I100" s="16" t="s">
        <v>1060</v>
      </c>
      <c r="J100" s="17" t="str">
        <f>VLOOKUP(E100,статьи!$G$2:$H$24,2,TRUE)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00" s="17" t="str">
        <f>VLOOKUP(A100,'компании+описание'!$A$1:$D$438,4,)</f>
        <v>По результатам рассмотрения материалов дела об административном правонарушении № ЦА-34-Гр-25-17792, возбужденного за совершение административного правонарушения, ответственность за которое предусмотрена статьей 15.30 КоАП РФ, Третьяковой Надежде Яковлевне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23.10.2025 № 25-17792/3110-1 вступило в законную силу 22.11.2025.</v>
      </c>
    </row>
    <row r="101" spans="1:11" ht="80" x14ac:dyDescent="0.2">
      <c r="A101" s="16">
        <v>97</v>
      </c>
      <c r="B101" s="29">
        <v>45985</v>
      </c>
      <c r="C101" s="17" t="s">
        <v>139</v>
      </c>
      <c r="D101" s="16" t="s">
        <v>996</v>
      </c>
      <c r="E101" s="16" t="s">
        <v>8</v>
      </c>
      <c r="F101" s="26" t="s">
        <v>11</v>
      </c>
      <c r="G101" s="16">
        <v>300000</v>
      </c>
      <c r="H101" s="16">
        <v>500000</v>
      </c>
      <c r="I101" s="16" t="s">
        <v>1062</v>
      </c>
      <c r="J101" s="17" t="str">
        <f>VLOOKUP(E101,статьи!$G$2:$H$24,2,TRUE)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01" s="17" t="str">
        <f>VLOOKUP(A101,'компании+описание'!$A$1:$D$438,4,)</f>
        <v>По результатам рассмотрения материалов дела об административном правонарушении № ЦА-38-ЮЛ-25-18242,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Управляющей компании «ФИН-Партнер» назначено административное наказание в виде предупреждения. Постановление вступило в законную силу 22.11.2025.</v>
      </c>
    </row>
    <row r="102" spans="1:11" ht="160" x14ac:dyDescent="0.2">
      <c r="A102" s="16">
        <v>98</v>
      </c>
      <c r="B102" s="29">
        <v>45985</v>
      </c>
      <c r="C102" s="17" t="s">
        <v>140</v>
      </c>
      <c r="D102" s="16" t="s">
        <v>996</v>
      </c>
      <c r="E102" s="16" t="s">
        <v>80</v>
      </c>
      <c r="F102" s="26">
        <v>350000</v>
      </c>
      <c r="G102" s="16">
        <v>700000</v>
      </c>
      <c r="H102" s="16">
        <v>1000000</v>
      </c>
      <c r="I102" s="16" t="s">
        <v>1061</v>
      </c>
      <c r="J102" s="17" t="str">
        <f>VLOOKUP(E102,статьи!$G$2:$H$24,2,TRUE)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02" s="17" t="str">
        <f>VLOOKUP(A102,'компании+описание'!$A$1:$D$438,4,)</f>
        <v>По результатам рассмотрения материалов дела об административном правонарушении № ЦА-38-ЮЛ-25-18315,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«СОЛИД Менеджмент» назначено административное наказание в виде штрафа в размере 350 000 рублей. Постановление вступило в законную силу 22.11.2025.По результатам рассмотрения материалов дела об административном правонарушении № ЦА-38-ЮЛ-25-18316,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«СОЛИД Менеджмент» назначено административное наказание в виде штрафа в размере 350 000 рублей. Постановление вступило в законную силу 22.11.2025.</v>
      </c>
    </row>
    <row r="103" spans="1:11" ht="160" x14ac:dyDescent="0.2">
      <c r="A103" s="16">
        <v>98</v>
      </c>
      <c r="B103" s="29">
        <v>45985</v>
      </c>
      <c r="C103" s="17" t="s">
        <v>140</v>
      </c>
      <c r="D103" s="16" t="s">
        <v>996</v>
      </c>
      <c r="E103" s="16" t="s">
        <v>80</v>
      </c>
      <c r="F103" s="26">
        <v>350000</v>
      </c>
      <c r="G103" s="16">
        <v>700000</v>
      </c>
      <c r="H103" s="16">
        <v>1000000</v>
      </c>
      <c r="I103" s="16" t="s">
        <v>1061</v>
      </c>
      <c r="J103" s="17" t="str">
        <f>VLOOKUP(E103,статьи!$G$2:$H$24,2,TRUE)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03" s="17" t="str">
        <f>VLOOKUP(A103,'компании+описание'!$A$1:$D$438,4,)</f>
        <v>По результатам рассмотрения материалов дела об административном правонарушении № ЦА-38-ЮЛ-25-18315,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«СОЛИД Менеджмент» назначено административное наказание в виде штрафа в размере 350 000 рублей. Постановление вступило в законную силу 22.11.2025.По результатам рассмотрения материалов дела об административном правонарушении № ЦА-38-ЮЛ-25-18316,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«СОЛИД Менеджмент» назначено административное наказание в виде штрафа в размере 350 000 рублей. Постановление вступило в законную силу 22.11.2025.</v>
      </c>
    </row>
    <row r="104" spans="1:11" ht="80" x14ac:dyDescent="0.2">
      <c r="A104" s="16">
        <v>99</v>
      </c>
      <c r="B104" s="29">
        <v>45983</v>
      </c>
      <c r="C104" s="17" t="s">
        <v>141</v>
      </c>
      <c r="D104" s="16" t="s">
        <v>996</v>
      </c>
      <c r="E104" s="16" t="s">
        <v>75</v>
      </c>
      <c r="F104" s="26" t="s">
        <v>11</v>
      </c>
      <c r="G104" s="16">
        <v>500000</v>
      </c>
      <c r="H104" s="16">
        <v>700000</v>
      </c>
      <c r="I104" s="16" t="s">
        <v>1062</v>
      </c>
      <c r="J104" s="17" t="str">
        <f>VLOOKUP(E104,статьи!$G$2:$H$24,2,TRUE)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04" s="17" t="str">
        <f>VLOOKUP(A104,'компании+описание'!$A$1:$D$438,4,)</f>
        <v>По результатам рассмотрения материалов дела об административном правонарушении № ЦА-34-ЮЛ-25-17380, возбужденного за совершение административного правонарушения, ответственность за которое предусмотрена частью 1 статьи 19.7.3 КоАП РФ, акционерному обществу АО «НРК-Р.О.С.Т.» назначено административное наказание в виде предупреждения. Постановление № ЦА-34-ЮЛ-25-17380/3120-1 о назначении административного наказания вступило в законную силу 22.11.2025.</v>
      </c>
    </row>
    <row r="105" spans="1:11" ht="144" x14ac:dyDescent="0.2">
      <c r="A105" s="16">
        <v>100</v>
      </c>
      <c r="B105" s="29">
        <v>45982</v>
      </c>
      <c r="C105" s="17" t="s">
        <v>143</v>
      </c>
      <c r="D105" s="16" t="s">
        <v>996</v>
      </c>
      <c r="E105" s="16" t="s">
        <v>72</v>
      </c>
      <c r="F105" s="26">
        <v>250000</v>
      </c>
      <c r="G105" s="16">
        <v>500000</v>
      </c>
      <c r="H105" s="16">
        <v>700000</v>
      </c>
      <c r="I105" s="16" t="s">
        <v>1061</v>
      </c>
      <c r="J105" s="17" t="str">
        <f>VLOOKUP(E105,статьи!$G$2:$H$24,2,TRUE)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105" s="17" t="str">
        <f>VLOOKUP(A105,'компании+описание'!$A$1:$D$438,4,)</f>
        <v>По результатам рассмотрения материалов дела об административном правонарушении № ЦА-34-ЮЛ-25-18104,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«НАРОДНАЯ ИНВЕСТИЦИОННАЯ ПЛАТФОРМА»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06.11.2025 № 25-18104/3110-1 вступило в законную силу 21.11.2025.</v>
      </c>
    </row>
    <row r="106" spans="1:11" ht="144" x14ac:dyDescent="0.2">
      <c r="A106" s="16">
        <v>101</v>
      </c>
      <c r="B106" s="29">
        <v>45982</v>
      </c>
      <c r="C106" s="17" t="s">
        <v>144</v>
      </c>
      <c r="D106" s="16" t="s">
        <v>996</v>
      </c>
      <c r="E106" s="16" t="s">
        <v>5</v>
      </c>
      <c r="F106" s="26">
        <v>700000</v>
      </c>
      <c r="G106" s="16">
        <v>700000</v>
      </c>
      <c r="H106" s="16">
        <v>1000000</v>
      </c>
      <c r="I106" s="16" t="s">
        <v>1060</v>
      </c>
      <c r="J106" s="17" t="str">
        <f>VLOOKUP(E106,статьи!$G$2:$H$24,2,TRUE)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106" s="17" t="str">
        <f>VLOOKUP(A106,'компании+описание'!$A$1:$D$438,4,)</f>
        <v>По результатам рассмотрения материалов дела об административном правонарушении № ЦА-38-ЮЛ-25-18151,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ВИМ Сбережения назначено административное наказание в виде штрафа в размере 700 000 рублей. Постановление вступило в законную силу 21.11.2025.</v>
      </c>
    </row>
    <row r="107" spans="1:11" ht="96" x14ac:dyDescent="0.2">
      <c r="A107" s="16">
        <v>102</v>
      </c>
      <c r="B107" s="29">
        <v>45979</v>
      </c>
      <c r="C107" s="17" t="s">
        <v>145</v>
      </c>
      <c r="D107" s="16" t="s">
        <v>997</v>
      </c>
      <c r="E107" s="16" t="s">
        <v>23</v>
      </c>
      <c r="F107" s="26">
        <v>3000</v>
      </c>
      <c r="G107" s="16">
        <v>3000</v>
      </c>
      <c r="H107" s="16">
        <v>5000</v>
      </c>
      <c r="I107" s="16" t="s">
        <v>1060</v>
      </c>
      <c r="J107" s="17" t="str">
        <f>VLOOKUP(E107,статьи!$G$2:$H$24,2,TRUE)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07" s="17" t="str">
        <f>VLOOKUP(A107,'компании+описание'!$A$1:$D$438,4,)</f>
        <v>По результатам рассмотрения материалов дела об административном правонарушении № ЦА-34-Гр-25-16099, возбужденного за совершение административного правонарушения, ответственность за которое предусмотрена статьей 15.30 КоАП РФ, Кислице Дмитрию Николаевичу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07.10.2025 № 25-16099/3110-1 вступило в законную силу 18.11.2025.</v>
      </c>
    </row>
    <row r="108" spans="1:11" ht="96" x14ac:dyDescent="0.2">
      <c r="A108" s="16">
        <v>103</v>
      </c>
      <c r="B108" s="29">
        <v>45979</v>
      </c>
      <c r="C108" s="17" t="s">
        <v>146</v>
      </c>
      <c r="D108" s="16" t="s">
        <v>997</v>
      </c>
      <c r="E108" s="16" t="s">
        <v>23</v>
      </c>
      <c r="F108" s="26">
        <v>3000</v>
      </c>
      <c r="G108" s="16">
        <v>3000</v>
      </c>
      <c r="H108" s="16">
        <v>5000</v>
      </c>
      <c r="I108" s="16" t="s">
        <v>1060</v>
      </c>
      <c r="J108" s="17" t="str">
        <f>VLOOKUP(E108,статьи!$G$2:$H$24,2,TRUE)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08" s="17" t="str">
        <f>VLOOKUP(A108,'компании+описание'!$A$1:$D$438,4,)</f>
        <v>По результатам рассмотрения материалов дела об административном правонарушении № ЦА-34-Гр-25-15319,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Гаспаряну Сергею Эдуардовичу назначено административное наказание в виде штрафа в размере 3 000 рублей. Постановление от 09.10.2025 № 25-15319/3110-1 о назначении административного наказания вступило в законную силу 18.11.2025.</v>
      </c>
    </row>
    <row r="109" spans="1:11" ht="96" x14ac:dyDescent="0.2">
      <c r="A109" s="16">
        <v>104</v>
      </c>
      <c r="B109" s="29">
        <v>45979</v>
      </c>
      <c r="C109" s="17" t="s">
        <v>147</v>
      </c>
      <c r="D109" s="16" t="s">
        <v>997</v>
      </c>
      <c r="E109" s="16" t="s">
        <v>23</v>
      </c>
      <c r="F109" s="26">
        <v>3000</v>
      </c>
      <c r="G109" s="16">
        <v>3000</v>
      </c>
      <c r="H109" s="16">
        <v>5000</v>
      </c>
      <c r="I109" s="16" t="s">
        <v>1060</v>
      </c>
      <c r="J109" s="17" t="str">
        <f>VLOOKUP(E109,статьи!$G$2:$H$24,2,TRUE)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09" s="17" t="str">
        <f>VLOOKUP(A109,'компании+описание'!$A$1:$D$438,4,)</f>
        <v>По результатам рассмотрения материалов дела об административном правонарушении № ЦА-34-Гр-25-15318,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Ледник Марие Ивановне назначено административное наказание в виде штрафа в размере 3 000 рублей. Постановление от 09.10.2025 № 25-15318/3110-1 о назначении административного наказания вступило в законную силу 18.11.2025.</v>
      </c>
    </row>
    <row r="110" spans="1:11" ht="96" x14ac:dyDescent="0.2">
      <c r="A110" s="16">
        <v>105</v>
      </c>
      <c r="B110" s="29">
        <v>45979</v>
      </c>
      <c r="C110" s="17" t="s">
        <v>148</v>
      </c>
      <c r="D110" s="16" t="s">
        <v>997</v>
      </c>
      <c r="E110" s="16" t="s">
        <v>23</v>
      </c>
      <c r="F110" s="26">
        <v>3000</v>
      </c>
      <c r="G110" s="16">
        <v>3000</v>
      </c>
      <c r="H110" s="16">
        <v>5000</v>
      </c>
      <c r="I110" s="16" t="s">
        <v>1060</v>
      </c>
      <c r="J110" s="17" t="str">
        <f>VLOOKUP(E110,статьи!$G$2:$H$24,2,TRUE)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10" s="17" t="str">
        <f>VLOOKUP(A110,'компании+описание'!$A$1:$D$438,4,)</f>
        <v>По результатам рассмотрения материалов дела об административном правонарушении № ЦА-34-Гр-25-5536,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Финку Александру Яковлевичу назначено административное наказание в виде штрафа в размере 3 000 рублей. Постановление от 02.07.2025 № 25-5536/3110-1 о назначении административного наказания вступило в законную силу 18.11.2025.</v>
      </c>
    </row>
    <row r="111" spans="1:11" ht="96" x14ac:dyDescent="0.2">
      <c r="A111" s="16">
        <v>106</v>
      </c>
      <c r="B111" s="29">
        <v>45979</v>
      </c>
      <c r="C111" s="17" t="s">
        <v>149</v>
      </c>
      <c r="D111" s="16" t="s">
        <v>997</v>
      </c>
      <c r="E111" s="16" t="s">
        <v>23</v>
      </c>
      <c r="F111" s="26">
        <v>3000</v>
      </c>
      <c r="G111" s="16">
        <v>3000</v>
      </c>
      <c r="H111" s="16">
        <v>5000</v>
      </c>
      <c r="I111" s="16" t="s">
        <v>1060</v>
      </c>
      <c r="J111" s="17" t="str">
        <f>VLOOKUP(E111,статьи!$G$2:$H$24,2,TRUE)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11" s="17" t="str">
        <f>VLOOKUP(A111,'компании+описание'!$A$1:$D$438,4,)</f>
        <v>По результатам рассмотрения материалов дела об административном правонарушении № ЦА-34-Гр-25-16748,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Когаю Геннадию Григорьевичу назначено административное наказание в виде штрафа в размере 3 000 рублей. Постановление от 14.10.2025 № 25-16748/3110-1 о назначении административного наказания вступило в законную силу 18.11.2025.</v>
      </c>
    </row>
    <row r="112" spans="1:11" ht="96" x14ac:dyDescent="0.2">
      <c r="A112" s="16">
        <v>107</v>
      </c>
      <c r="B112" s="29">
        <v>45979</v>
      </c>
      <c r="C112" s="17" t="s">
        <v>150</v>
      </c>
      <c r="D112" s="16" t="s">
        <v>997</v>
      </c>
      <c r="E112" s="16" t="s">
        <v>23</v>
      </c>
      <c r="F112" s="26">
        <v>3000</v>
      </c>
      <c r="G112" s="16">
        <v>3000</v>
      </c>
      <c r="H112" s="16">
        <v>5000</v>
      </c>
      <c r="I112" s="16" t="s">
        <v>1060</v>
      </c>
      <c r="J112" s="17" t="str">
        <f>VLOOKUP(E112,статьи!$G$2:$H$24,2,TRUE)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12" s="17" t="str">
        <f>VLOOKUP(A112,'компании+описание'!$A$1:$D$438,4,)</f>
        <v>По результатам рассмотрения материалов дела об административном правонарушении № ЦА-34-Гр-25-14728ДСП,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Багрову Дмитрию Андреевичу назначено административное наказание в виде штрафа в размере 3 000 рублей. Постановление от 07.10.2025 № 25-14728/3110-1ДСП о назначении административного наказания вступило в законную силу 18.11.2025.</v>
      </c>
    </row>
    <row r="113" spans="1:11" ht="96" x14ac:dyDescent="0.2">
      <c r="A113" s="16">
        <v>108</v>
      </c>
      <c r="B113" s="29">
        <v>45979</v>
      </c>
      <c r="C113" s="17" t="s">
        <v>151</v>
      </c>
      <c r="D113" s="16" t="s">
        <v>997</v>
      </c>
      <c r="E113" s="16" t="s">
        <v>23</v>
      </c>
      <c r="F113" s="26">
        <v>3000</v>
      </c>
      <c r="G113" s="16">
        <v>3000</v>
      </c>
      <c r="H113" s="16">
        <v>5000</v>
      </c>
      <c r="I113" s="16" t="s">
        <v>1060</v>
      </c>
      <c r="J113" s="17" t="str">
        <f>VLOOKUP(E113,статьи!$G$2:$H$24,2,TRUE)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13" s="17" t="str">
        <f>VLOOKUP(A113,'компании+описание'!$A$1:$D$438,4,)</f>
        <v>По результатам рассмотрения материалов дела об административном правонарушении № ЦА-34-Гр-25-17009,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Денисову Павлу Геннадьевичу назначено административное наказание в виде штрафа в размере 3 000 рублей. Постановление от 16.10.2025 № 25-17009/3110-1 о назначении административного наказания вступило в законную силу 18.11.2025.</v>
      </c>
    </row>
    <row r="114" spans="1:11" ht="96" x14ac:dyDescent="0.2">
      <c r="A114" s="16">
        <v>109</v>
      </c>
      <c r="B114" s="29">
        <v>45975</v>
      </c>
      <c r="C114" s="17" t="s">
        <v>153</v>
      </c>
      <c r="D114" s="16" t="s">
        <v>997</v>
      </c>
      <c r="E114" s="16" t="s">
        <v>23</v>
      </c>
      <c r="F114" s="26">
        <v>3000</v>
      </c>
      <c r="G114" s="16">
        <v>3000</v>
      </c>
      <c r="H114" s="16">
        <v>5000</v>
      </c>
      <c r="I114" s="16" t="s">
        <v>1060</v>
      </c>
      <c r="J114" s="17" t="str">
        <f>VLOOKUP(E114,статьи!$G$2:$H$24,2,TRUE)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14" s="17" t="str">
        <f>VLOOKUP(A114,'компании+описание'!$A$1:$D$438,4,)</f>
        <v>По результатам рассмотрения материалов дела об административном правонарушении № ЦА-34-Гр-25-17287, возбужденного за совершение административного правонарушения, ответственность за которое предусмотрена статьей 15.30 КоАП РФ, Бастраковой Дарье Дмитриевне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21.10.2025 № 25-17287/3110-1 вступило в законную силу 11.11.2025.</v>
      </c>
    </row>
    <row r="115" spans="1:11" ht="96" x14ac:dyDescent="0.2">
      <c r="A115" s="16">
        <v>110</v>
      </c>
      <c r="B115" s="29">
        <v>45975</v>
      </c>
      <c r="C115" s="17" t="s">
        <v>155</v>
      </c>
      <c r="D115" s="16" t="s">
        <v>997</v>
      </c>
      <c r="E115" s="16" t="s">
        <v>23</v>
      </c>
      <c r="F115" s="26">
        <v>3000</v>
      </c>
      <c r="G115" s="16">
        <v>3000</v>
      </c>
      <c r="H115" s="16">
        <v>5000</v>
      </c>
      <c r="I115" s="16" t="s">
        <v>1060</v>
      </c>
      <c r="J115" s="17" t="str">
        <f>VLOOKUP(E115,статьи!$G$2:$H$24,2,TRUE)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15" s="17" t="str">
        <f>VLOOKUP(A115,'компании+описание'!$A$1:$D$438,4,)</f>
        <v>По результатам рассмотрения материалов дела об административном правонарушении № ЦА-34-Гр-25-17288, возбужденного за совершение административного правонарушения, ответственность за которое предусмотрена статьей 15.30 КоАП РФ, Трубиной Наталье Владимировне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21.10.2025 № 25-17288/3110-1 вступило в законную силу 11.11.2025.</v>
      </c>
    </row>
    <row r="116" spans="1:11" ht="96" x14ac:dyDescent="0.2">
      <c r="A116" s="16">
        <v>111</v>
      </c>
      <c r="B116" s="29">
        <v>45974</v>
      </c>
      <c r="C116" s="17" t="s">
        <v>157</v>
      </c>
      <c r="D116" s="16" t="s">
        <v>997</v>
      </c>
      <c r="E116" s="16" t="s">
        <v>23</v>
      </c>
      <c r="F116" s="26">
        <v>3000</v>
      </c>
      <c r="G116" s="16">
        <v>3000</v>
      </c>
      <c r="H116" s="16">
        <v>5000</v>
      </c>
      <c r="I116" s="16" t="s">
        <v>1060</v>
      </c>
      <c r="J116" s="17" t="str">
        <f>VLOOKUP(E116,статьи!$G$2:$H$24,2,TRUE)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16" s="17" t="str">
        <f>VLOOKUP(A116,'компании+описание'!$A$1:$D$438,4,)</f>
        <v>По результатам рассмотрения материалов дела об административном правонарушении № ЦА-34-Гр-25-16226, возбужденного за совершение административного правонарушения, ответственность за которое предусмотрена статьей 15.30 КоАП РФ, Горячевой Елене Петровне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08.10.2025 № 25-16226/3110-1 вступило в законную силу 08.11.2025.</v>
      </c>
    </row>
    <row r="117" spans="1:11" ht="96" x14ac:dyDescent="0.2">
      <c r="A117" s="16">
        <v>112</v>
      </c>
      <c r="B117" s="29">
        <v>45973</v>
      </c>
      <c r="C117" s="17" t="s">
        <v>159</v>
      </c>
      <c r="D117" s="16" t="s">
        <v>997</v>
      </c>
      <c r="E117" s="16" t="s">
        <v>23</v>
      </c>
      <c r="F117" s="26">
        <v>3000</v>
      </c>
      <c r="G117" s="16">
        <v>3000</v>
      </c>
      <c r="H117" s="16">
        <v>5000</v>
      </c>
      <c r="I117" s="16" t="s">
        <v>1060</v>
      </c>
      <c r="J117" s="17" t="str">
        <f>VLOOKUP(E117,статьи!$G$2:$H$24,2,TRUE)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17" s="17" t="str">
        <f>VLOOKUP(A117,'компании+описание'!$A$1:$D$438,4,)</f>
        <v>По результатам рассмотрения материалов дела об административном правонарушении № ЦА-34-Гр-25-16382, возбужденного за совершение административного правонарушения, ответственность за которое предусмотрена статьей 15.30 КоАП РФ, Медюху Игорю Иосифовичу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09.10.2025 № 25-16382/3110-1 вступило в законную силу 12.11.2025.</v>
      </c>
    </row>
    <row r="118" spans="1:11" ht="96" x14ac:dyDescent="0.2">
      <c r="A118" s="16">
        <v>113</v>
      </c>
      <c r="B118" s="29">
        <v>45973</v>
      </c>
      <c r="C118" s="17" t="s">
        <v>160</v>
      </c>
      <c r="D118" s="16" t="s">
        <v>997</v>
      </c>
      <c r="E118" s="16" t="s">
        <v>23</v>
      </c>
      <c r="F118" s="26">
        <v>3000</v>
      </c>
      <c r="G118" s="16">
        <v>3000</v>
      </c>
      <c r="H118" s="16">
        <v>5000</v>
      </c>
      <c r="I118" s="16" t="s">
        <v>1060</v>
      </c>
      <c r="J118" s="17" t="str">
        <f>VLOOKUP(E118,статьи!$G$2:$H$24,2,TRUE)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18" s="17" t="str">
        <f>VLOOKUP(A118,'компании+описание'!$A$1:$D$438,4,)</f>
        <v>По результатам рассмотрения материалов дела об административном правонарушении № ЦА-34-Гр-25-16383, возбужденного за совершение административного правонарушения, ответственность за которое предусмотрена статьей 15.30 КоАП РФ, Медюх Елене Геннадьевне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09.10.2025 № 25-16383/3110-1 вступило в законную силу 12.11.2025.</v>
      </c>
    </row>
    <row r="119" spans="1:11" ht="96" x14ac:dyDescent="0.2">
      <c r="A119" s="16">
        <v>114</v>
      </c>
      <c r="B119" s="29">
        <v>45973</v>
      </c>
      <c r="C119" s="17" t="s">
        <v>161</v>
      </c>
      <c r="D119" s="16" t="s">
        <v>997</v>
      </c>
      <c r="E119" s="16" t="s">
        <v>23</v>
      </c>
      <c r="F119" s="26">
        <v>3000</v>
      </c>
      <c r="G119" s="16">
        <v>3000</v>
      </c>
      <c r="H119" s="16">
        <v>5000</v>
      </c>
      <c r="I119" s="16" t="s">
        <v>1060</v>
      </c>
      <c r="J119" s="17" t="str">
        <f>VLOOKUP(E119,статьи!$G$2:$H$24,2,TRUE)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19" s="17" t="str">
        <f>VLOOKUP(A119,'компании+описание'!$A$1:$D$438,4,)</f>
        <v>По результатам рассмотрения материалов дела об административном правонарушении № ЦА-34-Гр-25-16139, возбужденного за совершение административного правонарушения, ответственность за которое предусмотрена статьей 15.30 КоАП РФ, Байковой Анастасии Юрьевне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07.10.2025 № 25-16139/3110-1 вступило в законную силу 12.11.2025.</v>
      </c>
    </row>
    <row r="120" spans="1:11" ht="96" x14ac:dyDescent="0.2">
      <c r="A120" s="16">
        <v>115</v>
      </c>
      <c r="B120" s="29">
        <v>45972</v>
      </c>
      <c r="C120" s="17" t="s">
        <v>162</v>
      </c>
      <c r="D120" s="16" t="s">
        <v>997</v>
      </c>
      <c r="E120" s="16" t="s">
        <v>23</v>
      </c>
      <c r="F120" s="26">
        <v>3000</v>
      </c>
      <c r="G120" s="16">
        <v>3000</v>
      </c>
      <c r="H120" s="16">
        <v>5000</v>
      </c>
      <c r="I120" s="16" t="s">
        <v>1060</v>
      </c>
      <c r="J120" s="17" t="str">
        <f>VLOOKUP(E120,статьи!$G$2:$H$24,2,TRUE)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20" s="17" t="str">
        <f>VLOOKUP(A120,'компании+описание'!$A$1:$D$438,4,)</f>
        <v>По результатам рассмотрения материалов дела об административном правонарушении № ЦА-34-Гр-25-16637, возбужденного за совершение административного правонарушения, ответственность за которое предусмотрена статьей 15.30 КоАП РФ, Бурыкиной Оксане Валентиновне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13.10.2025 № 25-16637/3110-1 вступило в законную силу 11.11.2025.</v>
      </c>
    </row>
    <row r="121" spans="1:11" ht="96" x14ac:dyDescent="0.2">
      <c r="A121" s="16">
        <v>116</v>
      </c>
      <c r="B121" s="29">
        <v>45972</v>
      </c>
      <c r="C121" s="17" t="s">
        <v>163</v>
      </c>
      <c r="D121" s="16" t="s">
        <v>997</v>
      </c>
      <c r="E121" s="16" t="s">
        <v>23</v>
      </c>
      <c r="F121" s="26">
        <v>3000</v>
      </c>
      <c r="G121" s="16">
        <v>3000</v>
      </c>
      <c r="H121" s="16">
        <v>5000</v>
      </c>
      <c r="I121" s="16" t="s">
        <v>1060</v>
      </c>
      <c r="J121" s="17" t="str">
        <f>VLOOKUP(E121,статьи!$G$2:$H$24,2,TRUE)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21" s="17" t="str">
        <f>VLOOKUP(A121,'компании+описание'!$A$1:$D$438,4,)</f>
        <v>По результатам рассмотрения материалов дела об административном правонарушении № ЦА-34-Гр-25-16084, возбужденного за совершение административного правонарушения, ответственность за которое предусмотрена статьей 15.30 КоАП РФ, Кислице Егору Дмитриевичу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07.10.2025 № 25-16084/3110-1 вступило в законную силу 11.11.2025.</v>
      </c>
    </row>
    <row r="122" spans="1:11" ht="96" x14ac:dyDescent="0.2">
      <c r="A122" s="16">
        <v>117</v>
      </c>
      <c r="B122" s="29">
        <v>45972</v>
      </c>
      <c r="C122" s="17" t="s">
        <v>164</v>
      </c>
      <c r="D122" s="16" t="s">
        <v>997</v>
      </c>
      <c r="E122" s="16" t="s">
        <v>23</v>
      </c>
      <c r="F122" s="26">
        <v>3000</v>
      </c>
      <c r="G122" s="16">
        <v>3000</v>
      </c>
      <c r="H122" s="16">
        <v>5000</v>
      </c>
      <c r="I122" s="16" t="s">
        <v>1060</v>
      </c>
      <c r="J122" s="17" t="str">
        <f>VLOOKUP(E122,статьи!$G$2:$H$24,2,TRUE)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22" s="17" t="str">
        <f>VLOOKUP(A122,'компании+описание'!$A$1:$D$438,4,)</f>
        <v>По результатам рассмотрения материалов дела об административном правонарушении № ЦА-34-Гр-25-15739, возбужденного за совершение административного правонарушения, ответственность за которое предусмотрена статьей 15.30 КоАП РФ, Савиной Александре Юрьевне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02.10.2025 № 25-15739/3110-1 вступило в законную силу 11.11.2025.</v>
      </c>
    </row>
    <row r="123" spans="1:11" ht="96" x14ac:dyDescent="0.2">
      <c r="A123" s="16">
        <v>118</v>
      </c>
      <c r="B123" s="29">
        <v>45972</v>
      </c>
      <c r="C123" s="17" t="s">
        <v>165</v>
      </c>
      <c r="D123" s="16" t="s">
        <v>997</v>
      </c>
      <c r="E123" s="16" t="s">
        <v>23</v>
      </c>
      <c r="F123" s="26">
        <v>3000</v>
      </c>
      <c r="G123" s="16">
        <v>3000</v>
      </c>
      <c r="H123" s="16">
        <v>5000</v>
      </c>
      <c r="I123" s="16" t="s">
        <v>1060</v>
      </c>
      <c r="J123" s="17" t="str">
        <f>VLOOKUP(E123,статьи!$G$2:$H$24,2,TRUE)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23" s="17" t="str">
        <f>VLOOKUP(A123,'компании+описание'!$A$1:$D$438,4,)</f>
        <v>По результатам рассмотрения материалов дела об административном правонарушении № ЦА-34-Гр-25-15746, возбужденного за совершение административного правонарушения, ответственность за которое предусмотрена статьей 15.30 КоАП РФ, Комарову Михаилу Владимировичу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02.10.2025 № 25-15746/3110-1 вступило в законную силу 11.11.2025.</v>
      </c>
    </row>
    <row r="124" spans="1:11" ht="240" x14ac:dyDescent="0.2">
      <c r="A124" s="16">
        <v>119</v>
      </c>
      <c r="B124" s="29">
        <v>45972</v>
      </c>
      <c r="C124" s="17" t="s">
        <v>166</v>
      </c>
      <c r="D124" s="16" t="s">
        <v>996</v>
      </c>
      <c r="E124" s="16" t="s">
        <v>167</v>
      </c>
      <c r="F124" s="26">
        <v>50000</v>
      </c>
      <c r="G124" s="16">
        <v>30000</v>
      </c>
      <c r="H124" s="16">
        <v>50000</v>
      </c>
      <c r="I124" s="16" t="s">
        <v>1063</v>
      </c>
      <c r="J124" s="17" t="str">
        <f>VLOOKUP(E124,статьи!$G$2:$H$24,2,TRUE)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24" s="17" t="str">
        <f>VLOOKUP(A124,'компании+описание'!$A$1:$D$438,4,)</f>
        <v>По результатам рассмотрения материалов дела об административном правонарушении № ЦА-44-ЮЛ-25-17809, возбужденного за совершение административного правонарушения, ответственность за которое предусмотрена частью 2 статьи 5.54 КоАП РФ, акционерное общество «Объединенное Кредитное Бюро» назначено административное наказание в виде штрафа в размере 50 000 рублей. Постановление о назначении административного наказания вступило в законную силу 11.11.2025.По результатам рассмотрения материалов дела об административном правонарушении № ЦА-44-ЮЛ-25-17990, возбужденного за совершение административного правонарушения, ответственность за которое предусмотрена частью 1 статьи 5.54 КоАП РФ, акционерное общество «Объединенное Кредитное Бюро» назначено административное наказание в виде штрафа в размере 20 000 рублей. Постановление о назначении административного наказания вступило в законную силу 11.11.2025.По результатам рассмотрения материалов дела об административном правонарушении № ЦА-44-ЮЛ-25-17996, возбужденного за совершение административного правонарушения, ответственность за которое предусмотрена частью 1 статьи 5.54 КоАП РФ, акционерное общество «Объединенное Кредитное Бюро» назначено административное наказание в виде штрафа в размере 20 000 рублей. Постановление о назначении административного наказания вступило в законную силу 11.11.2025.</v>
      </c>
    </row>
    <row r="125" spans="1:11" ht="240" x14ac:dyDescent="0.2">
      <c r="A125" s="16">
        <v>119</v>
      </c>
      <c r="B125" s="29">
        <v>45972</v>
      </c>
      <c r="C125" s="17" t="s">
        <v>166</v>
      </c>
      <c r="D125" s="16" t="s">
        <v>996</v>
      </c>
      <c r="E125" s="16" t="s">
        <v>168</v>
      </c>
      <c r="F125" s="26">
        <v>20000</v>
      </c>
      <c r="G125" s="16">
        <v>10000</v>
      </c>
      <c r="H125" s="16">
        <v>20000</v>
      </c>
      <c r="I125" s="16" t="s">
        <v>1063</v>
      </c>
      <c r="J125" s="17" t="str">
        <f>VLOOKUP(E125,статьи!$G$2:$H$24,2,TRUE)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25" s="17" t="str">
        <f>VLOOKUP(A125,'компании+описание'!$A$1:$D$438,4,)</f>
        <v>По результатам рассмотрения материалов дела об административном правонарушении № ЦА-44-ЮЛ-25-17809, возбужденного за совершение административного правонарушения, ответственность за которое предусмотрена частью 2 статьи 5.54 КоАП РФ, акционерное общество «Объединенное Кредитное Бюро» назначено административное наказание в виде штрафа в размере 50 000 рублей. Постановление о назначении административного наказания вступило в законную силу 11.11.2025.По результатам рассмотрения материалов дела об административном правонарушении № ЦА-44-ЮЛ-25-17990, возбужденного за совершение административного правонарушения, ответственность за которое предусмотрена частью 1 статьи 5.54 КоАП РФ, акционерное общество «Объединенное Кредитное Бюро» назначено административное наказание в виде штрафа в размере 20 000 рублей. Постановление о назначении административного наказания вступило в законную силу 11.11.2025.По результатам рассмотрения материалов дела об административном правонарушении № ЦА-44-ЮЛ-25-17996, возбужденного за совершение административного правонарушения, ответственность за которое предусмотрена частью 1 статьи 5.54 КоАП РФ, акционерное общество «Объединенное Кредитное Бюро» назначено административное наказание в виде штрафа в размере 20 000 рублей. Постановление о назначении административного наказания вступило в законную силу 11.11.2025.</v>
      </c>
    </row>
    <row r="126" spans="1:11" ht="240" x14ac:dyDescent="0.2">
      <c r="A126" s="16">
        <v>119</v>
      </c>
      <c r="B126" s="29">
        <v>45972</v>
      </c>
      <c r="C126" s="17" t="s">
        <v>166</v>
      </c>
      <c r="D126" s="16" t="s">
        <v>996</v>
      </c>
      <c r="E126" s="16" t="s">
        <v>168</v>
      </c>
      <c r="F126" s="26">
        <v>20000</v>
      </c>
      <c r="G126" s="16">
        <v>10000</v>
      </c>
      <c r="H126" s="16">
        <v>20000</v>
      </c>
      <c r="I126" s="16" t="s">
        <v>1063</v>
      </c>
      <c r="J126" s="17" t="str">
        <f>VLOOKUP(E126,статьи!$G$2:$H$24,2,TRUE)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26" s="17" t="str">
        <f>VLOOKUP(A126,'компании+описание'!$A$1:$D$438,4,)</f>
        <v>По результатам рассмотрения материалов дела об административном правонарушении № ЦА-44-ЮЛ-25-17809, возбужденного за совершение административного правонарушения, ответственность за которое предусмотрена частью 2 статьи 5.54 КоАП РФ, акционерное общество «Объединенное Кредитное Бюро» назначено административное наказание в виде штрафа в размере 50 000 рублей. Постановление о назначении административного наказания вступило в законную силу 11.11.2025.По результатам рассмотрения материалов дела об административном правонарушении № ЦА-44-ЮЛ-25-17990, возбужденного за совершение административного правонарушения, ответственность за которое предусмотрена частью 1 статьи 5.54 КоАП РФ, акционерное общество «Объединенное Кредитное Бюро» назначено административное наказание в виде штрафа в размере 20 000 рублей. Постановление о назначении административного наказания вступило в законную силу 11.11.2025.По результатам рассмотрения материалов дела об административном правонарушении № ЦА-44-ЮЛ-25-17996, возбужденного за совершение административного правонарушения, ответственность за которое предусмотрена частью 1 статьи 5.54 КоАП РФ, акционерное общество «Объединенное Кредитное Бюро» назначено административное наказание в виде штрафа в размере 20 000 рублей. Постановление о назначении административного наказания вступило в законную силу 11.11.2025.</v>
      </c>
    </row>
    <row r="127" spans="1:11" ht="80" x14ac:dyDescent="0.2">
      <c r="A127" s="16">
        <v>120</v>
      </c>
      <c r="B127" s="29">
        <v>45972</v>
      </c>
      <c r="C127" s="17" t="s">
        <v>140</v>
      </c>
      <c r="D127" s="16" t="s">
        <v>996</v>
      </c>
      <c r="E127" s="16" t="s">
        <v>8</v>
      </c>
      <c r="F127" s="26">
        <v>150000</v>
      </c>
      <c r="G127" s="16">
        <v>300000</v>
      </c>
      <c r="H127" s="16">
        <v>500000</v>
      </c>
      <c r="I127" s="16" t="s">
        <v>1061</v>
      </c>
      <c r="J127" s="17" t="str">
        <f>VLOOKUP(E127,статьи!$G$2:$H$24,2,TRUE)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27" s="17" t="str">
        <f>VLOOKUP(A127,'компании+описание'!$A$1:$D$438,4,)</f>
        <v>По результатам рассмотрения материалов дела об административном правонарушении № ЦА-38-ЮЛ-25-17410,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«СОЛИД Менеджмент» назначено административное наказание в виде штрафа в размере 150 000 рублей. Постановление вступило в законную силу 11.11.2025.</v>
      </c>
    </row>
    <row r="128" spans="1:11" ht="80" x14ac:dyDescent="0.2">
      <c r="A128" s="16">
        <v>121</v>
      </c>
      <c r="B128" s="29">
        <v>45972</v>
      </c>
      <c r="C128" s="17" t="s">
        <v>169</v>
      </c>
      <c r="D128" s="16" t="s">
        <v>996</v>
      </c>
      <c r="E128" s="16" t="s">
        <v>83</v>
      </c>
      <c r="F128" s="26">
        <v>550000</v>
      </c>
      <c r="G128" s="16">
        <v>500000</v>
      </c>
      <c r="H128" s="16">
        <v>700000</v>
      </c>
      <c r="I128" s="16" t="s">
        <v>1059</v>
      </c>
      <c r="J128" s="17" t="str">
        <f>VLOOKUP(E128,статьи!$G$2:$H$24,2,TRUE)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28" s="17" t="str">
        <f>VLOOKUP(A128,'компании+описание'!$A$1:$D$438,4,)</f>
        <v>По результатам рассмотрения материалов дела об административном правонарушении № ЦА-38-ЮЛ-25-17303, возбужденного за совершение административного правонарушения, ответственность за которое предусмотрена частью 2 статьи 15.29 КоАП РФ, Акционерному обществу Инвестиционно-финансовой компании «Солид» назначено административное наказание в виде штрафа в размере 550 000 рублей. Постановление вступило в законную силу 11.11.2025.</v>
      </c>
    </row>
    <row r="129" spans="1:11" ht="409.6" x14ac:dyDescent="0.2">
      <c r="A129" s="16">
        <v>122</v>
      </c>
      <c r="B129" s="29">
        <v>45972</v>
      </c>
      <c r="C129" s="17" t="s">
        <v>170</v>
      </c>
      <c r="D129" s="16" t="s">
        <v>996</v>
      </c>
      <c r="E129" s="16" t="s">
        <v>5</v>
      </c>
      <c r="F129" s="26">
        <v>350000</v>
      </c>
      <c r="G129" s="16">
        <v>700000</v>
      </c>
      <c r="H129" s="16">
        <v>1000000</v>
      </c>
      <c r="I129" s="16" t="s">
        <v>1061</v>
      </c>
      <c r="J129" s="17" t="str">
        <f>VLOOKUP(E129,статьи!$G$2:$H$24,2,TRUE)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129" s="17" t="str">
        <f>VLOOKUP(A129,'компании+описание'!$A$1:$D$438,4,)</f>
        <v>По результатам рассмотрения материалов дела об административном правонарушении № ЦА-38-ЮЛ-25-16579,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ЦА-38-ЮЛ-25-16581,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ЦА-38-ЮЛ-25-16610,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ЦА-38-ЮЛ-25-16613,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ЦА-38-ЮЛ-25-16649,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ЦА-38-ЮЛ-25-16788,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ЦА-38-ЮЛ-25-16907,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v>
      </c>
    </row>
    <row r="130" spans="1:11" ht="409.6" x14ac:dyDescent="0.2">
      <c r="A130" s="16">
        <v>122</v>
      </c>
      <c r="B130" s="29">
        <v>45972</v>
      </c>
      <c r="C130" s="17" t="s">
        <v>170</v>
      </c>
      <c r="D130" s="16" t="s">
        <v>996</v>
      </c>
      <c r="E130" s="16" t="s">
        <v>5</v>
      </c>
      <c r="F130" s="26">
        <v>350000</v>
      </c>
      <c r="G130" s="16">
        <v>700000</v>
      </c>
      <c r="H130" s="16">
        <v>1000000</v>
      </c>
      <c r="I130" s="16" t="s">
        <v>1061</v>
      </c>
      <c r="J130" s="17" t="str">
        <f>VLOOKUP(E130,статьи!$G$2:$H$24,2,TRUE)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130" s="17" t="str">
        <f>VLOOKUP(A130,'компании+описание'!$A$1:$D$438,4,)</f>
        <v>По результатам рассмотрения материалов дела об административном правонарушении № ЦА-38-ЮЛ-25-16579,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ЦА-38-ЮЛ-25-16581,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ЦА-38-ЮЛ-25-16610,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ЦА-38-ЮЛ-25-16613,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ЦА-38-ЮЛ-25-16649,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ЦА-38-ЮЛ-25-16788,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ЦА-38-ЮЛ-25-16907,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v>
      </c>
    </row>
    <row r="131" spans="1:11" ht="409.6" x14ac:dyDescent="0.2">
      <c r="A131" s="16">
        <v>122</v>
      </c>
      <c r="B131" s="29">
        <v>45972</v>
      </c>
      <c r="C131" s="17" t="s">
        <v>170</v>
      </c>
      <c r="D131" s="16" t="s">
        <v>996</v>
      </c>
      <c r="E131" s="16" t="s">
        <v>5</v>
      </c>
      <c r="F131" s="26">
        <v>350000</v>
      </c>
      <c r="G131" s="16">
        <v>700000</v>
      </c>
      <c r="H131" s="16">
        <v>1000000</v>
      </c>
      <c r="I131" s="16" t="s">
        <v>1061</v>
      </c>
      <c r="J131" s="17" t="str">
        <f>VLOOKUP(E131,статьи!$G$2:$H$24,2,TRUE)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131" s="17" t="str">
        <f>VLOOKUP(A131,'компании+описание'!$A$1:$D$438,4,)</f>
        <v>По результатам рассмотрения материалов дела об административном правонарушении № ЦА-38-ЮЛ-25-16579,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ЦА-38-ЮЛ-25-16581,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ЦА-38-ЮЛ-25-16610,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ЦА-38-ЮЛ-25-16613,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ЦА-38-ЮЛ-25-16649,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ЦА-38-ЮЛ-25-16788,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ЦА-38-ЮЛ-25-16907,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v>
      </c>
    </row>
    <row r="132" spans="1:11" ht="409.6" x14ac:dyDescent="0.2">
      <c r="A132" s="16">
        <v>122</v>
      </c>
      <c r="B132" s="29">
        <v>45972</v>
      </c>
      <c r="C132" s="17" t="s">
        <v>170</v>
      </c>
      <c r="D132" s="16" t="s">
        <v>996</v>
      </c>
      <c r="E132" s="16" t="s">
        <v>5</v>
      </c>
      <c r="F132" s="26">
        <v>350000</v>
      </c>
      <c r="G132" s="16">
        <v>700000</v>
      </c>
      <c r="H132" s="16">
        <v>1000000</v>
      </c>
      <c r="I132" s="16" t="s">
        <v>1061</v>
      </c>
      <c r="J132" s="17" t="str">
        <f>VLOOKUP(E132,статьи!$G$2:$H$24,2,TRUE)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132" s="17" t="str">
        <f>VLOOKUP(A132,'компании+описание'!$A$1:$D$438,4,)</f>
        <v>По результатам рассмотрения материалов дела об административном правонарушении № ЦА-38-ЮЛ-25-16579,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ЦА-38-ЮЛ-25-16581,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ЦА-38-ЮЛ-25-16610,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ЦА-38-ЮЛ-25-16613,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ЦА-38-ЮЛ-25-16649,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ЦА-38-ЮЛ-25-16788,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ЦА-38-ЮЛ-25-16907,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v>
      </c>
    </row>
    <row r="133" spans="1:11" ht="409.6" x14ac:dyDescent="0.2">
      <c r="A133" s="16">
        <v>122</v>
      </c>
      <c r="B133" s="29">
        <v>45972</v>
      </c>
      <c r="C133" s="17" t="s">
        <v>170</v>
      </c>
      <c r="D133" s="16" t="s">
        <v>996</v>
      </c>
      <c r="E133" s="16" t="s">
        <v>5</v>
      </c>
      <c r="F133" s="26">
        <v>350000</v>
      </c>
      <c r="G133" s="16">
        <v>700000</v>
      </c>
      <c r="H133" s="16">
        <v>1000000</v>
      </c>
      <c r="I133" s="16" t="s">
        <v>1061</v>
      </c>
      <c r="J133" s="17" t="str">
        <f>VLOOKUP(E133,статьи!$G$2:$H$24,2,TRUE)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133" s="17" t="str">
        <f>VLOOKUP(A133,'компании+описание'!$A$1:$D$438,4,)</f>
        <v>По результатам рассмотрения материалов дела об административном правонарушении № ЦА-38-ЮЛ-25-16579,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ЦА-38-ЮЛ-25-16581,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ЦА-38-ЮЛ-25-16610,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ЦА-38-ЮЛ-25-16613,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ЦА-38-ЮЛ-25-16649,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ЦА-38-ЮЛ-25-16788,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ЦА-38-ЮЛ-25-16907,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v>
      </c>
    </row>
    <row r="134" spans="1:11" ht="409.6" x14ac:dyDescent="0.2">
      <c r="A134" s="16">
        <v>122</v>
      </c>
      <c r="B134" s="29">
        <v>45972</v>
      </c>
      <c r="C134" s="17" t="s">
        <v>170</v>
      </c>
      <c r="D134" s="16" t="s">
        <v>996</v>
      </c>
      <c r="E134" s="16" t="s">
        <v>5</v>
      </c>
      <c r="F134" s="26">
        <v>350000</v>
      </c>
      <c r="G134" s="16">
        <v>700000</v>
      </c>
      <c r="H134" s="16">
        <v>1000000</v>
      </c>
      <c r="I134" s="16" t="s">
        <v>1061</v>
      </c>
      <c r="J134" s="17" t="str">
        <f>VLOOKUP(E134,статьи!$G$2:$H$24,2,TRUE)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134" s="17" t="str">
        <f>VLOOKUP(A134,'компании+описание'!$A$1:$D$438,4,)</f>
        <v>По результатам рассмотрения материалов дела об административном правонарушении № ЦА-38-ЮЛ-25-16579,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ЦА-38-ЮЛ-25-16581,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ЦА-38-ЮЛ-25-16610,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ЦА-38-ЮЛ-25-16613,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ЦА-38-ЮЛ-25-16649,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ЦА-38-ЮЛ-25-16788,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ЦА-38-ЮЛ-25-16907,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v>
      </c>
    </row>
    <row r="135" spans="1:11" ht="409.6" x14ac:dyDescent="0.2">
      <c r="A135" s="16">
        <v>122</v>
      </c>
      <c r="B135" s="29">
        <v>45972</v>
      </c>
      <c r="C135" s="17" t="s">
        <v>170</v>
      </c>
      <c r="D135" s="16" t="s">
        <v>996</v>
      </c>
      <c r="E135" s="16" t="s">
        <v>5</v>
      </c>
      <c r="F135" s="26">
        <v>350000</v>
      </c>
      <c r="G135" s="16">
        <v>700000</v>
      </c>
      <c r="H135" s="16">
        <v>1000000</v>
      </c>
      <c r="I135" s="16" t="s">
        <v>1061</v>
      </c>
      <c r="J135" s="17" t="str">
        <f>VLOOKUP(E135,статьи!$G$2:$H$24,2,TRUE)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135" s="17" t="str">
        <f>VLOOKUP(A135,'компании+описание'!$A$1:$D$438,4,)</f>
        <v>По результатам рассмотрения материалов дела об административном правонарушении № ЦА-38-ЮЛ-25-16579,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ЦА-38-ЮЛ-25-16581,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ЦА-38-ЮЛ-25-16610,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ЦА-38-ЮЛ-25-16613,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ЦА-38-ЮЛ-25-16649,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ЦА-38-ЮЛ-25-16788,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ЦА-38-ЮЛ-25-16907,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v>
      </c>
    </row>
    <row r="136" spans="1:11" ht="144" x14ac:dyDescent="0.2">
      <c r="A136" s="16">
        <v>123</v>
      </c>
      <c r="B136" s="29">
        <v>45972</v>
      </c>
      <c r="C136" s="17" t="s">
        <v>99</v>
      </c>
      <c r="D136" s="16" t="s">
        <v>996</v>
      </c>
      <c r="E136" s="16" t="s">
        <v>7</v>
      </c>
      <c r="F136" s="26">
        <v>700000</v>
      </c>
      <c r="G136" s="16">
        <v>700000</v>
      </c>
      <c r="H136" s="16">
        <v>1000000</v>
      </c>
      <c r="I136" s="16" t="s">
        <v>1060</v>
      </c>
      <c r="J136" s="17" t="str">
        <f>VLOOKUP(E136,статьи!$G$2:$H$24,2,TRUE)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136" s="17" t="str">
        <f>VLOOKUP(A136,'компании+описание'!$A$1:$D$438,4,)</f>
        <v>По результатам рассмотрения материалов дела об административном правонарушении № ЦА-38-ЮЛ-25-17499, возбужденного за совершение административного правонарушения, ответственность за которое предусмотрена частью 6 статьи 15.29 КоАП РФ, Акционерному обществу «Управляющая компания «Первая» назначено административное наказание в виде штрафа в размере 700 000 рублей. Постановление вступило в законную силу 11.11.2025.</v>
      </c>
    </row>
    <row r="137" spans="1:11" ht="96" x14ac:dyDescent="0.2">
      <c r="A137" s="16">
        <v>124</v>
      </c>
      <c r="B137" s="29">
        <v>45971</v>
      </c>
      <c r="C137" s="17" t="s">
        <v>59</v>
      </c>
      <c r="D137" s="16" t="s">
        <v>997</v>
      </c>
      <c r="E137" s="16" t="s">
        <v>23</v>
      </c>
      <c r="F137" s="26">
        <v>3000</v>
      </c>
      <c r="G137" s="16">
        <v>3000</v>
      </c>
      <c r="H137" s="16">
        <v>5000</v>
      </c>
      <c r="I137" s="16" t="s">
        <v>1060</v>
      </c>
      <c r="J137" s="17" t="str">
        <f>VLOOKUP(E137,статьи!$G$2:$H$24,2,TRUE)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37" s="17" t="str">
        <f>VLOOKUP(A137,'компании+описание'!$A$1:$D$438,4,)</f>
        <v>По результатам рассмотрения материалов дела об административном правонарушении № ЦА-34-Гр-25-16635, возбужденного за совершение административного правонарушения, ответственность за которое предусмотрена статьей 15.30 КоАП РФ, Бурыкину Ивану Терентьевичу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13.10.2025 № 25-16635/3110-1 вступило в законную силу 01.11.2025.</v>
      </c>
    </row>
    <row r="138" spans="1:11" ht="96" x14ac:dyDescent="0.2">
      <c r="A138" s="16">
        <v>125</v>
      </c>
      <c r="B138" s="29">
        <v>45971</v>
      </c>
      <c r="C138" s="17" t="s">
        <v>173</v>
      </c>
      <c r="D138" s="16" t="s">
        <v>997</v>
      </c>
      <c r="E138" s="16" t="s">
        <v>23</v>
      </c>
      <c r="F138" s="26">
        <v>3000</v>
      </c>
      <c r="G138" s="16">
        <v>3000</v>
      </c>
      <c r="H138" s="16">
        <v>5000</v>
      </c>
      <c r="I138" s="16" t="s">
        <v>1060</v>
      </c>
      <c r="J138" s="17" t="str">
        <f>VLOOKUP(E138,статьи!$G$2:$H$24,2,TRUE)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38" s="17" t="str">
        <f>VLOOKUP(A138,'компании+описание'!$A$1:$D$438,4,)</f>
        <v>По результатам рассмотрения материалов дела об административном правонарушении № ЦА-34-Гр-25-16604, возбужденного за совершение административного правонарушения, ответственность за которое предусмотрена статьей 15.30 КоАП РФ, Глазковой Екатерине Николаевне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13.10.2025 № 25-16604/3110-1 вступило в законную силу 08.11.2025.</v>
      </c>
    </row>
    <row r="139" spans="1:11" ht="96" x14ac:dyDescent="0.2">
      <c r="A139" s="16">
        <v>126</v>
      </c>
      <c r="B139" s="29">
        <v>45971</v>
      </c>
      <c r="C139" s="17" t="s">
        <v>174</v>
      </c>
      <c r="D139" s="16" t="s">
        <v>997</v>
      </c>
      <c r="E139" s="16" t="s">
        <v>23</v>
      </c>
      <c r="F139" s="26">
        <v>3000</v>
      </c>
      <c r="G139" s="16">
        <v>3000</v>
      </c>
      <c r="H139" s="16">
        <v>5000</v>
      </c>
      <c r="I139" s="16" t="s">
        <v>1060</v>
      </c>
      <c r="J139" s="17" t="str">
        <f>VLOOKUP(E139,статьи!$G$2:$H$24,2,TRUE)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39" s="17" t="str">
        <f>VLOOKUP(A139,'компании+описание'!$A$1:$D$438,4,)</f>
        <v>По результатам рассмотрения материалов дела об административном правонарушении № ЦА-34-Гр-25-16599, возбужденного за совершение административного правонарушения, ответственность за которое предусмотрена статьей 15.30 КоАП РФ, Глазкову Алексею Геннадьевичу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13.10.2025 № 25-16599/3110-1 вступило в законную силу 08.11.2025.</v>
      </c>
    </row>
    <row r="140" spans="1:11" ht="96" x14ac:dyDescent="0.2">
      <c r="A140" s="16">
        <v>127</v>
      </c>
      <c r="B140" s="29">
        <v>45971</v>
      </c>
      <c r="C140" s="17" t="s">
        <v>175</v>
      </c>
      <c r="D140" s="16" t="s">
        <v>997</v>
      </c>
      <c r="E140" s="16" t="s">
        <v>23</v>
      </c>
      <c r="F140" s="26">
        <v>3000</v>
      </c>
      <c r="G140" s="16">
        <v>3000</v>
      </c>
      <c r="H140" s="16">
        <v>5000</v>
      </c>
      <c r="I140" s="16" t="s">
        <v>1060</v>
      </c>
      <c r="J140" s="17" t="str">
        <f>VLOOKUP(E140,статьи!$G$2:$H$24,2,TRUE)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40" s="17" t="str">
        <f>VLOOKUP(A140,'компании+описание'!$A$1:$D$438,4,)</f>
        <v>По результатам рассмотрения материалов дела об административном правонарушении № ЦА-34-Гр-25-16138, возбужденного за совершение административного правонарушения, ответственность за которое предусмотрена статьей 15.30 КоАП РФ, Ювженко Александру Витальевичу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07.10.2025 № 25-16138/3110-1 вступило в законную силу 08.11.2025.</v>
      </c>
    </row>
    <row r="141" spans="1:11" ht="96" x14ac:dyDescent="0.2">
      <c r="A141" s="16">
        <v>128</v>
      </c>
      <c r="B141" s="29">
        <v>45968</v>
      </c>
      <c r="C141" s="17" t="s">
        <v>177</v>
      </c>
      <c r="D141" s="16" t="s">
        <v>996</v>
      </c>
      <c r="E141" s="16" t="s">
        <v>75</v>
      </c>
      <c r="F141" s="26">
        <v>700000</v>
      </c>
      <c r="G141" s="16">
        <v>500000</v>
      </c>
      <c r="H141" s="16">
        <v>700000</v>
      </c>
      <c r="I141" s="16" t="s">
        <v>1063</v>
      </c>
      <c r="J141" s="17" t="str">
        <f>VLOOKUP(E141,статьи!$G$2:$H$24,2,TRUE)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41" s="17" t="str">
        <f>VLOOKUP(A141,'компании+описание'!$A$1:$D$438,4,)</f>
        <v>По результатам рассмотрения материалов дела об административном правонарушении № ЦА-34-ЮЛ-25-17312, возбужденного за совершение административного правонарушения, ответственность за которое предусмотрена частью 1 статьи 19.7.3 КоАП РФ, акционерному обществу «Инвестиционная компания «РИКОМ-ТРАСТ» назначено административное наказание в виде штрафа размером 700 000 (семьсот тысяч) рублей. Постановление от 23.10.2025 № 25-17312/3110-1 о назначении административного наказания вступило в законную силу 07.11.2025.</v>
      </c>
    </row>
    <row r="142" spans="1:11" ht="96" x14ac:dyDescent="0.2">
      <c r="A142" s="16">
        <v>129</v>
      </c>
      <c r="B142" s="29">
        <v>45968</v>
      </c>
      <c r="C142" s="17" t="s">
        <v>178</v>
      </c>
      <c r="D142" s="16" t="s">
        <v>997</v>
      </c>
      <c r="E142" s="16" t="s">
        <v>23</v>
      </c>
      <c r="F142" s="26">
        <v>3000</v>
      </c>
      <c r="G142" s="16">
        <v>3000</v>
      </c>
      <c r="H142" s="16">
        <v>5000</v>
      </c>
      <c r="I142" s="16" t="s">
        <v>1060</v>
      </c>
      <c r="J142" s="17" t="str">
        <f>VLOOKUP(E142,статьи!$G$2:$H$24,2,TRUE)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42" s="17" t="str">
        <f>VLOOKUP(A142,'компании+описание'!$A$1:$D$438,4,)</f>
        <v>По результатам рассмотрения материалов дела об административном правонарушении № ЦА-34-Гр-25-15992, возбужденного за совершение административного правонарушения, ответственность за которое предусмотрена статьей 15.30 КоАП РФ, Сулеймановой Танье Нурмухаметовне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06.10.2025 № 25-15992/3110-1 вступило в законную силу 07.11.2025.</v>
      </c>
    </row>
    <row r="143" spans="1:11" ht="96" x14ac:dyDescent="0.2">
      <c r="A143" s="16">
        <v>130</v>
      </c>
      <c r="B143" s="29">
        <v>45968</v>
      </c>
      <c r="C143" s="17" t="s">
        <v>179</v>
      </c>
      <c r="D143" s="16" t="s">
        <v>997</v>
      </c>
      <c r="E143" s="16" t="s">
        <v>23</v>
      </c>
      <c r="F143" s="26">
        <v>3000</v>
      </c>
      <c r="G143" s="16">
        <v>3000</v>
      </c>
      <c r="H143" s="16">
        <v>5000</v>
      </c>
      <c r="I143" s="16" t="s">
        <v>1060</v>
      </c>
      <c r="J143" s="17" t="str">
        <f>VLOOKUP(E143,статьи!$G$2:$H$24,2,TRUE)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43" s="17" t="str">
        <f>VLOOKUP(A143,'компании+описание'!$A$1:$D$438,4,)</f>
        <v>По результатам рассмотрения материалов дела об административном правонарушении № ЦА-34-Гр-25-15973, возбужденного за совершение административного правонарушения, ответственность за которое предусмотрена статьей 15.30 КоАП РФ, Кемайкину Григорию Владимировичу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06.10.2025 № 25-15973/3110-1 вступило в законную силу 07.11.2025.</v>
      </c>
    </row>
    <row r="144" spans="1:11" ht="96" x14ac:dyDescent="0.2">
      <c r="A144" s="16">
        <v>131</v>
      </c>
      <c r="B144" s="29">
        <v>45968</v>
      </c>
      <c r="C144" s="17" t="s">
        <v>180</v>
      </c>
      <c r="D144" s="16" t="s">
        <v>997</v>
      </c>
      <c r="E144" s="16" t="s">
        <v>23</v>
      </c>
      <c r="F144" s="26">
        <v>3000</v>
      </c>
      <c r="G144" s="16">
        <v>3000</v>
      </c>
      <c r="H144" s="16">
        <v>5000</v>
      </c>
      <c r="I144" s="16" t="s">
        <v>1060</v>
      </c>
      <c r="J144" s="17" t="str">
        <f>VLOOKUP(E144,статьи!$G$2:$H$24,2,TRUE)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44" s="17" t="str">
        <f>VLOOKUP(A144,'компании+описание'!$A$1:$D$438,4,)</f>
        <v>По результатам рассмотрения материалов дела об административном правонарушении № ЦА-34-Гр-25-15478, возбужденного за совершение административного правонарушения, ответственность за которое предусмотрена статьей 15.30 КоАП РФ, Яковлевой Надежде Александровне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30.09.2025 № 25-15478/3110-1 вступило в законную силу 07.11.2025.</v>
      </c>
    </row>
    <row r="145" spans="1:11" ht="96" x14ac:dyDescent="0.2">
      <c r="A145" s="16">
        <v>132</v>
      </c>
      <c r="B145" s="29">
        <v>45968</v>
      </c>
      <c r="C145" s="17" t="s">
        <v>181</v>
      </c>
      <c r="D145" s="16" t="s">
        <v>997</v>
      </c>
      <c r="E145" s="16" t="s">
        <v>23</v>
      </c>
      <c r="F145" s="26">
        <v>3000</v>
      </c>
      <c r="G145" s="16">
        <v>3000</v>
      </c>
      <c r="H145" s="16">
        <v>5000</v>
      </c>
      <c r="I145" s="16" t="s">
        <v>1060</v>
      </c>
      <c r="J145" s="17" t="str">
        <f>VLOOKUP(E145,статьи!$G$2:$H$24,2,TRUE)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45" s="17" t="str">
        <f>VLOOKUP(A145,'компании+описание'!$A$1:$D$438,4,)</f>
        <v>По результатам рассмотрения материалов дела об административном правонарушении № ЦА-34-Гр-25-15479, возбужденного за совершение административного правонарушения, ответственность за которое предусмотрена статьей 15.30 КоАП РФ, Яковлеву Алексею Владимировичу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30.09.2025 № 25-15479/3110-1 вступило в законную силу 07.11.2025.</v>
      </c>
    </row>
    <row r="146" spans="1:11" ht="80" x14ac:dyDescent="0.2">
      <c r="A146" s="16">
        <v>133</v>
      </c>
      <c r="B146" s="29">
        <v>45968</v>
      </c>
      <c r="C146" s="17" t="s">
        <v>182</v>
      </c>
      <c r="D146" s="16" t="s">
        <v>996</v>
      </c>
      <c r="E146" s="16" t="s">
        <v>129</v>
      </c>
      <c r="F146" s="26">
        <v>10000</v>
      </c>
      <c r="G146" s="16">
        <v>10000</v>
      </c>
      <c r="H146" s="16">
        <v>20000</v>
      </c>
      <c r="I146" s="16" t="s">
        <v>1060</v>
      </c>
      <c r="J146" s="17" t="str">
        <f>VLOOKUP(E146,статьи!$G$2:$H$24,2,TRUE)</f>
        <v>Нарушение бюро кредитных историй установленного порядка сбора, хранения, защиты и обработки сведений, составляющих кредитную историю</v>
      </c>
      <c r="K146" s="17" t="str">
        <f>VLOOKUP(A146,'компании+описание'!$A$1:$D$438,4,)</f>
        <v>По результатам рассмотрения материалов дела об административном правонарушении № ЦА-44-ЮЛ-25-17465, возбужденного за совершение административного правонарушения, ответственность за которое предусмотрена статьей 14.30 КоАП РФ, акционерное общество «Национальное бюро кредитных историй» назначено административное наказание в виде штрафа в размере 10 000 рублей. Постановление о назначении административного наказания вступило в законную силу 07.11.2025.</v>
      </c>
    </row>
    <row r="147" spans="1:11" ht="96" x14ac:dyDescent="0.2">
      <c r="A147" s="16">
        <v>134</v>
      </c>
      <c r="B147" s="29">
        <v>45967</v>
      </c>
      <c r="C147" s="17" t="s">
        <v>184</v>
      </c>
      <c r="D147" s="16" t="s">
        <v>997</v>
      </c>
      <c r="E147" s="16" t="s">
        <v>23</v>
      </c>
      <c r="F147" s="26">
        <v>3000</v>
      </c>
      <c r="G147" s="16">
        <v>3000</v>
      </c>
      <c r="H147" s="16">
        <v>5000</v>
      </c>
      <c r="I147" s="16" t="s">
        <v>1060</v>
      </c>
      <c r="J147" s="17" t="str">
        <f>VLOOKUP(E147,статьи!$G$2:$H$24,2,TRUE)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47" s="17" t="str">
        <f>VLOOKUP(A147,'компании+описание'!$A$1:$D$438,4,)</f>
        <v>По результатам рассмотрения материалов дела об административном правонарушении № ЦА-34-Гр-25-16223, возбужденного за совершение административного правонарушения, ответственность за которое предусмотрена статьей 15.30 КоАП РФ, Горячеву Дмитрию Александровичу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08.10.2025 № 25-16223/3110-1 вступило в законную силу 06.11.2025.</v>
      </c>
    </row>
    <row r="148" spans="1:11" ht="96" x14ac:dyDescent="0.2">
      <c r="A148" s="16">
        <v>135</v>
      </c>
      <c r="B148" s="29">
        <v>45967</v>
      </c>
      <c r="C148" s="17" t="s">
        <v>185</v>
      </c>
      <c r="D148" s="16" t="s">
        <v>997</v>
      </c>
      <c r="E148" s="16" t="s">
        <v>23</v>
      </c>
      <c r="F148" s="26">
        <v>3000</v>
      </c>
      <c r="G148" s="16">
        <v>3000</v>
      </c>
      <c r="H148" s="16">
        <v>5000</v>
      </c>
      <c r="I148" s="16" t="s">
        <v>1060</v>
      </c>
      <c r="J148" s="17" t="str">
        <f>VLOOKUP(E148,статьи!$G$2:$H$24,2,TRUE)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48" s="17" t="str">
        <f>VLOOKUP(A148,'компании+описание'!$A$1:$D$438,4,)</f>
        <v>По результатам рассмотрения материалов дела об административном правонарушении № ЦА-34-Гр-25-15993, возбужденного за совершение административного правонарушения, ответственность за которое предусмотрена статьей 15.30 КоАП РФ, Сулейманову Алмазу Рафиковичу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06.10.2025 № 25-15993/3110-1 вступило в законную силу 06.11.2025.</v>
      </c>
    </row>
    <row r="149" spans="1:11" ht="96" x14ac:dyDescent="0.2">
      <c r="A149" s="16">
        <v>136</v>
      </c>
      <c r="B149" s="29">
        <v>45967</v>
      </c>
      <c r="C149" s="17" t="s">
        <v>186</v>
      </c>
      <c r="D149" s="16" t="s">
        <v>997</v>
      </c>
      <c r="E149" s="16" t="s">
        <v>23</v>
      </c>
      <c r="F149" s="26">
        <v>3000</v>
      </c>
      <c r="G149" s="16">
        <v>3000</v>
      </c>
      <c r="H149" s="16">
        <v>5000</v>
      </c>
      <c r="I149" s="16" t="s">
        <v>1060</v>
      </c>
      <c r="J149" s="17" t="str">
        <f>VLOOKUP(E149,статьи!$G$2:$H$24,2,TRUE)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49" s="17" t="str">
        <f>VLOOKUP(A149,'компании+описание'!$A$1:$D$438,4,)</f>
        <v>По результатам рассмотрения материалов дела об административном правонарушении № ЦА-34-Гр-25-15518, возбужденного за совершение административного правонарушения, ответственность за которое предусмотрена статьей 15.30 КоАП РФ, Плахуте Михаилу Сергеевичу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30.09.2025 № 25-15518/3110-1 вступило в законную силу 06.11.2025.</v>
      </c>
    </row>
    <row r="150" spans="1:11" ht="96" x14ac:dyDescent="0.2">
      <c r="A150" s="16">
        <v>137</v>
      </c>
      <c r="B150" s="29">
        <v>45966</v>
      </c>
      <c r="C150" s="17" t="s">
        <v>188</v>
      </c>
      <c r="D150" s="16" t="s">
        <v>997</v>
      </c>
      <c r="E150" s="16" t="s">
        <v>23</v>
      </c>
      <c r="F150" s="26">
        <v>3000</v>
      </c>
      <c r="G150" s="16">
        <v>3000</v>
      </c>
      <c r="H150" s="16">
        <v>5000</v>
      </c>
      <c r="I150" s="16" t="s">
        <v>1060</v>
      </c>
      <c r="J150" s="17" t="str">
        <f>VLOOKUP(E150,статьи!$G$2:$H$24,2,TRUE)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50" s="17" t="str">
        <f>VLOOKUP(A150,'компании+описание'!$A$1:$D$438,4,)</f>
        <v>По результатам рассмотрения материалов дела об административном правонарушении № ЦА-34-Гр-25-15437, возбужденного за совершение административного правонарушения, ответственность за которое предусмотрена статьей 15.30 КоАП РФ, Шиловой Елене Михайловне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29.09.2025 № 25-15437/3110-1 вступило в законную силу 02.11.2025.</v>
      </c>
    </row>
    <row r="151" spans="1:11" ht="96" x14ac:dyDescent="0.2">
      <c r="A151" s="16">
        <v>138</v>
      </c>
      <c r="B151" s="29">
        <v>45966</v>
      </c>
      <c r="C151" s="17" t="s">
        <v>189</v>
      </c>
      <c r="D151" s="16" t="s">
        <v>997</v>
      </c>
      <c r="E151" s="16" t="s">
        <v>23</v>
      </c>
      <c r="F151" s="26">
        <v>3000</v>
      </c>
      <c r="G151" s="16">
        <v>3000</v>
      </c>
      <c r="H151" s="16">
        <v>5000</v>
      </c>
      <c r="I151" s="16" t="s">
        <v>1060</v>
      </c>
      <c r="J151" s="17" t="str">
        <f>VLOOKUP(E151,статьи!$G$2:$H$24,2,TRUE)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51" s="17" t="str">
        <f>VLOOKUP(A151,'компании+описание'!$A$1:$D$438,4,)</f>
        <v>По результатам рассмотрения материалов дела об административном правонарушении № ЦА-34-Гр-25-15433, возбужденного за совершение административного правонарушения, ответственность за которое предусмотрена статьей 15.30 КоАП РФ, Шилову Дмитрию Игоревичу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29.09.2025 № 25-15433/3110-1 вступило в законную силу 02.11.2025.</v>
      </c>
    </row>
    <row r="152" spans="1:11" ht="96" x14ac:dyDescent="0.2">
      <c r="A152" s="16">
        <v>139</v>
      </c>
      <c r="B152" s="29">
        <v>45966</v>
      </c>
      <c r="C152" s="17" t="s">
        <v>190</v>
      </c>
      <c r="D152" s="16" t="s">
        <v>997</v>
      </c>
      <c r="E152" s="16" t="s">
        <v>23</v>
      </c>
      <c r="F152" s="26">
        <v>3000</v>
      </c>
      <c r="G152" s="16">
        <v>3000</v>
      </c>
      <c r="H152" s="16">
        <v>5000</v>
      </c>
      <c r="I152" s="16" t="s">
        <v>1060</v>
      </c>
      <c r="J152" s="17" t="str">
        <f>VLOOKUP(E152,статьи!$G$2:$H$24,2,TRUE)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52" s="17" t="str">
        <f>VLOOKUP(A152,'компании+описание'!$A$1:$D$438,4,)</f>
        <v>По результатам рассмотрения материалов дела об административном правонарушении № ЦА-34-Гр-25-15976, возбужденного за совершение административного правонарушения, ответственность за которое предусмотрена статьей 15.30 КоАП РФ, Кемайкиной Юлии Александровне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06.10.2025 № 25-15976/3110-1 вступило в законную силу 02.11.2025.</v>
      </c>
    </row>
    <row r="153" spans="1:11" ht="144" x14ac:dyDescent="0.2">
      <c r="A153" s="16">
        <v>140</v>
      </c>
      <c r="B153" s="29">
        <v>45966</v>
      </c>
      <c r="C153" s="17" t="s">
        <v>191</v>
      </c>
      <c r="D153" s="16" t="s">
        <v>996</v>
      </c>
      <c r="E153" s="16" t="s">
        <v>5</v>
      </c>
      <c r="F153" s="26" t="s">
        <v>11</v>
      </c>
      <c r="G153" s="16">
        <v>700000</v>
      </c>
      <c r="H153" s="16">
        <v>1000000</v>
      </c>
      <c r="I153" s="16" t="s">
        <v>1062</v>
      </c>
      <c r="J153" s="17" t="str">
        <f>VLOOKUP(E153,статьи!$G$2:$H$24,2,TRUE)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153" s="17" t="str">
        <f>VLOOKUP(A153,'компании+описание'!$A$1:$D$438,4,)</f>
        <v>По результатам рассмотрения материалов дела об административном правонарушении № ЦА-38-ЮЛ-25-16488 возбужденного за совершение административного правонарушения, ответственность за которое предусмотрена частью 9 статьи 15.29 КоАП РФ, ООО «ИК «Титульный Брокер» назначено административное наказание в виде предупреждения. Постановление № ЦА-38-ЮЛ-25-16488/3120-1 вступило в законную силу 02.11.2025.</v>
      </c>
    </row>
    <row r="154" spans="1:11" ht="96" x14ac:dyDescent="0.2">
      <c r="A154" s="16">
        <v>141</v>
      </c>
      <c r="B154" s="29">
        <v>45962</v>
      </c>
      <c r="C154" s="17" t="s">
        <v>192</v>
      </c>
      <c r="D154" s="16" t="s">
        <v>997</v>
      </c>
      <c r="E154" s="16" t="s">
        <v>23</v>
      </c>
      <c r="F154" s="26">
        <v>3000</v>
      </c>
      <c r="G154" s="16">
        <v>3000</v>
      </c>
      <c r="H154" s="16">
        <v>5000</v>
      </c>
      <c r="I154" s="16" t="s">
        <v>1060</v>
      </c>
      <c r="J154" s="17" t="str">
        <f>VLOOKUP(E154,статьи!$G$2:$H$24,2,TRUE)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54" s="17" t="str">
        <f>VLOOKUP(A154,'компании+описание'!$A$1:$D$438,4,)</f>
        <v>По результатам рассмотрения материалов дела об административном правонарушении № ЦА-34-Гр-25-15672, возбужденного за совершение административного правонарушения, ответственность за которое предусмотрена статьей 15.30 КоАП РФ, Трефиловой Марии Сергеевне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01.10.2025 № 25-15672/3110-1 вступило в законную силу 01.11.2025.</v>
      </c>
    </row>
    <row r="155" spans="1:11" ht="96" x14ac:dyDescent="0.2">
      <c r="A155" s="16">
        <v>142</v>
      </c>
      <c r="B155" s="29">
        <v>45961</v>
      </c>
      <c r="C155" s="17" t="s">
        <v>194</v>
      </c>
      <c r="D155" s="16" t="s">
        <v>997</v>
      </c>
      <c r="E155" s="16" t="s">
        <v>23</v>
      </c>
      <c r="F155" s="26">
        <v>3000</v>
      </c>
      <c r="G155" s="16">
        <v>3000</v>
      </c>
      <c r="H155" s="16">
        <v>5000</v>
      </c>
      <c r="I155" s="16" t="s">
        <v>1060</v>
      </c>
      <c r="J155" s="17" t="str">
        <f>VLOOKUP(E155,статьи!$G$2:$H$24,2,TRUE)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55" s="17" t="str">
        <f>VLOOKUP(A155,'компании+описание'!$A$1:$D$438,4,)</f>
        <v>По результатам рассмотрения материалов дела об административном правонарушении № ЦА-34-Гр-25-15776, возбужденного за совершение административного правонарушения, ответственность за которое предусмотрена статьей 15.30 КоАП РФ, Янковской Марине Владимировне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02.10.2025 № 25-15776/3110-1 вступило в законную силу 28.10.2025.</v>
      </c>
    </row>
    <row r="156" spans="1:11" ht="96" x14ac:dyDescent="0.2">
      <c r="A156" s="16">
        <v>143</v>
      </c>
      <c r="B156" s="29">
        <v>45961</v>
      </c>
      <c r="C156" s="17" t="s">
        <v>196</v>
      </c>
      <c r="D156" s="16" t="s">
        <v>997</v>
      </c>
      <c r="E156" s="16" t="s">
        <v>23</v>
      </c>
      <c r="F156" s="26">
        <v>3000</v>
      </c>
      <c r="G156" s="16">
        <v>3000</v>
      </c>
      <c r="H156" s="16">
        <v>5000</v>
      </c>
      <c r="I156" s="16" t="s">
        <v>1060</v>
      </c>
      <c r="J156" s="17" t="str">
        <f>VLOOKUP(E156,статьи!$G$2:$H$24,2,TRUE)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56" s="17" t="str">
        <f>VLOOKUP(A156,'компании+описание'!$A$1:$D$438,4,)</f>
        <v>По результатам рассмотрения материалов дела об административном правонарушении № ЦА-34-Гр-25-15773, возбужденного за совершение административного правонарушения, ответственность за которое предусмотрена статьей 15.30 КоАП РФ, Янковскому Сергею Борисовичу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02.10.2025 № 25-15773/3110-1 вступило в законную силу 28.10.2025.</v>
      </c>
    </row>
    <row r="157" spans="1:11" ht="96" x14ac:dyDescent="0.2">
      <c r="A157" s="16">
        <v>144</v>
      </c>
      <c r="B157" s="29">
        <v>45961</v>
      </c>
      <c r="C157" s="17" t="s">
        <v>197</v>
      </c>
      <c r="D157" s="16" t="s">
        <v>997</v>
      </c>
      <c r="E157" s="16" t="s">
        <v>23</v>
      </c>
      <c r="F157" s="26">
        <v>3000</v>
      </c>
      <c r="G157" s="16">
        <v>3000</v>
      </c>
      <c r="H157" s="16">
        <v>5000</v>
      </c>
      <c r="I157" s="16" t="s">
        <v>1060</v>
      </c>
      <c r="J157" s="17" t="str">
        <f>VLOOKUP(E157,статьи!$G$2:$H$24,2,TRUE)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57" s="17" t="str">
        <f>VLOOKUP(A157,'компании+описание'!$A$1:$D$438,4,)</f>
        <v>По результатам рассмотрения материалов дела об административном правонарушении № ЦА-34-Гр-25-15800, возбужденного за совершение административного правонарушения, ответственность за которое предусмотрена статьей 15.30 КоАП РФ, Громовому Дмитрию Леонидовичу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02.10.2025 № 25-15800/3110-1 вступило в законную силу 25.10.2025.</v>
      </c>
    </row>
    <row r="158" spans="1:11" ht="96" x14ac:dyDescent="0.2">
      <c r="A158" s="16">
        <v>145</v>
      </c>
      <c r="B158" s="29">
        <v>45961</v>
      </c>
      <c r="C158" s="17" t="s">
        <v>198</v>
      </c>
      <c r="D158" s="16" t="s">
        <v>997</v>
      </c>
      <c r="E158" s="16" t="s">
        <v>23</v>
      </c>
      <c r="F158" s="26">
        <v>3000</v>
      </c>
      <c r="G158" s="16">
        <v>3000</v>
      </c>
      <c r="H158" s="16">
        <v>5000</v>
      </c>
      <c r="I158" s="16" t="s">
        <v>1060</v>
      </c>
      <c r="J158" s="17" t="str">
        <f>VLOOKUP(E158,статьи!$G$2:$H$24,2,TRUE)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58" s="17" t="str">
        <f>VLOOKUP(A158,'компании+описание'!$A$1:$D$438,4,)</f>
        <v>По результатам рассмотрения материалов дела об административном правонарушении № ЦА-34-Гр-25-15405, возбужденного за совершение административного правонарушения, ответственность за которое предусмотрена статьей 15.30 КоАП РФ, Никитину Никите Геннадьевичу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29.09.2025 № 25-15405/3110-1 вступило в законную силу 31.10.2025.</v>
      </c>
    </row>
    <row r="159" spans="1:11" ht="96" x14ac:dyDescent="0.2">
      <c r="A159" s="16">
        <v>146</v>
      </c>
      <c r="B159" s="29">
        <v>45961</v>
      </c>
      <c r="C159" s="17" t="s">
        <v>199</v>
      </c>
      <c r="D159" s="16" t="s">
        <v>997</v>
      </c>
      <c r="E159" s="16" t="s">
        <v>23</v>
      </c>
      <c r="F159" s="26">
        <v>3000</v>
      </c>
      <c r="G159" s="16">
        <v>3000</v>
      </c>
      <c r="H159" s="16">
        <v>5000</v>
      </c>
      <c r="I159" s="16" t="s">
        <v>1060</v>
      </c>
      <c r="J159" s="17" t="str">
        <f>VLOOKUP(E159,статьи!$G$2:$H$24,2,TRUE)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59" s="17" t="str">
        <f>VLOOKUP(A159,'компании+описание'!$A$1:$D$438,4,)</f>
        <v>По результатам рассмотрения материалов дела об административном правонарушении № ЦА-34-Гр-25-15528, возбужденного за совершение административного правонарушения, ответственность за которое предусмотрена статьей 15.30 КоАП РФ, Плахуте Эмилии Сергеевне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30.09.2025 № 25-15528/3110-1 вступило в законную силу 31.10.2025.</v>
      </c>
    </row>
    <row r="160" spans="1:11" ht="96" x14ac:dyDescent="0.2">
      <c r="A160" s="16">
        <v>147</v>
      </c>
      <c r="B160" s="29">
        <v>45961</v>
      </c>
      <c r="C160" s="17" t="s">
        <v>200</v>
      </c>
      <c r="D160" s="16" t="s">
        <v>997</v>
      </c>
      <c r="E160" s="16" t="s">
        <v>23</v>
      </c>
      <c r="F160" s="26">
        <v>3000</v>
      </c>
      <c r="G160" s="16">
        <v>3000</v>
      </c>
      <c r="H160" s="16">
        <v>5000</v>
      </c>
      <c r="I160" s="16" t="s">
        <v>1060</v>
      </c>
      <c r="J160" s="17" t="str">
        <f>VLOOKUP(E160,статьи!$G$2:$H$24,2,TRUE)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60" s="17" t="str">
        <f>VLOOKUP(A160,'компании+описание'!$A$1:$D$438,4,)</f>
        <v>По результатам рассмотрения материалов дела об административном правонарушении № ЦА-34-Гр-25-15875, возбужденного за совершение административного правонарушения, ответственность за которое предусмотрена статьей 15.30 КоАП РФ, Третьякову Александру Евгеньевичу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01.10.2025 № 25-15875/3110-1 вступило в законную силу 31.10.2025.</v>
      </c>
    </row>
    <row r="161" spans="1:11" ht="96" x14ac:dyDescent="0.2">
      <c r="A161" s="16">
        <v>149</v>
      </c>
      <c r="B161" s="29">
        <v>45958</v>
      </c>
      <c r="C161" s="17" t="s">
        <v>201</v>
      </c>
      <c r="D161" s="16" t="s">
        <v>996</v>
      </c>
      <c r="E161" s="16" t="s">
        <v>8</v>
      </c>
      <c r="F161" s="26" t="s">
        <v>11</v>
      </c>
      <c r="G161" s="16">
        <v>300000</v>
      </c>
      <c r="H161" s="16">
        <v>500000</v>
      </c>
      <c r="I161" s="16" t="s">
        <v>1062</v>
      </c>
      <c r="J161" s="17" t="str">
        <f>VLOOKUP(E161,статьи!$G$2:$H$24,2,TRUE)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61" s="17" t="str">
        <f>VLOOKUP(A161,'компании+описание'!$A$1:$D$438,4,)</f>
        <v>По результатам рассмотрения материалов дела об административном правонарушении № ЦА-34-ЮЛ-25-319,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коммерческому банку "Ситибанк" назначено административное наказание в виде предупреждения. Постановление от 11.02.2025 № ЦА-34-ЮЛ-25-319/3120-1 о назначении административного наказания вступило в законную силу 25.02.2025.</v>
      </c>
    </row>
    <row r="162" spans="1:11" ht="144" x14ac:dyDescent="0.2">
      <c r="A162" s="16">
        <v>150</v>
      </c>
      <c r="B162" s="29">
        <v>45958</v>
      </c>
      <c r="C162" s="17" t="s">
        <v>203</v>
      </c>
      <c r="D162" s="16" t="s">
        <v>996</v>
      </c>
      <c r="E162" s="16" t="s">
        <v>5</v>
      </c>
      <c r="F162" s="26" t="s">
        <v>11</v>
      </c>
      <c r="G162" s="16">
        <v>700000</v>
      </c>
      <c r="H162" s="16">
        <v>1000000</v>
      </c>
      <c r="I162" s="16" t="s">
        <v>1062</v>
      </c>
      <c r="J162" s="17" t="str">
        <f>VLOOKUP(E162,статьи!$G$2:$H$24,2,TRUE)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162" s="17" t="str">
        <f>VLOOKUP(A162,'компании+описание'!$A$1:$D$438,4,)</f>
        <v>По результатам рассмотрения материалов дела об административном правонарушении № ЦА-34-ЮЛ-24-10897, возбужденного за совершение административного правонарушения, ответственность за которое предусмотрена частью 9 статьи 15.29 КоАП РФ, акционерному обществу «Сбербанк КИБ» назначено административное наказание в виде предупреждения. Постановление от 14.10.2024 № ЦА-34-ЮЛ-24-10897/3120-1 о назначении административного наказания вступило в законную силу 26.10.2024.</v>
      </c>
    </row>
    <row r="163" spans="1:11" ht="96" x14ac:dyDescent="0.2">
      <c r="A163" s="16">
        <v>151</v>
      </c>
      <c r="B163" s="29">
        <v>45958</v>
      </c>
      <c r="C163" s="17" t="s">
        <v>204</v>
      </c>
      <c r="D163" s="16" t="s">
        <v>996</v>
      </c>
      <c r="E163" s="16" t="s">
        <v>75</v>
      </c>
      <c r="F163" s="26" t="s">
        <v>11</v>
      </c>
      <c r="G163" s="16">
        <v>500000</v>
      </c>
      <c r="H163" s="16">
        <v>700000</v>
      </c>
      <c r="I163" s="16" t="s">
        <v>1062</v>
      </c>
      <c r="J163" s="17" t="str">
        <f>VLOOKUP(E163,статьи!$G$2:$H$24,2,TRUE)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63" s="17" t="str">
        <f>VLOOKUP(A163,'компании+описание'!$A$1:$D$438,4,)</f>
        <v>По результатам рассмотрения материалов дела об административном правонарушении № ЦА-34-ЮЛ-25-13848, возбужденного за совершение административного правонарушения, ответственность за которое предусмотрена частью 1 статьи 19.7.3 КоАП РФ, обществу с ограниченной ответственностью «МКБ Инвестиции» назначено административное наказание в виде предупреждения. Постановление от 04.09.2025 № ЦА-34-ЮЛ-25-13848/3120-1 о назначении административного наказания вступило в законную силу 19.09.2025.</v>
      </c>
    </row>
    <row r="164" spans="1:11" ht="80" x14ac:dyDescent="0.2">
      <c r="A164" s="16">
        <v>152</v>
      </c>
      <c r="B164" s="29">
        <v>45958</v>
      </c>
      <c r="C164" s="17" t="s">
        <v>206</v>
      </c>
      <c r="D164" s="16" t="s">
        <v>996</v>
      </c>
      <c r="E164" s="16" t="s">
        <v>8</v>
      </c>
      <c r="F164" s="26">
        <v>300000</v>
      </c>
      <c r="G164" s="16">
        <v>300000</v>
      </c>
      <c r="H164" s="16">
        <v>500000</v>
      </c>
      <c r="I164" s="16" t="s">
        <v>1060</v>
      </c>
      <c r="J164" s="17" t="str">
        <f>VLOOKUP(E164,статьи!$G$2:$H$24,2,TRUE)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64" s="17" t="str">
        <f>VLOOKUP(A164,'компании+описание'!$A$1:$D$438,4,)</f>
        <v>По результатам рассмотрения материалов дела об административном правонарушении № ЦА-38-ЮЛ-25-16300,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«Управляющая компания «Альфа-Капитал» назначено административное наказание в виде штрафа в размере 300 000 рублей. Постановление вступило в законную силу 28.10.2025.</v>
      </c>
    </row>
    <row r="165" spans="1:11" ht="96" x14ac:dyDescent="0.2">
      <c r="A165" s="16">
        <v>153</v>
      </c>
      <c r="B165" s="29">
        <v>45958</v>
      </c>
      <c r="C165" s="17" t="s">
        <v>207</v>
      </c>
      <c r="D165" s="16" t="s">
        <v>997</v>
      </c>
      <c r="E165" s="16" t="s">
        <v>23</v>
      </c>
      <c r="F165" s="26">
        <v>3000</v>
      </c>
      <c r="G165" s="16">
        <v>3000</v>
      </c>
      <c r="H165" s="16">
        <v>5000</v>
      </c>
      <c r="I165" s="16" t="s">
        <v>1060</v>
      </c>
      <c r="J165" s="17" t="str">
        <f>VLOOKUP(E165,статьи!$G$2:$H$24,2,TRUE)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65" s="17" t="str">
        <f>VLOOKUP(A165,'компании+описание'!$A$1:$D$438,4,)</f>
        <v>По результатам рассмотрения материалов дела об административном правонарушении № ЦА-34-Гр-25-15527,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Масловой Елене Евгеньевне назначено административное наказание в виде штрафа в размере 3 000 рублей. Постановление от 30.09.2025 № 25-15527/3110-1 о назначении административного наказания вступило в законную силу 23.10.2025.</v>
      </c>
    </row>
    <row r="166" spans="1:11" ht="96" x14ac:dyDescent="0.2">
      <c r="A166" s="16">
        <v>154</v>
      </c>
      <c r="B166" s="29">
        <v>45958</v>
      </c>
      <c r="C166" s="17" t="s">
        <v>208</v>
      </c>
      <c r="D166" s="16" t="s">
        <v>997</v>
      </c>
      <c r="E166" s="16" t="s">
        <v>23</v>
      </c>
      <c r="F166" s="26">
        <v>3000</v>
      </c>
      <c r="G166" s="16">
        <v>3000</v>
      </c>
      <c r="H166" s="16">
        <v>5000</v>
      </c>
      <c r="I166" s="16" t="s">
        <v>1060</v>
      </c>
      <c r="J166" s="17" t="str">
        <f>VLOOKUP(E166,статьи!$G$2:$H$24,2,TRUE)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66" s="17" t="str">
        <f>VLOOKUP(A166,'компании+описание'!$A$1:$D$438,4,)</f>
        <v>По результатам рассмотрения материалов дела об административном правонарушении № ЦА-34-Гр-25-15526,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Маслову Никите Ивановичу назначено административное наказание в виде штрафа в размере 3 000 рублей. Постановление от 30.09.2025 № 25-15526/3110-1 о назначении административного наказания вступило в законную силу 23.10.2025.</v>
      </c>
    </row>
    <row r="167" spans="1:11" ht="96" x14ac:dyDescent="0.2">
      <c r="A167" s="16">
        <v>155</v>
      </c>
      <c r="B167" s="29">
        <v>45958</v>
      </c>
      <c r="C167" s="17" t="s">
        <v>209</v>
      </c>
      <c r="D167" s="16" t="s">
        <v>997</v>
      </c>
      <c r="E167" s="16" t="s">
        <v>23</v>
      </c>
      <c r="F167" s="26">
        <v>3000</v>
      </c>
      <c r="G167" s="16">
        <v>3000</v>
      </c>
      <c r="H167" s="16">
        <v>5000</v>
      </c>
      <c r="I167" s="16" t="s">
        <v>1060</v>
      </c>
      <c r="J167" s="17" t="str">
        <f>VLOOKUP(E167,статьи!$G$2:$H$24,2,TRUE)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67" s="17" t="str">
        <f>VLOOKUP(A167,'компании+описание'!$A$1:$D$438,4,)</f>
        <v>По результатам рассмотрения материалов дела об административном правонарушении № ЦА-34-Гр-25-15315,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Подкоморной Анастасии Петровне назначено административное наказание в виде штрафа в размере 3 000 рублей. Постановление от 25.09.2025 № 25-15315/3110-1 о назначении административного наказания вступило в законную силу 28.10.2025.</v>
      </c>
    </row>
    <row r="168" spans="1:11" ht="80" x14ac:dyDescent="0.2">
      <c r="A168" s="16">
        <v>156</v>
      </c>
      <c r="B168" s="29">
        <v>45958</v>
      </c>
      <c r="C168" s="17" t="s">
        <v>210</v>
      </c>
      <c r="D168" s="16" t="s">
        <v>996</v>
      </c>
      <c r="E168" s="16" t="s">
        <v>8</v>
      </c>
      <c r="F168" s="26">
        <v>250000</v>
      </c>
      <c r="G168" s="16">
        <v>300000</v>
      </c>
      <c r="H168" s="16">
        <v>500000</v>
      </c>
      <c r="I168" s="16" t="s">
        <v>1061</v>
      </c>
      <c r="J168" s="17" t="str">
        <f>VLOOKUP(E168,статьи!$G$2:$H$24,2,TRUE)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68" s="17" t="str">
        <f>VLOOKUP(A168,'компании+описание'!$A$1:$D$438,4,)</f>
        <v>По результатам рассмотрения материалов дела об административном правонарушении № ЦА-38-ЮЛ-25-16472,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Инвестиционной компании «Прайвет Капитал» назначено административное наказание в виде штрафа в размере 250 000 рублей. Постановление вступило в законную силу 28.10.2025.</v>
      </c>
    </row>
    <row r="169" spans="1:11" ht="144" x14ac:dyDescent="0.2">
      <c r="A169" s="16">
        <v>157</v>
      </c>
      <c r="B169" s="29">
        <v>45957</v>
      </c>
      <c r="C169" s="17" t="s">
        <v>212</v>
      </c>
      <c r="D169" s="16" t="s">
        <v>996</v>
      </c>
      <c r="E169" s="16" t="s">
        <v>72</v>
      </c>
      <c r="F169" s="26">
        <v>300000</v>
      </c>
      <c r="G169" s="16">
        <v>500000</v>
      </c>
      <c r="H169" s="16">
        <v>700000</v>
      </c>
      <c r="I169" s="16" t="s">
        <v>1061</v>
      </c>
      <c r="J169" s="17" t="str">
        <f>VLOOKUP(E169,статьи!$G$2:$H$24,2,TRUE)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169" s="17" t="str">
        <f>VLOOKUP(A169,'компании+описание'!$A$1:$D$438,4,)</f>
        <v>По результатам рассмотрения материалов дела об административном правонарушении № ЦА-34-ЮЛ-25-16716,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«ФИНИН-К» назначено административное наказание в виде штрафа в размере 300 000 (триста тысяч) рублей. Постановление о наложении штрафа по делу об административном правонарушении от 09.10.2025 № 25-16716/3110-1 вступило в законную силу 24.10.2025.</v>
      </c>
    </row>
    <row r="170" spans="1:11" ht="112" x14ac:dyDescent="0.2">
      <c r="A170" s="16">
        <v>158</v>
      </c>
      <c r="B170" s="29">
        <v>45957</v>
      </c>
      <c r="C170" s="17" t="s">
        <v>214</v>
      </c>
      <c r="D170" s="16" t="s">
        <v>996</v>
      </c>
      <c r="E170" s="16" t="s">
        <v>75</v>
      </c>
      <c r="F170" s="26" t="s">
        <v>11</v>
      </c>
      <c r="G170" s="16">
        <v>500000</v>
      </c>
      <c r="H170" s="16">
        <v>700000</v>
      </c>
      <c r="I170" s="16" t="s">
        <v>1062</v>
      </c>
      <c r="J170" s="17" t="str">
        <f>VLOOKUP(E170,статьи!$G$2:$H$24,2,TRUE)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70" s="17" t="str">
        <f>VLOOKUP(A170,'компании+описание'!$A$1:$D$438,4,)</f>
        <v>По результатам рассмотрения материалов дела об административном правонарушении № ЦА-34-ЮЛ-25-15380,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«Поток.Диджитал» назначено административное наказание в виде предупреждения. Постановление о назначении предупреждения по делу об административном правонарушении от 25.09.2025 № ЦА-34-ЮЛ-25-15380/3120-1 вступило в законную силу 13.10.2025.</v>
      </c>
    </row>
    <row r="171" spans="1:11" ht="112" x14ac:dyDescent="0.2">
      <c r="A171" s="16">
        <v>159</v>
      </c>
      <c r="B171" s="29">
        <v>45957</v>
      </c>
      <c r="C171" s="17" t="s">
        <v>215</v>
      </c>
      <c r="D171" s="16" t="s">
        <v>996</v>
      </c>
      <c r="E171" s="16" t="s">
        <v>75</v>
      </c>
      <c r="F171" s="26" t="s">
        <v>11</v>
      </c>
      <c r="G171" s="16">
        <v>500000</v>
      </c>
      <c r="H171" s="16">
        <v>700000</v>
      </c>
      <c r="I171" s="16" t="s">
        <v>1062</v>
      </c>
      <c r="J171" s="17" t="str">
        <f>VLOOKUP(E171,статьи!$G$2:$H$24,2,TRUE)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71" s="17" t="str">
        <f>VLOOKUP(A171,'компании+описание'!$A$1:$D$438,4,)</f>
        <v>По результатам рассмотрения материалов дела об административном правонарушении № ЦА-34-ЮЛ-25-6071,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«СмартИнвест» назначено административное наказание в виде предупреждения. Постановление о назначении предупреждения по делу об административном правонарушении от 02.06.2025 № ЦА-34-ЮЛ-25-6071/3120-1  вступило в законную силу 17.06.2025.</v>
      </c>
    </row>
    <row r="172" spans="1:11" ht="96" x14ac:dyDescent="0.2">
      <c r="A172" s="16">
        <v>160</v>
      </c>
      <c r="B172" s="29">
        <v>45957</v>
      </c>
      <c r="C172" s="17" t="s">
        <v>217</v>
      </c>
      <c r="D172" s="16" t="s">
        <v>997</v>
      </c>
      <c r="E172" s="16" t="s">
        <v>23</v>
      </c>
      <c r="F172" s="26">
        <v>3000</v>
      </c>
      <c r="G172" s="16">
        <v>3000</v>
      </c>
      <c r="H172" s="16">
        <v>5000</v>
      </c>
      <c r="I172" s="16" t="s">
        <v>1060</v>
      </c>
      <c r="J172" s="17" t="str">
        <f>VLOOKUP(E172,статьи!$G$2:$H$24,2,TRUE)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72" s="17" t="str">
        <f>VLOOKUP(A172,'компании+описание'!$A$1:$D$438,4,)</f>
        <v>По результатам рассмотрения материалов дела об административном правонарушении № ЦА-34-Гр-25-15093,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Прокопенко Андрею Владимировичу назначено административное наказание в виде штрафа в размере 3 000 рублей. Постановление от 24.09.2025 № 25-15093/3110-1 о назначении административного наказания вступило в законную силу 22.10.2025.</v>
      </c>
    </row>
    <row r="173" spans="1:11" ht="96" x14ac:dyDescent="0.2">
      <c r="A173" s="16">
        <v>161</v>
      </c>
      <c r="B173" s="29">
        <v>45957</v>
      </c>
      <c r="C173" s="17" t="s">
        <v>218</v>
      </c>
      <c r="D173" s="16" t="s">
        <v>997</v>
      </c>
      <c r="E173" s="16" t="s">
        <v>23</v>
      </c>
      <c r="F173" s="26">
        <v>3000</v>
      </c>
      <c r="G173" s="16">
        <v>3000</v>
      </c>
      <c r="H173" s="16">
        <v>5000</v>
      </c>
      <c r="I173" s="16" t="s">
        <v>1060</v>
      </c>
      <c r="J173" s="17" t="str">
        <f>VLOOKUP(E173,статьи!$G$2:$H$24,2,TRUE)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73" s="17" t="str">
        <f>VLOOKUP(A173,'компании+описание'!$A$1:$D$438,4,)</f>
        <v>По результатам рассмотрения материалов дела об административном правонарушении № ЦА-34-Гр-25-15403,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Никитину Денису Геннадиевичу назначено административное наказание в виде штрафа в размере 3 000 рублей. Постановление от 29.09.2025 № 25-15403/3110-1 о назначении административного наказания вступило в законную силу 22.10.2025.</v>
      </c>
    </row>
    <row r="174" spans="1:11" ht="80" x14ac:dyDescent="0.2">
      <c r="A174" s="16">
        <v>162</v>
      </c>
      <c r="B174" s="29">
        <v>45957</v>
      </c>
      <c r="C174" s="17" t="s">
        <v>100</v>
      </c>
      <c r="D174" s="16" t="s">
        <v>996</v>
      </c>
      <c r="E174" s="16" t="s">
        <v>8</v>
      </c>
      <c r="F174" s="26">
        <v>150000</v>
      </c>
      <c r="G174" s="16">
        <v>300000</v>
      </c>
      <c r="H174" s="16">
        <v>500000</v>
      </c>
      <c r="I174" s="16" t="s">
        <v>1061</v>
      </c>
      <c r="J174" s="17" t="str">
        <f>VLOOKUP(E174,статьи!$G$2:$H$24,2,TRUE)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74" s="17" t="str">
        <f>VLOOKUP(A174,'компании+описание'!$A$1:$D$438,4,)</f>
        <v>По результатам рассмотрения материалов дела об административном правонарушении № ЦА-38-ЮЛ-25-15659,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«Контрада Капитал» назначено административное наказание в виде штрафа в размере 150 000 рублей. Постановление вступило в законную силу 25.10.2025.</v>
      </c>
    </row>
    <row r="175" spans="1:11" ht="96" x14ac:dyDescent="0.2">
      <c r="A175" s="16">
        <v>163</v>
      </c>
      <c r="B175" s="29">
        <v>45957</v>
      </c>
      <c r="C175" s="17" t="s">
        <v>219</v>
      </c>
      <c r="D175" s="16" t="s">
        <v>997</v>
      </c>
      <c r="E175" s="16" t="s">
        <v>23</v>
      </c>
      <c r="F175" s="26">
        <v>3000</v>
      </c>
      <c r="G175" s="16">
        <v>3000</v>
      </c>
      <c r="H175" s="16">
        <v>5000</v>
      </c>
      <c r="I175" s="16" t="s">
        <v>1060</v>
      </c>
      <c r="J175" s="17" t="str">
        <f>VLOOKUP(E175,статьи!$G$2:$H$24,2,TRUE)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75" s="17" t="str">
        <f>VLOOKUP(A175,'компании+описание'!$A$1:$D$438,4,)</f>
        <v>По результатам рассмотрения материалов дела об административном правонарушении № ЦА-34-Гр-25-15669,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Трефилову Дмитрию Владимировичу назначено административное наказание в виде штрафа в размере 3 000 рублей. Постановление от 01.10.2025 № 25-15669/3110-1 о назначении административного наказания вступило в законную силу 22.10.2025.</v>
      </c>
    </row>
    <row r="176" spans="1:11" ht="96" x14ac:dyDescent="0.2">
      <c r="A176" s="16">
        <v>164</v>
      </c>
      <c r="B176" s="29">
        <v>45957</v>
      </c>
      <c r="C176" s="17" t="s">
        <v>220</v>
      </c>
      <c r="D176" s="16" t="s">
        <v>997</v>
      </c>
      <c r="E176" s="16" t="s">
        <v>23</v>
      </c>
      <c r="F176" s="26">
        <v>3000</v>
      </c>
      <c r="G176" s="16">
        <v>3000</v>
      </c>
      <c r="H176" s="16">
        <v>5000</v>
      </c>
      <c r="I176" s="16" t="s">
        <v>1060</v>
      </c>
      <c r="J176" s="17" t="str">
        <f>VLOOKUP(E176,статьи!$G$2:$H$24,2,TRUE)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76" s="17" t="str">
        <f>VLOOKUP(A176,'компании+описание'!$A$1:$D$438,4,)</f>
        <v>По результатам рассмотрения материалов дела об административном правонарушении № ЦА-34-Гр-25-15312,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Дроковой Нине Михайловне назначено административное наказание в виде штрафа в размере 3 000 рублей. Постановление от 25.09.2025 № 25-15312/3110-1 о назначении административного наказания вступило в законную силу 25.10.2025.</v>
      </c>
    </row>
    <row r="177" spans="1:11" ht="96" x14ac:dyDescent="0.2">
      <c r="A177" s="16">
        <v>165</v>
      </c>
      <c r="B177" s="29">
        <v>45954</v>
      </c>
      <c r="C177" s="17" t="s">
        <v>221</v>
      </c>
      <c r="D177" s="16" t="s">
        <v>997</v>
      </c>
      <c r="E177" s="16" t="s">
        <v>23</v>
      </c>
      <c r="F177" s="26">
        <v>3000</v>
      </c>
      <c r="G177" s="16">
        <v>3000</v>
      </c>
      <c r="H177" s="16">
        <v>5000</v>
      </c>
      <c r="I177" s="16" t="s">
        <v>1060</v>
      </c>
      <c r="J177" s="17" t="str">
        <f>VLOOKUP(E177,статьи!$G$2:$H$24,2,TRUE)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77" s="17" t="str">
        <f>VLOOKUP(A177,'компании+описание'!$A$1:$D$438,4,)</f>
        <v>По результатам рассмотрения материалов дела об административном правонарушении № ЦА-34-Гр-25-15094,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Прокопенко Татьяне Александровне назначено административное наказание в виде штрафа в размере 3 000 рублей. Постановление от 24.09.2025 № 25-15094/3110-1 о назначении административного наказания вступило в законную силу 18.10.2025.</v>
      </c>
    </row>
    <row r="178" spans="1:11" ht="96" x14ac:dyDescent="0.2">
      <c r="A178" s="16">
        <v>166</v>
      </c>
      <c r="B178" s="29">
        <v>45954</v>
      </c>
      <c r="C178" s="17" t="s">
        <v>222</v>
      </c>
      <c r="D178" s="16" t="s">
        <v>997</v>
      </c>
      <c r="E178" s="16" t="s">
        <v>23</v>
      </c>
      <c r="F178" s="26">
        <v>3000</v>
      </c>
      <c r="G178" s="16">
        <v>3000</v>
      </c>
      <c r="H178" s="16">
        <v>5000</v>
      </c>
      <c r="I178" s="16" t="s">
        <v>1060</v>
      </c>
      <c r="J178" s="17" t="str">
        <f>VLOOKUP(E178,статьи!$G$2:$H$24,2,TRUE)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78" s="17" t="str">
        <f>VLOOKUP(A178,'компании+описание'!$A$1:$D$438,4,)</f>
        <v>По результатам рассмотрения материалов дела об административном правонарушении № ЦА-34-Гр-25-15314,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Воробьеву Кириллу Александровичу назначено административное наказание в виде штрафа в размере 3 000 рублей. Постановление от 25.09.2025 № 25-15314/3110-1 о назначении административного наказания вступило в законную силу 18.10.2025.</v>
      </c>
    </row>
    <row r="179" spans="1:11" ht="96" x14ac:dyDescent="0.2">
      <c r="A179" s="16">
        <v>167</v>
      </c>
      <c r="B179" s="29">
        <v>45954</v>
      </c>
      <c r="C179" s="17" t="s">
        <v>223</v>
      </c>
      <c r="D179" s="16" t="s">
        <v>997</v>
      </c>
      <c r="E179" s="16" t="s">
        <v>23</v>
      </c>
      <c r="F179" s="26">
        <v>3000</v>
      </c>
      <c r="G179" s="16">
        <v>3000</v>
      </c>
      <c r="H179" s="16">
        <v>5000</v>
      </c>
      <c r="I179" s="16" t="s">
        <v>1060</v>
      </c>
      <c r="J179" s="17" t="str">
        <f>VLOOKUP(E179,статьи!$G$2:$H$24,2,TRUE)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79" s="17" t="str">
        <f>VLOOKUP(A179,'компании+описание'!$A$1:$D$438,4,)</f>
        <v>По результатам рассмотрения материалов дела об административном правонарушении № ЦА-34-Гр-25-15311,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Колмакову Алексею Анатольевичу назначено административное наказание в виде штрафа в размере 3 000 рублей. Постановление от 25.09.2025 № 25-15311/3110-1 о назначении административного наказания вступило в законную силу 24.10.2025.</v>
      </c>
    </row>
    <row r="180" spans="1:11" ht="96" x14ac:dyDescent="0.2">
      <c r="A180" s="16">
        <v>168</v>
      </c>
      <c r="B180" s="29">
        <v>45951</v>
      </c>
      <c r="C180" s="17" t="s">
        <v>225</v>
      </c>
      <c r="D180" s="16" t="s">
        <v>997</v>
      </c>
      <c r="E180" s="16" t="s">
        <v>23</v>
      </c>
      <c r="F180" s="26">
        <v>3000</v>
      </c>
      <c r="G180" s="16">
        <v>3000</v>
      </c>
      <c r="H180" s="16">
        <v>5000</v>
      </c>
      <c r="I180" s="16" t="s">
        <v>1060</v>
      </c>
      <c r="J180" s="17" t="str">
        <f>VLOOKUP(E180,статьи!$G$2:$H$24,2,TRUE)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80" s="17" t="str">
        <f>VLOOKUP(A180,'компании+описание'!$A$1:$D$438,4,)</f>
        <v>По результатам рассмотрения материалов дела об административном правонарушении № ЦА-34-Гр-25-15235,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Данилову  Сергею Вениаминовичу назначено административное наказание в виде штрафа в размере 3 000 рублей. Постановление от 23.09.2025 № 25-15235/3110-1 о назначении административного наказания вступило в законную силу 15.10.2025.</v>
      </c>
    </row>
    <row r="181" spans="1:11" ht="96" x14ac:dyDescent="0.2">
      <c r="A181" s="16">
        <v>169</v>
      </c>
      <c r="B181" s="29">
        <v>45951</v>
      </c>
      <c r="C181" s="17" t="s">
        <v>226</v>
      </c>
      <c r="D181" s="16" t="s">
        <v>997</v>
      </c>
      <c r="E181" s="16" t="s">
        <v>23</v>
      </c>
      <c r="F181" s="26">
        <v>3000</v>
      </c>
      <c r="G181" s="16">
        <v>3000</v>
      </c>
      <c r="H181" s="16">
        <v>5000</v>
      </c>
      <c r="I181" s="16" t="s">
        <v>1060</v>
      </c>
      <c r="J181" s="17" t="str">
        <f>VLOOKUP(E181,статьи!$G$2:$H$24,2,TRUE)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81" s="17" t="str">
        <f>VLOOKUP(A181,'компании+описание'!$A$1:$D$438,4,)</f>
        <v>По результатам рассмотрения материалов дела об административном правонарушении № ЦА-34-Гр-25-15236,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Даниловой Татьяне Владимировне назначено административное наказание в виде штрафа в размере 3 000 рублей. Постановление от 23.09.2025 № 25-15236/3110-1 о назначении административного наказания вступило в законную силу 15.10.2025.</v>
      </c>
    </row>
    <row r="182" spans="1:11" ht="160" x14ac:dyDescent="0.2">
      <c r="A182" s="16">
        <v>170</v>
      </c>
      <c r="B182" s="29">
        <v>45951</v>
      </c>
      <c r="C182" s="17" t="s">
        <v>227</v>
      </c>
      <c r="D182" s="16" t="s">
        <v>996</v>
      </c>
      <c r="E182" s="16" t="s">
        <v>168</v>
      </c>
      <c r="F182" s="26">
        <v>20000</v>
      </c>
      <c r="G182" s="16">
        <v>10000</v>
      </c>
      <c r="H182" s="16">
        <v>20000</v>
      </c>
      <c r="I182" s="16" t="s">
        <v>1063</v>
      </c>
      <c r="J182" s="17" t="str">
        <f>VLOOKUP(E182,статьи!$G$2:$H$24,2,TRUE)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82" s="17" t="str">
        <f>VLOOKUP(A182,'компании+описание'!$A$1:$D$438,4,)</f>
        <v>По результатам рассмотрения материалов дела об административном правонарушении № ЦА-44-ЮЛ-25-14968, возбужденного за совершение административного правонарушения, ответственность за которое предусмотрена частью 1 статьи 5.54 КоАП РФ, акционерное общество «Объединенное Кредитное Бюро» назначено административное наказание в виде штрафа в размере 20 000 рублей. Постановление о назначении административного наказания вступило в законную силу 21.10.2025.По результатам рассмотрения материалов дела об административном правонарушении № ЦА-44-ЮЛ-25-14969, возбужденного за совершение административного правонарушения, ответственность за которое предусмотрена частью 1 статьи 5.54 КоАП РФ, акционерное общество «Объединенное Кредитное Бюро» назначено административное наказание в виде штрафа в размере 20 000 рублей. Постановление о назначении административного наказания вступило в законную силу 21.10.2025.</v>
      </c>
    </row>
    <row r="183" spans="1:11" ht="160" x14ac:dyDescent="0.2">
      <c r="A183" s="16">
        <v>170</v>
      </c>
      <c r="B183" s="29">
        <v>45951</v>
      </c>
      <c r="C183" s="17" t="s">
        <v>227</v>
      </c>
      <c r="D183" s="16" t="s">
        <v>996</v>
      </c>
      <c r="E183" s="16" t="s">
        <v>168</v>
      </c>
      <c r="F183" s="26">
        <v>20000</v>
      </c>
      <c r="G183" s="16">
        <v>10000</v>
      </c>
      <c r="H183" s="16">
        <v>20000</v>
      </c>
      <c r="I183" s="16" t="s">
        <v>1063</v>
      </c>
      <c r="J183" s="17" t="str">
        <f>VLOOKUP(E183,статьи!$G$2:$H$24,2,TRUE)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83" s="17" t="str">
        <f>VLOOKUP(A183,'компании+описание'!$A$1:$D$438,4,)</f>
        <v>По результатам рассмотрения материалов дела об административном правонарушении № ЦА-44-ЮЛ-25-14968, возбужденного за совершение административного правонарушения, ответственность за которое предусмотрена частью 1 статьи 5.54 КоАП РФ, акционерное общество «Объединенное Кредитное Бюро» назначено административное наказание в виде штрафа в размере 20 000 рублей. Постановление о назначении административного наказания вступило в законную силу 21.10.2025.По результатам рассмотрения материалов дела об административном правонарушении № ЦА-44-ЮЛ-25-14969, возбужденного за совершение административного правонарушения, ответственность за которое предусмотрена частью 1 статьи 5.54 КоАП РФ, акционерное общество «Объединенное Кредитное Бюро» назначено административное наказание в виде штрафа в размере 20 000 рублей. Постановление о назначении административного наказания вступило в законную силу 21.10.2025.</v>
      </c>
    </row>
    <row r="184" spans="1:11" ht="96" x14ac:dyDescent="0.2">
      <c r="A184" s="16">
        <v>171</v>
      </c>
      <c r="B184" s="29">
        <v>45950</v>
      </c>
      <c r="C184" s="17" t="s">
        <v>229</v>
      </c>
      <c r="D184" s="16" t="s">
        <v>997</v>
      </c>
      <c r="E184" s="16" t="s">
        <v>23</v>
      </c>
      <c r="F184" s="26">
        <v>3000</v>
      </c>
      <c r="G184" s="16">
        <v>3000</v>
      </c>
      <c r="H184" s="16">
        <v>5000</v>
      </c>
      <c r="I184" s="16" t="s">
        <v>1060</v>
      </c>
      <c r="J184" s="17" t="str">
        <f>VLOOKUP(E184,статьи!$G$2:$H$24,2,TRUE)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84" s="17" t="str">
        <f>VLOOKUP(A184,'компании+описание'!$A$1:$D$438,4,)</f>
        <v>По результатам рассмотрения материалов дела об административном правонарушении № ЦА-34-Гр-25-14293,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Стародубцеву Олегу Александровичу назначено административное наказание в виде штрафа в размере 3 000 рублей. Постановление от 11.09.2025 № 25-14293/3110-1 о назначении административного наказания вступило в законную силу 18.10.2025.</v>
      </c>
    </row>
    <row r="185" spans="1:11" ht="96" x14ac:dyDescent="0.2">
      <c r="A185" s="16">
        <v>172</v>
      </c>
      <c r="B185" s="29">
        <v>45947</v>
      </c>
      <c r="C185" s="17" t="s">
        <v>231</v>
      </c>
      <c r="D185" s="16" t="s">
        <v>996</v>
      </c>
      <c r="E185" s="16" t="s">
        <v>8</v>
      </c>
      <c r="F185" s="26">
        <v>300000</v>
      </c>
      <c r="G185" s="16">
        <v>300000</v>
      </c>
      <c r="H185" s="16">
        <v>500000</v>
      </c>
      <c r="I185" s="16" t="s">
        <v>1060</v>
      </c>
      <c r="J185" s="17" t="str">
        <f>VLOOKUP(E185,статьи!$G$2:$H$24,2,TRUE)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85" s="17" t="str">
        <f>VLOOKUP(A185,'компании+описание'!$A$1:$D$438,4,)</f>
        <v>По результатам рассмотрения материалов дела об административном правонарушении № ЦА-34-ЮЛ-25-15419,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«Райффайзенбанк» назначено административное наказание в виде штрафа размером 300 000 (триста тысяч) рублей. Постановление от 02.10.2025 № 25-15419/3110-1 о назначении административного наказания вступило в законную силу 17.10.2025.</v>
      </c>
    </row>
    <row r="186" spans="1:11" ht="160" x14ac:dyDescent="0.2">
      <c r="A186" s="16">
        <v>173</v>
      </c>
      <c r="B186" s="29">
        <v>45947</v>
      </c>
      <c r="C186" s="17" t="s">
        <v>232</v>
      </c>
      <c r="D186" s="16" t="s">
        <v>996</v>
      </c>
      <c r="E186" s="16" t="s">
        <v>83</v>
      </c>
      <c r="F186" s="26" t="s">
        <v>11</v>
      </c>
      <c r="G186" s="16">
        <v>500000</v>
      </c>
      <c r="H186" s="16">
        <v>700000</v>
      </c>
      <c r="I186" s="16" t="s">
        <v>1062</v>
      </c>
      <c r="J186" s="17" t="str">
        <f>VLOOKUP(E186,статьи!$G$2:$H$24,2,TRUE)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86" s="17" t="str">
        <f>VLOOKUP(A186,'компании+описание'!$A$1:$D$438,4,)</f>
        <v>По результатам рассмотрения материалов дела об административном правонарушении № ЦА-38-ЮЛ-25-15445, возбужденного за совершение административного правонарушения, ответственность за которое предусмотрена частью 2 статьи 15.29 КоАП РФ, Обществу с ограниченной ответственностью «СПЭК ИНВЕСТМЕНТ» назначено административное наказание в виде предупреждения. Постановление вступило в законную силу 17.10.2025.По результатам рассмотрения материалов дела об административном правонарушении № ЦА-38-ЮЛ-25-15446, возбужденного за совершение административного правонарушения, ответственность за которое предусмотрена частью 2 статьи 15.29 КоАП РФ, Обществу с ограниченной ответственностью «СПЭК ИНВЕСТМЕНТ» назначено административное наказание в виде предупреждения. Постановление вступило в законную силу 17.10.2025.</v>
      </c>
    </row>
    <row r="187" spans="1:11" ht="160" x14ac:dyDescent="0.2">
      <c r="A187" s="16">
        <v>173</v>
      </c>
      <c r="B187" s="29">
        <v>45947</v>
      </c>
      <c r="C187" s="17" t="s">
        <v>232</v>
      </c>
      <c r="D187" s="16" t="s">
        <v>996</v>
      </c>
      <c r="E187" s="16" t="s">
        <v>83</v>
      </c>
      <c r="F187" s="26" t="s">
        <v>11</v>
      </c>
      <c r="G187" s="16">
        <v>500000</v>
      </c>
      <c r="H187" s="16">
        <v>700000</v>
      </c>
      <c r="I187" s="16" t="s">
        <v>1062</v>
      </c>
      <c r="J187" s="17" t="str">
        <f>VLOOKUP(E187,статьи!$G$2:$H$24,2,TRUE)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87" s="17" t="str">
        <f>VLOOKUP(A187,'компании+описание'!$A$1:$D$438,4,)</f>
        <v>По результатам рассмотрения материалов дела об административном правонарушении № ЦА-38-ЮЛ-25-15445, возбужденного за совершение административного правонарушения, ответственность за которое предусмотрена частью 2 статьи 15.29 КоАП РФ, Обществу с ограниченной ответственностью «СПЭК ИНВЕСТМЕНТ» назначено административное наказание в виде предупреждения. Постановление вступило в законную силу 17.10.2025.По результатам рассмотрения материалов дела об административном правонарушении № ЦА-38-ЮЛ-25-15446, возбужденного за совершение административного правонарушения, ответственность за которое предусмотрена частью 2 статьи 15.29 КоАП РФ, Обществу с ограниченной ответственностью «СПЭК ИНВЕСТМЕНТ» назначено административное наказание в виде предупреждения. Постановление вступило в законную силу 17.10.2025.</v>
      </c>
    </row>
    <row r="188" spans="1:11" ht="96" x14ac:dyDescent="0.2">
      <c r="A188" s="16">
        <v>174</v>
      </c>
      <c r="B188" s="29">
        <v>45947</v>
      </c>
      <c r="C188" s="17" t="s">
        <v>233</v>
      </c>
      <c r="D188" s="16" t="s">
        <v>997</v>
      </c>
      <c r="E188" s="16" t="s">
        <v>23</v>
      </c>
      <c r="F188" s="26">
        <v>3000</v>
      </c>
      <c r="G188" s="16">
        <v>3000</v>
      </c>
      <c r="H188" s="16">
        <v>5000</v>
      </c>
      <c r="I188" s="16" t="s">
        <v>1060</v>
      </c>
      <c r="J188" s="17" t="str">
        <f>VLOOKUP(E188,статьи!$G$2:$H$24,2,TRUE)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88" s="17" t="str">
        <f>VLOOKUP(A188,'компании+описание'!$A$1:$D$438,4,)</f>
        <v>По результатам рассмотрения материалов дела об административном правонарушении № ЦА-34-Гр-25-14960,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Переверзеву Игорю Леонидовичу назначено административное наказание в виде штрафа в размере 3 000 рублей. Постановление от 19.09.2025 № 25-14960/3110-1 о назначении административного наказания вступило в законную силу 14.10.2025.</v>
      </c>
    </row>
    <row r="189" spans="1:11" ht="96" x14ac:dyDescent="0.2">
      <c r="A189" s="16">
        <v>175</v>
      </c>
      <c r="B189" s="29">
        <v>45947</v>
      </c>
      <c r="C189" s="17" t="s">
        <v>235</v>
      </c>
      <c r="D189" s="16" t="s">
        <v>997</v>
      </c>
      <c r="E189" s="16" t="s">
        <v>23</v>
      </c>
      <c r="F189" s="26">
        <v>3000</v>
      </c>
      <c r="G189" s="16">
        <v>3000</v>
      </c>
      <c r="H189" s="16">
        <v>5000</v>
      </c>
      <c r="I189" s="16" t="s">
        <v>1060</v>
      </c>
      <c r="J189" s="17" t="str">
        <f>VLOOKUP(E189,статьи!$G$2:$H$24,2,TRUE)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89" s="17" t="str">
        <f>VLOOKUP(A189,'компании+описание'!$A$1:$D$438,4,)</f>
        <v>По результатам рассмотрения материалов дела об административном правонарушении № ЦА-34-Гр-25-15238,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Короленко Евгению Александровичу назначено административное наказание в виде штрафа в размере 3 000 рублей. Постановление от 23.09.2025 № 25-15238/3110-1 о назначении административного наказания вступило в законную силу 14.10.2025.</v>
      </c>
    </row>
    <row r="190" spans="1:11" ht="96" x14ac:dyDescent="0.2">
      <c r="A190" s="16">
        <v>176</v>
      </c>
      <c r="B190" s="29">
        <v>45947</v>
      </c>
      <c r="C190" s="17" t="s">
        <v>236</v>
      </c>
      <c r="D190" s="16" t="s">
        <v>997</v>
      </c>
      <c r="E190" s="16" t="s">
        <v>23</v>
      </c>
      <c r="F190" s="26">
        <v>3000</v>
      </c>
      <c r="G190" s="16">
        <v>3000</v>
      </c>
      <c r="H190" s="16">
        <v>5000</v>
      </c>
      <c r="I190" s="16" t="s">
        <v>1060</v>
      </c>
      <c r="J190" s="17" t="str">
        <f>VLOOKUP(E190,статьи!$G$2:$H$24,2,TRUE)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90" s="17" t="str">
        <f>VLOOKUP(A190,'компании+описание'!$A$1:$D$438,4,)</f>
        <v>По результатам рассмотрения материалов дела об административном правонарушении № ЦА-34-Гр-25-14290,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Гараевой Лейле Валерьевне назначено административное наказание в виде штрафа в размере 3 000 рублей. Постановление от 11.09.2025 № 25-14290/3110-1 о назначении административного наказания вступило в законную силу 17.10.2025.</v>
      </c>
    </row>
    <row r="191" spans="1:11" ht="96" x14ac:dyDescent="0.2">
      <c r="A191" s="16">
        <v>177</v>
      </c>
      <c r="B191" s="29">
        <v>45946</v>
      </c>
      <c r="C191" s="17" t="s">
        <v>238</v>
      </c>
      <c r="D191" s="16" t="s">
        <v>997</v>
      </c>
      <c r="E191" s="16" t="s">
        <v>23</v>
      </c>
      <c r="F191" s="26">
        <v>3000</v>
      </c>
      <c r="G191" s="16">
        <v>3000</v>
      </c>
      <c r="H191" s="16">
        <v>5000</v>
      </c>
      <c r="I191" s="16" t="s">
        <v>1060</v>
      </c>
      <c r="J191" s="17" t="str">
        <f>VLOOKUP(E191,статьи!$G$2:$H$24,2,TRUE)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91" s="17" t="str">
        <f>VLOOKUP(A191,'компании+описание'!$A$1:$D$438,4,)</f>
        <v>По результатам рассмотрения материалов дела об административном правонарушении № ЦА-34-Гр-25-14959,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Переверзевой Марине Анатольевне назначено административное наказание в виде штрафа в размере 3 000 рублей. Постановление от 19.09.2025 № 25-14959/3110-1 о назначении административного наказания вступило в законную силу 10.10.2025.</v>
      </c>
    </row>
    <row r="192" spans="1:11" ht="80" x14ac:dyDescent="0.2">
      <c r="A192" s="16">
        <v>178</v>
      </c>
      <c r="B192" s="29">
        <v>45944</v>
      </c>
      <c r="C192" s="17" t="s">
        <v>240</v>
      </c>
      <c r="D192" s="16" t="s">
        <v>996</v>
      </c>
      <c r="E192" s="16" t="s">
        <v>8</v>
      </c>
      <c r="F192" s="26" t="s">
        <v>11</v>
      </c>
      <c r="G192" s="16">
        <v>300000</v>
      </c>
      <c r="H192" s="16">
        <v>500000</v>
      </c>
      <c r="I192" s="16" t="s">
        <v>1062</v>
      </c>
      <c r="J192" s="17" t="str">
        <f>VLOOKUP(E192,статьи!$G$2:$H$24,2,TRUE)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92" s="17" t="str">
        <f>VLOOKUP(A192,'компании+описание'!$A$1:$D$438,4,)</f>
        <v>По результатам рассмотрения материалов дела об административном правонарушении № ЦА-38-ЮЛ-25-15531,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Управляющей компании «Движение капитала» назначено административное наказание в виде предупреждения. Постановление вступило в законную силу 14.10.2025.</v>
      </c>
    </row>
    <row r="193" spans="1:11" ht="96" x14ac:dyDescent="0.2">
      <c r="A193" s="16">
        <v>179</v>
      </c>
      <c r="B193" s="29">
        <v>45940</v>
      </c>
      <c r="C193" s="17" t="s">
        <v>241</v>
      </c>
      <c r="D193" s="16" t="s">
        <v>997</v>
      </c>
      <c r="E193" s="16" t="s">
        <v>23</v>
      </c>
      <c r="F193" s="26">
        <v>3000</v>
      </c>
      <c r="G193" s="16">
        <v>3000</v>
      </c>
      <c r="H193" s="16">
        <v>5000</v>
      </c>
      <c r="I193" s="16" t="s">
        <v>1060</v>
      </c>
      <c r="J193" s="17" t="str">
        <f>VLOOKUP(E193,статьи!$G$2:$H$24,2,TRUE)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93" s="17" t="str">
        <f>VLOOKUP(A193,'компании+описание'!$A$1:$D$438,4,)</f>
        <v>По результатам рассмотрения материалов дела об административном правонарушении № ЦА-34-Гр-25-13764,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Шушкиной Светлане Алексеевне назначено административное наказание в виде штрафа в размере 3 000 рублей. Постановление от 04.09.2025 № 25-13764/3110-1 о назначении административного наказания вступило в законную силу 10.10.2025.</v>
      </c>
    </row>
    <row r="194" spans="1:11" ht="96" x14ac:dyDescent="0.2">
      <c r="A194" s="16">
        <v>180</v>
      </c>
      <c r="B194" s="29">
        <v>45940</v>
      </c>
      <c r="C194" s="17" t="s">
        <v>242</v>
      </c>
      <c r="D194" s="16" t="s">
        <v>997</v>
      </c>
      <c r="E194" s="16" t="s">
        <v>23</v>
      </c>
      <c r="F194" s="26">
        <v>3000</v>
      </c>
      <c r="G194" s="16">
        <v>3000</v>
      </c>
      <c r="H194" s="16">
        <v>5000</v>
      </c>
      <c r="I194" s="16" t="s">
        <v>1060</v>
      </c>
      <c r="J194" s="17" t="str">
        <f>VLOOKUP(E194,статьи!$G$2:$H$24,2,TRUE)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94" s="17" t="str">
        <f>VLOOKUP(A194,'компании+описание'!$A$1:$D$438,4,)</f>
        <v>По результатам рассмотрения материалов дела об административном правонарушении № ЦА-34-Гр-25-13936,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Черепухиной Виктории Борисовне назначено административное наказание в виде штрафа в размере 3 000 рублей. Постановление от 08.09.2025 № 25-13936/3110-1 о назначении административного наказания вступило в законную силу 10.10.2025.</v>
      </c>
    </row>
    <row r="195" spans="1:11" ht="96" x14ac:dyDescent="0.2">
      <c r="A195" s="16">
        <v>181</v>
      </c>
      <c r="B195" s="29">
        <v>45940</v>
      </c>
      <c r="C195" s="17" t="s">
        <v>243</v>
      </c>
      <c r="D195" s="16" t="s">
        <v>997</v>
      </c>
      <c r="E195" s="16" t="s">
        <v>23</v>
      </c>
      <c r="F195" s="26">
        <v>3000</v>
      </c>
      <c r="G195" s="16">
        <v>3000</v>
      </c>
      <c r="H195" s="16">
        <v>5000</v>
      </c>
      <c r="I195" s="16" t="s">
        <v>1060</v>
      </c>
      <c r="J195" s="17" t="str">
        <f>VLOOKUP(E195,статьи!$G$2:$H$24,2,TRUE)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95" s="17" t="str">
        <f>VLOOKUP(A195,'компании+описание'!$A$1:$D$438,4,)</f>
        <v>По результатам рассмотрения материалов дела об административном правонарушении № ЦА-34-Гр-25-13935,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Черепухину Константину Валерьевичу назначено административное наказание в виде штрафа в размере 3 000 рублей. Постановление от 08.09.2025 № 25-13935/3110-1 о назначении административного наказания вступило в законную силу 10.10.2025.</v>
      </c>
    </row>
    <row r="196" spans="1:11" ht="80" x14ac:dyDescent="0.2">
      <c r="A196" s="16">
        <v>182</v>
      </c>
      <c r="B196" s="29">
        <v>45940</v>
      </c>
      <c r="C196" s="17" t="s">
        <v>227</v>
      </c>
      <c r="D196" s="16" t="s">
        <v>996</v>
      </c>
      <c r="E196" s="16" t="s">
        <v>168</v>
      </c>
      <c r="F196" s="26">
        <v>20000</v>
      </c>
      <c r="G196" s="16">
        <v>10000</v>
      </c>
      <c r="H196" s="16">
        <v>20000</v>
      </c>
      <c r="I196" s="16" t="s">
        <v>1063</v>
      </c>
      <c r="J196" s="17" t="str">
        <f>VLOOKUP(E196,статьи!$G$2:$H$24,2,TRUE)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96" s="17" t="str">
        <f>VLOOKUP(A196,'компании+описание'!$A$1:$D$438,4,)</f>
        <v>По результатам рассмотрения материалов дела об административном правонарушении № ЦА-44-ЮЛ-25-15385, возбужденного за совершение административного правонарушения, ответственность за которое предусмотрена частью 1 статьи 5.54 КоАП РФ, акционерное общество «Объединенное Кредитное Бюро» назначено административное наказание в виде штрафа в размере 20 000 рублей. Постановление о назначении административного наказания вступило в законную силу 10.10.2025.</v>
      </c>
    </row>
    <row r="197" spans="1:11" ht="96" x14ac:dyDescent="0.2">
      <c r="A197" s="16">
        <v>183</v>
      </c>
      <c r="B197" s="29">
        <v>45939</v>
      </c>
      <c r="C197" s="17" t="s">
        <v>245</v>
      </c>
      <c r="D197" s="16" t="s">
        <v>997</v>
      </c>
      <c r="E197" s="16" t="s">
        <v>23</v>
      </c>
      <c r="F197" s="26">
        <v>3000</v>
      </c>
      <c r="G197" s="16">
        <v>3000</v>
      </c>
      <c r="H197" s="16">
        <v>5000</v>
      </c>
      <c r="I197" s="16" t="s">
        <v>1060</v>
      </c>
      <c r="J197" s="17" t="str">
        <f>VLOOKUP(E197,статьи!$G$2:$H$24,2,TRUE)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97" s="17" t="str">
        <f>VLOOKUP(A197,'компании+описание'!$A$1:$D$438,4,)</f>
        <v>По результатам рассмотрения материалов дела об административном правонарушении № ЦА-34-Гр-25-13066,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Ковтуну Илье Николаевичу назначено административное наказание в виде штрафа в размере 3 000 рублей. Постановление от 27.08.2025 № 25-13066/3110-1 о назначении административного наказания вступило в законную силу 04.10.2025.</v>
      </c>
    </row>
    <row r="198" spans="1:11" ht="96" x14ac:dyDescent="0.2">
      <c r="A198" s="16">
        <v>184</v>
      </c>
      <c r="B198" s="29">
        <v>45938</v>
      </c>
      <c r="C198" s="17" t="s">
        <v>247</v>
      </c>
      <c r="D198" s="16" t="s">
        <v>997</v>
      </c>
      <c r="E198" s="16" t="s">
        <v>23</v>
      </c>
      <c r="F198" s="26">
        <v>3000</v>
      </c>
      <c r="G198" s="16">
        <v>3000</v>
      </c>
      <c r="H198" s="16">
        <v>5000</v>
      </c>
      <c r="I198" s="16" t="s">
        <v>1060</v>
      </c>
      <c r="J198" s="17" t="str">
        <f>VLOOKUP(E198,статьи!$G$2:$H$24,2,TRUE)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98" s="17" t="str">
        <f>VLOOKUP(A198,'компании+описание'!$A$1:$D$438,4,)</f>
        <v>По результатам рассмотрения материалов дела об административном правонарушении № ЦА-34-Гр-25-13063,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Ковтун Ларисе Николаевне назначено административное наказание в виде штрафа в размере 3 000 рублей. Постановление от 27.08.2025 № 25-13063/3110-1 о назначении административного наказания вступило в законную силу 03.10.2025.</v>
      </c>
    </row>
    <row r="199" spans="1:11" ht="96" x14ac:dyDescent="0.2">
      <c r="A199" s="16">
        <v>185</v>
      </c>
      <c r="B199" s="29">
        <v>45937</v>
      </c>
      <c r="C199" s="17" t="s">
        <v>250</v>
      </c>
      <c r="D199" s="16" t="s">
        <v>997</v>
      </c>
      <c r="E199" s="16" t="s">
        <v>23</v>
      </c>
      <c r="F199" s="26">
        <v>3000</v>
      </c>
      <c r="G199" s="16">
        <v>3000</v>
      </c>
      <c r="H199" s="16">
        <v>5000</v>
      </c>
      <c r="I199" s="16" t="s">
        <v>1060</v>
      </c>
      <c r="J199" s="17" t="str">
        <f>VLOOKUP(E199,статьи!$G$2:$H$24,2,TRUE)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199" s="17" t="str">
        <f>VLOOKUP(A199,'компании+описание'!$A$1:$D$438,4,)</f>
        <v>По результатам рассмотрения материалов дела об административном правонарушении № ЦА-34-Гр-25-13667,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Цуканову Игорю Юрьевичу назначено административное наказание в виде штрафа в размере 3 000 рублей. Постановление от 03.09.2025 № 25-13667/3110-1 о назначении административного наказания вступило в законную силу 07.10.2025.</v>
      </c>
    </row>
    <row r="200" spans="1:11" ht="96" x14ac:dyDescent="0.2">
      <c r="A200" s="16">
        <v>186</v>
      </c>
      <c r="B200" s="29">
        <v>45937</v>
      </c>
      <c r="C200" s="17" t="s">
        <v>251</v>
      </c>
      <c r="D200" s="16" t="s">
        <v>997</v>
      </c>
      <c r="E200" s="16" t="s">
        <v>23</v>
      </c>
      <c r="F200" s="26">
        <v>3000</v>
      </c>
      <c r="G200" s="16">
        <v>3000</v>
      </c>
      <c r="H200" s="16">
        <v>5000</v>
      </c>
      <c r="I200" s="16" t="s">
        <v>1060</v>
      </c>
      <c r="J200" s="17" t="str">
        <f>VLOOKUP(E200,статьи!$G$2:$H$24,2,TRUE)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00" s="17" t="str">
        <f>VLOOKUP(A200,'компании+описание'!$A$1:$D$438,4,)</f>
        <v>По результатам рассмотрения материалов дела об административном правонарушении № ЦА-34-Гр-25-13668,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Цукановой Галине Николаевне назначено административное наказание в виде штрафа в размере 3 000 рублей. Постановление от 03.09.2025 № 25-13668/3110-1 о назначении административного наказания вступило в законную силу 07.10.2025.</v>
      </c>
    </row>
    <row r="201" spans="1:11" ht="96" x14ac:dyDescent="0.2">
      <c r="A201" s="16">
        <v>187</v>
      </c>
      <c r="B201" s="29">
        <v>45937</v>
      </c>
      <c r="C201" s="17" t="s">
        <v>252</v>
      </c>
      <c r="D201" s="16" t="s">
        <v>997</v>
      </c>
      <c r="E201" s="16" t="s">
        <v>23</v>
      </c>
      <c r="F201" s="26">
        <v>3000</v>
      </c>
      <c r="G201" s="16">
        <v>3000</v>
      </c>
      <c r="H201" s="16">
        <v>5000</v>
      </c>
      <c r="I201" s="16" t="s">
        <v>1060</v>
      </c>
      <c r="J201" s="17" t="str">
        <f>VLOOKUP(E201,статьи!$G$2:$H$24,2,TRUE)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01" s="17" t="str">
        <f>VLOOKUP(A201,'компании+описание'!$A$1:$D$438,4,)</f>
        <v>По результатам рассмотрения материалов дела об административном правонарушении № ЦА-34-Гр-25-13759,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Шушкину Денису Вячеславовичу назначено административное наказание в виде штрафа в размере 3 000 рублей. Постановление от 04.09.2025 № 25-13759/3110-1 о назначении административного наказания вступило в законную силу 07.10.2025.</v>
      </c>
    </row>
    <row r="202" spans="1:11" ht="96" x14ac:dyDescent="0.2">
      <c r="A202" s="16">
        <v>188</v>
      </c>
      <c r="B202" s="29">
        <v>45933</v>
      </c>
      <c r="C202" s="17" t="s">
        <v>253</v>
      </c>
      <c r="D202" s="16" t="s">
        <v>997</v>
      </c>
      <c r="E202" s="16" t="s">
        <v>23</v>
      </c>
      <c r="F202" s="26">
        <v>3000</v>
      </c>
      <c r="G202" s="16">
        <v>3000</v>
      </c>
      <c r="H202" s="16">
        <v>5000</v>
      </c>
      <c r="I202" s="16" t="s">
        <v>1060</v>
      </c>
      <c r="J202" s="17" t="str">
        <f>VLOOKUP(E202,статьи!$G$2:$H$24,2,TRUE)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02" s="17" t="str">
        <f>VLOOKUP(A202,'компании+описание'!$A$1:$D$438,4,)</f>
        <v>По результатам рассмотрения материалов дела об административном правонарушении № ЦА-34-Гр-25-13503, возбужденного за совершение административного правонарушения, ответственность за которое предусмотрена статьей 15.30 КоАП РФ, Циркову Игорю Сергеевичу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02.09.2025 № 25-13503/3110-1 вступило в законную силу 03.10.2025.</v>
      </c>
    </row>
    <row r="203" spans="1:11" ht="96" x14ac:dyDescent="0.2">
      <c r="A203" s="16">
        <v>189</v>
      </c>
      <c r="B203" s="29">
        <v>45933</v>
      </c>
      <c r="C203" s="17" t="s">
        <v>254</v>
      </c>
      <c r="D203" s="16" t="s">
        <v>997</v>
      </c>
      <c r="E203" s="16" t="s">
        <v>23</v>
      </c>
      <c r="F203" s="26">
        <v>3000</v>
      </c>
      <c r="G203" s="16">
        <v>3000</v>
      </c>
      <c r="H203" s="16">
        <v>5000</v>
      </c>
      <c r="I203" s="16" t="s">
        <v>1060</v>
      </c>
      <c r="J203" s="17" t="str">
        <f>VLOOKUP(E203,статьи!$G$2:$H$24,2,TRUE)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03" s="17" t="str">
        <f>VLOOKUP(A203,'компании+описание'!$A$1:$D$438,4,)</f>
        <v>По результатам рассмотрения материалов дела об административном правонарушении № ЦА-34-Гр-25-13207, возбужденного за совершение административного правонарушения, ответственность за которое предусмотрена статьей 15.30 КоАП РФ, Бушиной Ольге Валерьевне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28.08.2025 № 25-13207/3110-1 вступило в законную силу 03.10.2025.</v>
      </c>
    </row>
    <row r="204" spans="1:11" ht="96" x14ac:dyDescent="0.2">
      <c r="A204" s="16">
        <v>190</v>
      </c>
      <c r="B204" s="29">
        <v>45933</v>
      </c>
      <c r="C204" s="17" t="s">
        <v>255</v>
      </c>
      <c r="D204" s="16" t="s">
        <v>997</v>
      </c>
      <c r="E204" s="16" t="s">
        <v>23</v>
      </c>
      <c r="F204" s="26">
        <v>3000</v>
      </c>
      <c r="G204" s="16">
        <v>3000</v>
      </c>
      <c r="H204" s="16">
        <v>5000</v>
      </c>
      <c r="I204" s="16" t="s">
        <v>1060</v>
      </c>
      <c r="J204" s="17" t="str">
        <f>VLOOKUP(E204,статьи!$G$2:$H$24,2,TRUE)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04" s="17" t="str">
        <f>VLOOKUP(A204,'компании+описание'!$A$1:$D$438,4,)</f>
        <v>По результатам рассмотрения материалов дела об административном правонарушении № ЦА-34-Гр-25-13202, возбужденного за совершение административного правонарушения, ответственность за которое предусмотрена статьей 15.30 КоАП РФ, Бушиной Любови Александровне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28.08.2025 № 25-13202/3110-1 вступило в законную силу 03.10.2025.</v>
      </c>
    </row>
    <row r="205" spans="1:11" ht="96" x14ac:dyDescent="0.2">
      <c r="A205" s="16">
        <v>191</v>
      </c>
      <c r="B205" s="29">
        <v>45933</v>
      </c>
      <c r="C205" s="17" t="s">
        <v>256</v>
      </c>
      <c r="D205" s="16" t="s">
        <v>997</v>
      </c>
      <c r="E205" s="16" t="s">
        <v>23</v>
      </c>
      <c r="F205" s="26">
        <v>3000</v>
      </c>
      <c r="G205" s="16">
        <v>3000</v>
      </c>
      <c r="H205" s="16">
        <v>5000</v>
      </c>
      <c r="I205" s="16" t="s">
        <v>1060</v>
      </c>
      <c r="J205" s="17" t="str">
        <f>VLOOKUP(E205,статьи!$G$2:$H$24,2,TRUE)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05" s="17" t="str">
        <f>VLOOKUP(A205,'компании+описание'!$A$1:$D$438,4,)</f>
        <v>По результатам рассмотрения материалов дела об административном правонарушении № ЦА-34-Гр-25-13205, возбужденного за совершение административного правонарушения, ответственность за которое предусмотрена статьей 15.30 КоАП РФ, Бушину Андриану Валерьевичу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28.08.2025 № 25-13205/3110-1 вступило в законную силу 03.10.2025.</v>
      </c>
    </row>
    <row r="206" spans="1:11" ht="96" x14ac:dyDescent="0.2">
      <c r="A206" s="16">
        <v>192</v>
      </c>
      <c r="B206" s="29">
        <v>45930</v>
      </c>
      <c r="C206" s="17" t="s">
        <v>258</v>
      </c>
      <c r="D206" s="16" t="s">
        <v>997</v>
      </c>
      <c r="E206" s="16" t="s">
        <v>23</v>
      </c>
      <c r="F206" s="26">
        <v>3000</v>
      </c>
      <c r="G206" s="16">
        <v>3000</v>
      </c>
      <c r="H206" s="16">
        <v>5000</v>
      </c>
      <c r="I206" s="16" t="s">
        <v>1060</v>
      </c>
      <c r="J206" s="17" t="str">
        <f>VLOOKUP(E206,статьи!$G$2:$H$24,2,TRUE)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06" s="17" t="str">
        <f>VLOOKUP(A206,'компании+описание'!$A$1:$D$438,4,)</f>
        <v>По результатам рассмотрения материалов дела об административном правонарушении № ЦА-34-Гр-25-13018, возбужденного за совершение административного правонарушения, ответственность за которое предусмотрена статьей 15.30 КоАП РФ, Литвиновой Ольге Борисовне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27.08.2025 № 25-13018/3110-1 вступило в законную силу 30.09.2025.</v>
      </c>
    </row>
    <row r="207" spans="1:11" ht="80" x14ac:dyDescent="0.2">
      <c r="A207" s="16">
        <v>193</v>
      </c>
      <c r="B207" s="29">
        <v>45930</v>
      </c>
      <c r="C207" s="17" t="s">
        <v>169</v>
      </c>
      <c r="D207" s="16" t="s">
        <v>996</v>
      </c>
      <c r="E207" s="16" t="s">
        <v>80</v>
      </c>
      <c r="F207" s="26">
        <v>700000</v>
      </c>
      <c r="G207" s="16">
        <v>700000</v>
      </c>
      <c r="H207" s="16">
        <v>1000000</v>
      </c>
      <c r="I207" s="16" t="s">
        <v>1060</v>
      </c>
      <c r="J207" s="17" t="str">
        <f>VLOOKUP(E207,статьи!$G$2:$H$24,2,TRUE)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07" s="17" t="str">
        <f>VLOOKUP(A207,'компании+описание'!$A$1:$D$438,4,)</f>
        <v>По результатам рассмотрения материалов дела об административном правонарушении № ЦА-38-ЮЛ-25-14281,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Инвестиционно-финансовой компании «Солид» назначено административное наказание в виде штрафа в размере 700 000 рублей. Постановление вступило в законную силу 30.09.2025.</v>
      </c>
    </row>
    <row r="208" spans="1:11" ht="144" x14ac:dyDescent="0.2">
      <c r="A208" s="16">
        <v>194</v>
      </c>
      <c r="B208" s="29">
        <v>45930</v>
      </c>
      <c r="C208" s="17" t="s">
        <v>259</v>
      </c>
      <c r="D208" s="16" t="s">
        <v>996</v>
      </c>
      <c r="E208" s="16" t="s">
        <v>72</v>
      </c>
      <c r="F208" s="26">
        <v>250000</v>
      </c>
      <c r="G208" s="16">
        <v>500000</v>
      </c>
      <c r="H208" s="16">
        <v>700000</v>
      </c>
      <c r="I208" s="16" t="s">
        <v>1061</v>
      </c>
      <c r="J208" s="17" t="str">
        <f>VLOOKUP(E208,статьи!$G$2:$H$24,2,TRUE)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208" s="17" t="str">
        <f>VLOOKUP(A208,'компании+описание'!$A$1:$D$438,4,)</f>
        <v>По результатам рассмотрения материалов дела об административном правонарушении № ЦА-34-ЮЛ-25-14800,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«Национальное Рейтинговое Агентство»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16.09.2025 № 25-14800/3110-1 вступило в законную силу 30.09.2025.</v>
      </c>
    </row>
    <row r="209" spans="1:11" ht="96" x14ac:dyDescent="0.2">
      <c r="A209" s="16">
        <v>195</v>
      </c>
      <c r="B209" s="29">
        <v>45930</v>
      </c>
      <c r="C209" s="17" t="s">
        <v>260</v>
      </c>
      <c r="D209" s="16" t="s">
        <v>997</v>
      </c>
      <c r="E209" s="16" t="s">
        <v>23</v>
      </c>
      <c r="F209" s="26">
        <v>3000</v>
      </c>
      <c r="G209" s="16">
        <v>3000</v>
      </c>
      <c r="H209" s="16">
        <v>5000</v>
      </c>
      <c r="I209" s="16" t="s">
        <v>1060</v>
      </c>
      <c r="J209" s="17" t="str">
        <f>VLOOKUP(E209,статьи!$G$2:$H$24,2,TRUE)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09" s="17" t="str">
        <f>VLOOKUP(A209,'компании+описание'!$A$1:$D$438,4,)</f>
        <v>По результатам рассмотрения материалов дела об административном правонарушении № ЦА-34-Гр-25-13032, возбужденного за совершение административного правонарушения, ответственность за которое предусмотрена статьей 15.30 КоАП РФ, Литвинову Андрею Александровичу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27.08.2025 № 25-13032/3110-1 вступило в законную силу 30.09.2025.</v>
      </c>
    </row>
    <row r="210" spans="1:11" ht="112" x14ac:dyDescent="0.2">
      <c r="A210" s="16">
        <v>197</v>
      </c>
      <c r="B210" s="29">
        <v>45926</v>
      </c>
      <c r="C210" s="17" t="s">
        <v>262</v>
      </c>
      <c r="D210" s="16" t="s">
        <v>996</v>
      </c>
      <c r="E210" s="16" t="s">
        <v>75</v>
      </c>
      <c r="F210" s="26">
        <v>250000</v>
      </c>
      <c r="G210" s="16">
        <v>500000</v>
      </c>
      <c r="H210" s="16">
        <v>700000</v>
      </c>
      <c r="I210" s="16" t="s">
        <v>1061</v>
      </c>
      <c r="J210" s="17" t="str">
        <f>VLOOKUP(E210,статьи!$G$2:$H$24,2,TRUE)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10" s="17" t="str">
        <f>VLOOKUP(A210,'компании+описание'!$A$1:$D$438,4,)</f>
        <v>По результатам рассмотрения материалов дела об административном правонарушении № ЦА-34-ЮЛ-25-14508,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Акционерному обществу «Ремани»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10.09.2025 № 25-14508/3110-1 вступило в законную силу 26.09.2025.</v>
      </c>
    </row>
    <row r="211" spans="1:11" ht="224" x14ac:dyDescent="0.2">
      <c r="A211" s="16">
        <v>198</v>
      </c>
      <c r="B211" s="29">
        <v>45926</v>
      </c>
      <c r="C211" s="17" t="s">
        <v>263</v>
      </c>
      <c r="D211" s="16" t="s">
        <v>996</v>
      </c>
      <c r="E211" s="16" t="s">
        <v>264</v>
      </c>
      <c r="F211" s="26">
        <v>300000</v>
      </c>
      <c r="G211" s="16">
        <v>300000</v>
      </c>
      <c r="H211" s="16">
        <v>700000</v>
      </c>
      <c r="I211" s="16" t="s">
        <v>1060</v>
      </c>
      <c r="J211" s="17" t="str">
        <f>VLOOKUP(E211,статьи!$G$2:$H$24,2,TRUE)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211" s="17" t="str">
        <f>VLOOKUP(A211,'компании+описание'!$A$1:$D$438,4,)</f>
        <v>По результатам рассмотрения материалов дела об административном правонарушении № ЦА-34-ЮЛ-25-14152ДСП, возбужденного за совершение административного правонарушения, ответственность за которое предусмотрена частью 4 статьи 15.35 Кодекса Российской Федерации об административных правонарушениях, Акционерному обществу «Москва Сити Секьюритиз» назначено административное наказание в виде штрафа в размере 300 000 рублей. Постановление от 10.09.2025 № 25-14152/3110-1ДСП о назначении административного наказания вступило в законную силу 23.09.2025._x000D_
По результатам рассмотрения материалов дела об административном правонарушении № ЦА-34-ЮЛ-25-14149ДСП, возбужденного за совершение административного правонарушения, ответственность за которое предусмотрена частью 2 статьи 15.35 Кодекса Российской Федерации об административных правонарушениях, Акционерному обществу «Москва Сити Секьюритиз» назначено административное наказание в виде предупреждения. Постановление от 10.09.2025 № 25-14149/3120-1ДСП о назначении административного наказания вступило в законную силу 23.09.2025.</v>
      </c>
    </row>
    <row r="212" spans="1:11" ht="224" x14ac:dyDescent="0.2">
      <c r="A212" s="16">
        <v>198</v>
      </c>
      <c r="B212" s="29">
        <v>45926</v>
      </c>
      <c r="C212" s="17" t="s">
        <v>263</v>
      </c>
      <c r="D212" s="16" t="s">
        <v>996</v>
      </c>
      <c r="E212" s="16" t="s">
        <v>266</v>
      </c>
      <c r="F212" s="26" t="s">
        <v>11</v>
      </c>
      <c r="G212" s="16">
        <v>300000</v>
      </c>
      <c r="H212" s="16">
        <v>500000</v>
      </c>
      <c r="I212" s="16" t="s">
        <v>1062</v>
      </c>
      <c r="J212" s="17" t="str">
        <f>VLOOKUP(E212,статьи!$G$2:$H$24,2,TRUE)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12" s="17" t="str">
        <f>VLOOKUP(A212,'компании+описание'!$A$1:$D$438,4,)</f>
        <v>По результатам рассмотрения материалов дела об административном правонарушении № ЦА-34-ЮЛ-25-14152ДСП, возбужденного за совершение административного правонарушения, ответственность за которое предусмотрена частью 4 статьи 15.35 Кодекса Российской Федерации об административных правонарушениях, Акционерному обществу «Москва Сити Секьюритиз» назначено административное наказание в виде штрафа в размере 300 000 рублей. Постановление от 10.09.2025 № 25-14152/3110-1ДСП о назначении административного наказания вступило в законную силу 23.09.2025._x000D_
По результатам рассмотрения материалов дела об административном правонарушении № ЦА-34-ЮЛ-25-14149ДСП, возбужденного за совершение административного правонарушения, ответственность за которое предусмотрена частью 2 статьи 15.35 Кодекса Российской Федерации об административных правонарушениях, Акционерному обществу «Москва Сити Секьюритиз» назначено административное наказание в виде предупреждения. Постановление от 10.09.2025 № 25-14149/3120-1ДСП о назначении административного наказания вступило в законную силу 23.09.2025.</v>
      </c>
    </row>
    <row r="213" spans="1:11" ht="96" x14ac:dyDescent="0.2">
      <c r="A213" s="16">
        <v>199</v>
      </c>
      <c r="B213" s="29">
        <v>45926</v>
      </c>
      <c r="C213" s="17" t="s">
        <v>267</v>
      </c>
      <c r="D213" s="16" t="s">
        <v>997</v>
      </c>
      <c r="E213" s="16" t="s">
        <v>23</v>
      </c>
      <c r="F213" s="26">
        <v>3000</v>
      </c>
      <c r="G213" s="16">
        <v>3000</v>
      </c>
      <c r="H213" s="16">
        <v>5000</v>
      </c>
      <c r="I213" s="16" t="s">
        <v>1060</v>
      </c>
      <c r="J213" s="17" t="str">
        <f>VLOOKUP(E213,статьи!$G$2:$H$24,2,TRUE)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13" s="17" t="str">
        <f>VLOOKUP(A213,'компании+описание'!$A$1:$D$438,4,)</f>
        <v>По результатам рассмотрения материалов дела об административном правонарушении № ЦА-34-Гр-25-13506,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Цирковой Любови Ивановне назначено административное наказание в виде штрафа в размере 3 000 рублей. Постановление от 02.09.2025 № 25-13506/3110-1 о назначении административного наказания вступило в законную силу 23.09.2025.</v>
      </c>
    </row>
    <row r="214" spans="1:11" ht="112" x14ac:dyDescent="0.2">
      <c r="A214" s="16">
        <v>200</v>
      </c>
      <c r="B214" s="29">
        <v>45926</v>
      </c>
      <c r="C214" s="17" t="s">
        <v>268</v>
      </c>
      <c r="D214" s="16" t="s">
        <v>996</v>
      </c>
      <c r="E214" s="16" t="s">
        <v>75</v>
      </c>
      <c r="F214" s="26">
        <v>350000</v>
      </c>
      <c r="G214" s="16">
        <v>500000</v>
      </c>
      <c r="H214" s="16">
        <v>700000</v>
      </c>
      <c r="I214" s="16" t="s">
        <v>1061</v>
      </c>
      <c r="J214" s="17" t="str">
        <f>VLOOKUP(E214,статьи!$G$2:$H$24,2,TRUE)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14" s="17" t="str">
        <f>VLOOKUP(A214,'компании+описание'!$A$1:$D$438,4,)</f>
        <v>По результатам рассмотрения материалов дела об административном правонарушении № ЦА-34-ЮЛ-25-14496,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«Каркаул.ру» назначено административное наказание в виде штрафа в размере 350 000 (триста пятьдесят тысяч) рублей. Постановление о наложении штрафа по делу об административном правонарушении от 10.09.2025 № 25-14496/3110-1 вступило в законную силу 26.09.2025.</v>
      </c>
    </row>
    <row r="215" spans="1:11" ht="80" x14ac:dyDescent="0.2">
      <c r="A215" s="16">
        <v>201</v>
      </c>
      <c r="B215" s="29">
        <v>45923</v>
      </c>
      <c r="C215" s="17" t="s">
        <v>269</v>
      </c>
      <c r="D215" s="16" t="s">
        <v>996</v>
      </c>
      <c r="E215" s="16" t="s">
        <v>168</v>
      </c>
      <c r="F215" s="26">
        <v>20000</v>
      </c>
      <c r="G215" s="16">
        <v>10000</v>
      </c>
      <c r="H215" s="16">
        <v>20000</v>
      </c>
      <c r="I215" s="16" t="s">
        <v>1063</v>
      </c>
      <c r="J215" s="17" t="str">
        <f>VLOOKUP(E215,статьи!$G$2:$H$24,2,TRUE)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15" s="17" t="str">
        <f>VLOOKUP(A215,'компании+описание'!$A$1:$D$438,4,)</f>
        <v>По результатам рассмотрения материалов дела об административном правонарушении № ЦА-44-ЮЛ-25-14245, возбужденного за совершение административного правонарушения, ответственность за которое предусмотрена частью 1 статьи 5.54 КоАП РФ, АО «Объединенное Кредитное Бюро» назначено административное наказание в виде штрафа в размере 20 000 рублей. Постановление о назначении административного наказания вступило в законную силу 23.09.2025.</v>
      </c>
    </row>
    <row r="216" spans="1:11" ht="160" x14ac:dyDescent="0.2">
      <c r="A216" s="16">
        <v>202</v>
      </c>
      <c r="B216" s="29">
        <v>45923</v>
      </c>
      <c r="C216" s="17" t="s">
        <v>270</v>
      </c>
      <c r="D216" s="16" t="s">
        <v>996</v>
      </c>
      <c r="E216" s="16" t="s">
        <v>5</v>
      </c>
      <c r="F216" s="26">
        <v>700000</v>
      </c>
      <c r="G216" s="16">
        <v>700000</v>
      </c>
      <c r="H216" s="16">
        <v>1000000</v>
      </c>
      <c r="I216" s="16" t="s">
        <v>1060</v>
      </c>
      <c r="J216" s="17" t="str">
        <f>VLOOKUP(E216,статьи!$G$2:$H$24,2,TRUE)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216" s="17" t="str">
        <f>VLOOKUP(A216,'компании+описание'!$A$1:$D$438,4,)</f>
        <v>По результатам рассмотрения материалов дела об административном правонарушении № ЦА-38-ЮЛ-25-13601, возбужденного за совершение административного правонарушения, ответственность за которое предусмотрена частью 9 статьи 15.29 КоАП РФ, Акционерному обществу «Москва Сити Секьюритиз» назначено административное наказание в виде штрафа в размере 700 000 рублей. Постановление вступило в законную силу 23.09.2025._x000D_
По результатам рассмотрения материалов дела об административном правонарушении № ЦА-38-ЮЛ-25-13644, возбужденного за совершение административного правонарушения, ответственность за которое предусмотрена частью 2 статьи 15.29 КоАП РФ, Акционерному обществу «Москва Сити Секьюритиз» назначено административное наказание в виде штрафа в размере 500 000 рублей. Постановление вступило в законную силу 23.09.2025.</v>
      </c>
    </row>
    <row r="217" spans="1:11" ht="160" x14ac:dyDescent="0.2">
      <c r="A217" s="16">
        <v>202</v>
      </c>
      <c r="B217" s="29">
        <v>45923</v>
      </c>
      <c r="C217" s="17" t="s">
        <v>270</v>
      </c>
      <c r="D217" s="16" t="s">
        <v>996</v>
      </c>
      <c r="E217" s="16" t="s">
        <v>83</v>
      </c>
      <c r="F217" s="26">
        <v>500000</v>
      </c>
      <c r="G217" s="16">
        <v>500000</v>
      </c>
      <c r="H217" s="16">
        <v>700000</v>
      </c>
      <c r="I217" s="16" t="s">
        <v>1060</v>
      </c>
      <c r="J217" s="17" t="str">
        <f>VLOOKUP(E217,статьи!$G$2:$H$24,2,TRUE)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17" s="17" t="str">
        <f>VLOOKUP(A217,'компании+описание'!$A$1:$D$438,4,)</f>
        <v>По результатам рассмотрения материалов дела об административном правонарушении № ЦА-38-ЮЛ-25-13601, возбужденного за совершение административного правонарушения, ответственность за которое предусмотрена частью 9 статьи 15.29 КоАП РФ, Акционерному обществу «Москва Сити Секьюритиз» назначено административное наказание в виде штрафа в размере 700 000 рублей. Постановление вступило в законную силу 23.09.2025._x000D_
По результатам рассмотрения материалов дела об административном правонарушении № ЦА-38-ЮЛ-25-13644, возбужденного за совершение административного правонарушения, ответственность за которое предусмотрена частью 2 статьи 15.29 КоАП РФ, Акционерному обществу «Москва Сити Секьюритиз» назначено административное наказание в виде штрафа в размере 500 000 рублей. Постановление вступило в законную силу 23.09.2025.</v>
      </c>
    </row>
    <row r="218" spans="1:11" ht="80" x14ac:dyDescent="0.2">
      <c r="A218" s="16">
        <v>203</v>
      </c>
      <c r="B218" s="29">
        <v>45923</v>
      </c>
      <c r="C218" s="17" t="s">
        <v>271</v>
      </c>
      <c r="D218" s="16" t="s">
        <v>996</v>
      </c>
      <c r="E218" s="16" t="s">
        <v>8</v>
      </c>
      <c r="F218" s="26">
        <v>150000</v>
      </c>
      <c r="G218" s="16">
        <v>300000</v>
      </c>
      <c r="H218" s="16">
        <v>500000</v>
      </c>
      <c r="I218" s="16" t="s">
        <v>1061</v>
      </c>
      <c r="J218" s="17" t="str">
        <f>VLOOKUP(E218,статьи!$G$2:$H$24,2,TRUE)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18" s="17" t="str">
        <f>VLOOKUP(A218,'компании+описание'!$A$1:$D$438,4,)</f>
        <v>По результатам рассмотрения материалов дела об административном правонарушении № ЦА-38-ЮЛ-25-13781,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«БКС Управление Благосостоянием» назначено административное наказание в виде штрафа в размере 150 000 рублей. Постановление вступило в законную силу 23.09.2025.</v>
      </c>
    </row>
    <row r="219" spans="1:11" ht="144" x14ac:dyDescent="0.2">
      <c r="A219" s="16">
        <v>204</v>
      </c>
      <c r="B219" s="29">
        <v>45922</v>
      </c>
      <c r="C219" s="17" t="s">
        <v>273</v>
      </c>
      <c r="D219" s="16" t="s">
        <v>996</v>
      </c>
      <c r="E219" s="16" t="s">
        <v>274</v>
      </c>
      <c r="F219" s="26" t="s">
        <v>11</v>
      </c>
      <c r="G219" s="16">
        <v>300000</v>
      </c>
      <c r="H219" s="16">
        <v>500000</v>
      </c>
      <c r="I219" s="16" t="s">
        <v>1062</v>
      </c>
      <c r="J219" s="17" t="str">
        <f>VLOOKUP(E219,статьи!$G$2:$H$24,2,TRUE)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219" s="17" t="str">
        <f>VLOOKUP(A219,'компании+описание'!$A$1:$D$438,4,)</f>
        <v>По результатам рассмотрения материалов дела об административном правонарушении № ЦА-34-ЮЛ-25-13578, возбужденного за совершение административного правонарушения, ответственность за которое предусмотрена частью 7 статьи 14.24 КоАП РФ, Публичному акционерному обществу «Московская Биржа ММВБ-РТС» назначено административное наказание в виде предупреждения. Постановление о назначении административного наказания от 03.09.2025 № ЦА-34-ЮЛ-25-13578/3120-1 вступило в законную силу 20.09.2025.</v>
      </c>
    </row>
    <row r="220" spans="1:11" ht="96" x14ac:dyDescent="0.2">
      <c r="A220" s="16">
        <v>206</v>
      </c>
      <c r="B220" s="29">
        <v>45919</v>
      </c>
      <c r="C220" s="17" t="s">
        <v>275</v>
      </c>
      <c r="D220" s="16" t="s">
        <v>996</v>
      </c>
      <c r="E220" s="16" t="s">
        <v>8</v>
      </c>
      <c r="F220" s="26">
        <v>300000</v>
      </c>
      <c r="G220" s="16">
        <v>300000</v>
      </c>
      <c r="H220" s="16">
        <v>500000</v>
      </c>
      <c r="I220" s="16" t="s">
        <v>1060</v>
      </c>
      <c r="J220" s="17" t="str">
        <f>VLOOKUP(E220,статьи!$G$2:$H$24,2,TRUE)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20" s="17" t="str">
        <f>VLOOKUP(A220,'компании+описание'!$A$1:$D$438,4,)</f>
        <v>По результатам рассмотрения материалов дела об административном правонарушении № ЦА-34-ЮЛ-25-13854,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«Специализированный депозитарий «ИНФИНИТУМ» назначено административное наказание в виде штрафа размером 300 000 (триста тысяч) рублей. Постановление от 03.09.2025 № 25-13854/3110-1 о назначении административного наказания вступило в законную силу 19.09.2025.</v>
      </c>
    </row>
    <row r="221" spans="1:11" ht="80" x14ac:dyDescent="0.2">
      <c r="A221" s="16">
        <v>207</v>
      </c>
      <c r="B221" s="29">
        <v>45916</v>
      </c>
      <c r="C221" s="17" t="s">
        <v>277</v>
      </c>
      <c r="D221" s="16" t="s">
        <v>996</v>
      </c>
      <c r="E221" s="16" t="s">
        <v>8</v>
      </c>
      <c r="F221" s="26" t="s">
        <v>11</v>
      </c>
      <c r="G221" s="16">
        <v>300000</v>
      </c>
      <c r="H221" s="16">
        <v>500000</v>
      </c>
      <c r="I221" s="16" t="s">
        <v>1062</v>
      </c>
      <c r="J221" s="17" t="str">
        <f>VLOOKUP(E221,статьи!$G$2:$H$24,2,TRUE)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21" s="17" t="str">
        <f>VLOOKUP(A221,'компании+описание'!$A$1:$D$438,4,)</f>
        <v>По результатам рассмотрения материалов дела об административном правонарушении № ЦА-38-ЮЛ-25-13234,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Управляющей компании «Эра Инвестиций» назначено административное наказание в виде предупреждения. Постановление вступило в законную силу 16.09.2025.</v>
      </c>
    </row>
    <row r="222" spans="1:11" ht="80" x14ac:dyDescent="0.2">
      <c r="A222" s="16">
        <v>208</v>
      </c>
      <c r="B222" s="29">
        <v>45916</v>
      </c>
      <c r="C222" s="17" t="s">
        <v>85</v>
      </c>
      <c r="D222" s="16" t="s">
        <v>996</v>
      </c>
      <c r="E222" s="16" t="s">
        <v>8</v>
      </c>
      <c r="F222" s="26">
        <v>300000</v>
      </c>
      <c r="G222" s="16">
        <v>300000</v>
      </c>
      <c r="H222" s="16">
        <v>500000</v>
      </c>
      <c r="I222" s="16" t="s">
        <v>1060</v>
      </c>
      <c r="J222" s="17" t="str">
        <f>VLOOKUP(E222,статьи!$G$2:$H$24,2,TRUE)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22" s="17" t="str">
        <f>VLOOKUP(A222,'компании+описание'!$A$1:$D$438,4,)</f>
        <v>По результатам рассмотрения материалов дела об административном правонарушении № ЦА-38-ЮЛ-25-11426,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«РСХБ Управление Активами» назначено административное наказание в виде штрафа в размере 300 000 рублей. Постановление вступило в законную силу 16.09.2025.</v>
      </c>
    </row>
    <row r="223" spans="1:11" ht="96" x14ac:dyDescent="0.2">
      <c r="A223" s="16">
        <v>209</v>
      </c>
      <c r="B223" s="29">
        <v>45912</v>
      </c>
      <c r="C223" s="17" t="s">
        <v>279</v>
      </c>
      <c r="D223" s="16" t="s">
        <v>997</v>
      </c>
      <c r="E223" s="16" t="s">
        <v>23</v>
      </c>
      <c r="F223" s="26">
        <v>3000</v>
      </c>
      <c r="G223" s="16">
        <v>3000</v>
      </c>
      <c r="H223" s="16">
        <v>5000</v>
      </c>
      <c r="I223" s="16" t="s">
        <v>1060</v>
      </c>
      <c r="J223" s="17" t="str">
        <f>VLOOKUP(E223,статьи!$G$2:$H$24,2,TRUE)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23" s="17" t="str">
        <f>VLOOKUP(A223,'компании+описание'!$A$1:$D$438,4,)</f>
        <v>По результатам рассмотрения материалов дела об административном правонарушении № ЦА-34-Гр-25-10461,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Гребенниковой Татьяне Витальевне  назначено административное наказание в виде штрафа в размере 3 000 рублей. Постановление от 29.07.2025 № 25-10461/3110-1 о назначении административного наказания вступило в законную силу 09.09.2025.</v>
      </c>
    </row>
    <row r="224" spans="1:11" ht="96" x14ac:dyDescent="0.2">
      <c r="A224" s="16">
        <v>210</v>
      </c>
      <c r="B224" s="29">
        <v>45912</v>
      </c>
      <c r="C224" s="17" t="s">
        <v>281</v>
      </c>
      <c r="D224" s="16" t="s">
        <v>997</v>
      </c>
      <c r="E224" s="16" t="s">
        <v>23</v>
      </c>
      <c r="F224" s="26">
        <v>3000</v>
      </c>
      <c r="G224" s="16">
        <v>3000</v>
      </c>
      <c r="H224" s="16">
        <v>5000</v>
      </c>
      <c r="I224" s="16" t="s">
        <v>1060</v>
      </c>
      <c r="J224" s="17" t="str">
        <f>VLOOKUP(E224,статьи!$G$2:$H$24,2,TRUE)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24" s="17" t="str">
        <f>VLOOKUP(A224,'компании+описание'!$A$1:$D$438,4,)</f>
        <v>По результатам рассмотрения материалов дела об административном правонарушении № ЦА-34-Гр-25-10644,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Гуревичу Вадиму Александровичу назначено административное наказание в виде штрафа в размере 3 000 рублей. Постановление от 30.07.2025 № 25-10644/3110-1 о назначении административного наказания вступило в законную силу 06.09.2025.</v>
      </c>
    </row>
    <row r="225" spans="1:11" ht="96" x14ac:dyDescent="0.2">
      <c r="A225" s="16">
        <v>211</v>
      </c>
      <c r="B225" s="29">
        <v>45912</v>
      </c>
      <c r="C225" s="17" t="s">
        <v>282</v>
      </c>
      <c r="D225" s="16" t="s">
        <v>997</v>
      </c>
      <c r="E225" s="16" t="s">
        <v>23</v>
      </c>
      <c r="F225" s="26">
        <v>3000</v>
      </c>
      <c r="G225" s="16">
        <v>3000</v>
      </c>
      <c r="H225" s="16">
        <v>5000</v>
      </c>
      <c r="I225" s="16" t="s">
        <v>1060</v>
      </c>
      <c r="J225" s="17" t="str">
        <f>VLOOKUP(E225,статьи!$G$2:$H$24,2,TRUE)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25" s="17" t="str">
        <f>VLOOKUP(A225,'компании+описание'!$A$1:$D$438,4,)</f>
        <v>По результатам рассмотрения материалов дела об административном правонарушении № ЦА-34-Гр-25-10646,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Гуревич Иветте Абрамовне назначено административное наказание в виде штрафа в размере 3 000 рублей. Постановление от 30.07.2025 № 25-10646/3110-1 о назначении административного наказания вступило в законную силу 06.09.2025.</v>
      </c>
    </row>
    <row r="226" spans="1:11" ht="80" x14ac:dyDescent="0.2">
      <c r="A226" s="16">
        <v>212</v>
      </c>
      <c r="B226" s="29">
        <v>45909</v>
      </c>
      <c r="C226" s="17" t="s">
        <v>269</v>
      </c>
      <c r="D226" s="16" t="s">
        <v>996</v>
      </c>
      <c r="E226" s="16" t="s">
        <v>168</v>
      </c>
      <c r="F226" s="26">
        <v>20000</v>
      </c>
      <c r="G226" s="16">
        <v>10000</v>
      </c>
      <c r="H226" s="16">
        <v>20000</v>
      </c>
      <c r="I226" s="16" t="s">
        <v>1063</v>
      </c>
      <c r="J226" s="17" t="str">
        <f>VLOOKUP(E226,статьи!$G$2:$H$24,2,TRUE)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26" s="17" t="str">
        <f>VLOOKUP(A226,'компании+описание'!$A$1:$D$438,4,)</f>
        <v>По результатам рассмотрения материалов дела об административном правонарушении № ЦА-44-ЮЛ-25-13209, возбужденного за совершение административного правонарушения, ответственность за которое предусмотрена частью 1 статьи 5.54 КоАП РФ, АО «Объединенное Кредитное Бюро» назначено административное наказание в виде штрафа в размере 20 000 рублей. Постановление о назначении административного наказания вступило в законную силу 09.09.2025.</v>
      </c>
    </row>
    <row r="227" spans="1:11" ht="80" x14ac:dyDescent="0.2">
      <c r="A227" s="16">
        <v>215</v>
      </c>
      <c r="B227" s="29">
        <v>45902</v>
      </c>
      <c r="C227" s="17" t="s">
        <v>284</v>
      </c>
      <c r="D227" s="16" t="s">
        <v>996</v>
      </c>
      <c r="E227" s="16" t="s">
        <v>83</v>
      </c>
      <c r="F227" s="26">
        <v>500000</v>
      </c>
      <c r="G227" s="16">
        <v>500000</v>
      </c>
      <c r="H227" s="16">
        <v>700000</v>
      </c>
      <c r="I227" s="16" t="s">
        <v>1060</v>
      </c>
      <c r="J227" s="17" t="str">
        <f>VLOOKUP(E227,статьи!$G$2:$H$24,2,TRUE)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27" s="17" t="str">
        <f>VLOOKUP(A227,'компании+описание'!$A$1:$D$438,4,)</f>
        <v>По результатам рассмотрения материалов дела об административном правонарушении № ЦА-38-ЮЛ-25-12384, возбужденного за совершение административного правонарушения, ответственность за которое предусмотрена частью 2 статьи 15.29 КоАП РФ, Акционерному обществу «Инвестиционная компания «Ай Ти Инвест» назначено административное наказание в виде штрафа в размере 500 000 рублей. Постановление вступило в законную силу 02.09.2025.</v>
      </c>
    </row>
    <row r="228" spans="1:11" ht="80" x14ac:dyDescent="0.2">
      <c r="A228" s="16">
        <v>216</v>
      </c>
      <c r="B228" s="29">
        <v>45902</v>
      </c>
      <c r="C228" s="17" t="s">
        <v>133</v>
      </c>
      <c r="D228" s="16" t="s">
        <v>996</v>
      </c>
      <c r="E228" s="16" t="s">
        <v>8</v>
      </c>
      <c r="F228" s="26">
        <v>150000</v>
      </c>
      <c r="G228" s="16">
        <v>300000</v>
      </c>
      <c r="H228" s="16">
        <v>500000</v>
      </c>
      <c r="I228" s="16" t="s">
        <v>1061</v>
      </c>
      <c r="J228" s="17" t="str">
        <f>VLOOKUP(E228,статьи!$G$2:$H$24,2,TRUE)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28" s="17" t="str">
        <f>VLOOKUP(A228,'компании+описание'!$A$1:$D$438,4,)</f>
        <v>По результатам рассмотрения материалов дела об административном правонарушении № ЦА-38-ЮЛ-25-12386,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Управляющей компании «Надежное управление»  назначено административное наказание в виде штрафа в размере 150 000  рублей. Постановление вступило в законную силу 02.09.2025.</v>
      </c>
    </row>
    <row r="229" spans="1:11" ht="144" x14ac:dyDescent="0.2">
      <c r="A229" s="16">
        <v>217</v>
      </c>
      <c r="B229" s="29">
        <v>45902</v>
      </c>
      <c r="C229" s="17" t="s">
        <v>285</v>
      </c>
      <c r="D229" s="16" t="s">
        <v>996</v>
      </c>
      <c r="E229" s="16" t="s">
        <v>72</v>
      </c>
      <c r="F229" s="26">
        <v>350000</v>
      </c>
      <c r="G229" s="16">
        <v>500000</v>
      </c>
      <c r="H229" s="16">
        <v>700000</v>
      </c>
      <c r="I229" s="16" t="s">
        <v>1061</v>
      </c>
      <c r="J229" s="17" t="str">
        <f>VLOOKUP(E229,статьи!$G$2:$H$24,2,TRUE)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229" s="17" t="str">
        <f>VLOOKUP(A229,'компании+описание'!$A$1:$D$438,4,)</f>
        <v>По результатам рассмотрения материалов дела об административном правонарушении № ЦА-34-ЮЛ-25-12555,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«ИНВЕСТИРУЙ В» назначено административное наказание в виде штрафа в размере 350 000 (триста пятьдесят тысяч) рублей. Постановление о наложении штрафа по делу об административном правонарушении от 20.08.2025 № 25-12555/3110-1 вступило в законную силу 02.09.2025.</v>
      </c>
    </row>
    <row r="230" spans="1:11" ht="80" x14ac:dyDescent="0.2">
      <c r="A230" s="16">
        <v>218</v>
      </c>
      <c r="B230" s="29">
        <v>45898</v>
      </c>
      <c r="C230" s="17" t="s">
        <v>269</v>
      </c>
      <c r="D230" s="16" t="s">
        <v>996</v>
      </c>
      <c r="E230" s="16" t="s">
        <v>168</v>
      </c>
      <c r="F230" s="26">
        <v>20000</v>
      </c>
      <c r="G230" s="16">
        <v>10000</v>
      </c>
      <c r="H230" s="16">
        <v>20000</v>
      </c>
      <c r="I230" s="16" t="s">
        <v>1063</v>
      </c>
      <c r="J230" s="17" t="str">
        <f>VLOOKUP(E230,статьи!$G$2:$H$24,2,TRUE)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30" s="17" t="str">
        <f>VLOOKUP(A230,'компании+описание'!$A$1:$D$438,4,)</f>
        <v>По результатам рассмотрения материалов дела об административном правонарушении № ЦА-44-ЮЛ-25-11891, возбужденного за совершение административного правонарушения, ответственность за которое предусмотрена частью 1 статьи 5.54 КоАП РФ, АО «Объединенное Кредитное Бюро» назначено административное наказание в виде штрафа в размере 20 000 рублей. Постановление о назначении административного наказания вступило в законную силу 29.08.2025.</v>
      </c>
    </row>
    <row r="231" spans="1:11" ht="96" x14ac:dyDescent="0.2">
      <c r="A231" s="16">
        <v>219</v>
      </c>
      <c r="B231" s="29">
        <v>45898</v>
      </c>
      <c r="C231" s="17" t="s">
        <v>287</v>
      </c>
      <c r="D231" s="16" t="s">
        <v>997</v>
      </c>
      <c r="E231" s="16" t="s">
        <v>23</v>
      </c>
      <c r="F231" s="26">
        <v>5000</v>
      </c>
      <c r="G231" s="16">
        <v>3000</v>
      </c>
      <c r="H231" s="16">
        <v>5000</v>
      </c>
      <c r="I231" s="16" t="s">
        <v>1063</v>
      </c>
      <c r="J231" s="17" t="str">
        <f>VLOOKUP(E231,статьи!$G$2:$H$24,2,TRUE)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31" s="17" t="str">
        <f>VLOOKUP(A231,'компании+описание'!$A$1:$D$438,4,)</f>
        <v>По результатам рассмотрения материалов дела об административном правонарушении № ЦА-34-ГР-25-10458,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Гребенникову Александру Александровичу назначено административное наказание в виде штрафа в размере 5 000 рублей. Постановление от 29.07.2025 № 25-10458/3110-1 о назначении административного наказания вступило в законную силу 27.08.2025.</v>
      </c>
    </row>
    <row r="232" spans="1:11" ht="144" x14ac:dyDescent="0.2">
      <c r="A232" s="16">
        <v>220</v>
      </c>
      <c r="B232" s="29">
        <v>45895</v>
      </c>
      <c r="C232" s="17" t="s">
        <v>289</v>
      </c>
      <c r="D232" s="16" t="s">
        <v>996</v>
      </c>
      <c r="E232" s="16" t="s">
        <v>5</v>
      </c>
      <c r="F232" s="26">
        <v>700000</v>
      </c>
      <c r="G232" s="16">
        <v>700000</v>
      </c>
      <c r="H232" s="16">
        <v>1000000</v>
      </c>
      <c r="I232" s="16" t="s">
        <v>1060</v>
      </c>
      <c r="J232" s="17" t="str">
        <f>VLOOKUP(E232,статьи!$G$2:$H$24,2,TRUE)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232" s="17" t="str">
        <f>VLOOKUP(A232,'компании+описание'!$A$1:$D$438,4,)</f>
        <v>По результатам рассмотрения материалов дела об административном правонарушении _x000D_
№ ЦА-38-ЮЛ-25-10924, возбужденного за совершение административного правонарушения, ответственность за которое предусмотрена частью 9 статьи 15.29 КоАП РФ, Акционерному обществу «Инвестиционная компания «РИКОМ-ТРАСТ» назначено административное наказание в виде штрафа в размере 700 000 рублей. Постановление вступило в законную силу 26.08.2025.</v>
      </c>
    </row>
    <row r="233" spans="1:11" ht="80" x14ac:dyDescent="0.2">
      <c r="A233" s="16">
        <v>221</v>
      </c>
      <c r="B233" s="29">
        <v>45894</v>
      </c>
      <c r="C233" s="17" t="s">
        <v>291</v>
      </c>
      <c r="D233" s="16" t="s">
        <v>996</v>
      </c>
      <c r="E233" s="16" t="s">
        <v>83</v>
      </c>
      <c r="F233" s="26">
        <v>500000</v>
      </c>
      <c r="G233" s="16">
        <v>500000</v>
      </c>
      <c r="H233" s="16">
        <v>700000</v>
      </c>
      <c r="I233" s="16" t="s">
        <v>1060</v>
      </c>
      <c r="J233" s="17" t="str">
        <f>VLOOKUP(E233,статьи!$G$2:$H$24,2,TRUE)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33" s="17" t="str">
        <f>VLOOKUP(A233,'компании+описание'!$A$1:$D$438,4,)</f>
        <v>По результатам рассмотрения материалов дела об административном правонарушении № ЦА-38-ЮЛ-25-11527, возбужденного за совершение административного правонарушения, ответственность за которое предусмотрена частью 2 статьи 15.29 КоАП РФ, Обществу с ограниченной ответственностью «Т-Инвест Лаб» назначено административное наказание в виде штрафа в размере 500 000 рублей. Постановление вступило в законную силу 23.08.2025.</v>
      </c>
    </row>
    <row r="234" spans="1:11" ht="80" x14ac:dyDescent="0.2">
      <c r="A234" s="16">
        <v>222</v>
      </c>
      <c r="B234" s="29">
        <v>45894</v>
      </c>
      <c r="C234" s="17" t="s">
        <v>292</v>
      </c>
      <c r="D234" s="16" t="s">
        <v>996</v>
      </c>
      <c r="E234" s="16" t="s">
        <v>8</v>
      </c>
      <c r="F234" s="26">
        <v>350000</v>
      </c>
      <c r="G234" s="16">
        <v>300000</v>
      </c>
      <c r="H234" s="16">
        <v>500000</v>
      </c>
      <c r="I234" s="16" t="s">
        <v>1059</v>
      </c>
      <c r="J234" s="17" t="str">
        <f>VLOOKUP(E234,статьи!$G$2:$H$24,2,TRUE)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34" s="17" t="str">
        <f>VLOOKUP(A234,'компании+описание'!$A$1:$D$438,4,)</f>
        <v>По результатам рассмотрения материалов дела об административном правонарушении № ЦА-38-ЮЛ-25-11455,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«Управляющая компания «Атон-менеджмент» назначено административное наказание в виде штрафа в размере 350 000 рублей. Постановление вступило в законную силу 23.08.2025.</v>
      </c>
    </row>
    <row r="235" spans="1:11" ht="80" x14ac:dyDescent="0.2">
      <c r="A235" s="16">
        <v>223</v>
      </c>
      <c r="B235" s="29">
        <v>45891</v>
      </c>
      <c r="C235" s="17" t="s">
        <v>294</v>
      </c>
      <c r="D235" s="16" t="s">
        <v>996</v>
      </c>
      <c r="E235" s="16" t="s">
        <v>8</v>
      </c>
      <c r="F235" s="26" t="s">
        <v>11</v>
      </c>
      <c r="G235" s="16">
        <v>300000</v>
      </c>
      <c r="H235" s="16">
        <v>500000</v>
      </c>
      <c r="I235" s="16" t="s">
        <v>1062</v>
      </c>
      <c r="J235" s="17" t="str">
        <f>VLOOKUP(E235,статьи!$G$2:$H$24,2,TRUE)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35" s="17" t="str">
        <f>VLOOKUP(A235,'компании+описание'!$A$1:$D$438,4,)</f>
        <v>По результатам рассмотрения материалов дела об административном правонарушении № ЦА-38-ЮЛ-25-10238 возбужденного за совершение административного правонарушения, ответственность за которое предусмотрена частью 12 статьи 15.29 КоАП РФ, АО «МНПФ «АКВИЛОН» назначено административное наказание в виде предупреждения. Постановление вступило в законную силу 22.08.2025.</v>
      </c>
    </row>
    <row r="236" spans="1:11" ht="96" x14ac:dyDescent="0.2">
      <c r="A236" s="16">
        <v>224</v>
      </c>
      <c r="B236" s="29">
        <v>45888</v>
      </c>
      <c r="C236" s="17" t="s">
        <v>296</v>
      </c>
      <c r="D236" s="16" t="s">
        <v>997</v>
      </c>
      <c r="E236" s="16" t="s">
        <v>23</v>
      </c>
      <c r="F236" s="26">
        <v>3000</v>
      </c>
      <c r="G236" s="16">
        <v>3000</v>
      </c>
      <c r="H236" s="16">
        <v>5000</v>
      </c>
      <c r="I236" s="16" t="s">
        <v>1060</v>
      </c>
      <c r="J236" s="17" t="str">
        <f>VLOOKUP(E236,статьи!$G$2:$H$24,2,TRUE)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36" s="17" t="str">
        <f>VLOOKUP(A236,'компании+описание'!$A$1:$D$438,4,)</f>
        <v>По результатам рассмотрения материалов дела об административном правонарушении № ЦА-34-Гр-25-1089, возбужденного за совершение административного правонарушения, ответственность за которое предусмотрена статьей 15.30 КоАП РФ, Баринову Илье Игоревичу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05.03.2025 № 25-1089/3110-1 вступило в законную силу 19.08.2025.</v>
      </c>
    </row>
    <row r="237" spans="1:11" ht="80" x14ac:dyDescent="0.2">
      <c r="A237" s="16">
        <v>225</v>
      </c>
      <c r="B237" s="29">
        <v>45888</v>
      </c>
      <c r="C237" s="17" t="s">
        <v>297</v>
      </c>
      <c r="D237" s="16" t="s">
        <v>996</v>
      </c>
      <c r="E237" s="16" t="s">
        <v>8</v>
      </c>
      <c r="F237" s="26">
        <v>300000</v>
      </c>
      <c r="G237" s="16">
        <v>300000</v>
      </c>
      <c r="H237" s="16">
        <v>500000</v>
      </c>
      <c r="I237" s="16" t="s">
        <v>1060</v>
      </c>
      <c r="J237" s="17" t="str">
        <f>VLOOKUP(E237,статьи!$G$2:$H$24,2,TRUE)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37" s="17" t="str">
        <f>VLOOKUP(A237,'компании+описание'!$A$1:$D$438,4,)</f>
        <v>По результатам рассмотрения материалов дела об административном правонарушении № ЦА-38-ЮЛ-25-10483,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«ВИМ Инвестиции» назначено административное наказание в виде штрафа в размере 300 000 рублей. Постановление вступило в законную силу 19.08.2025.</v>
      </c>
    </row>
    <row r="238" spans="1:11" ht="80" x14ac:dyDescent="0.2">
      <c r="A238" s="16">
        <v>226</v>
      </c>
      <c r="B238" s="29">
        <v>45888</v>
      </c>
      <c r="C238" s="17" t="s">
        <v>298</v>
      </c>
      <c r="D238" s="16" t="s">
        <v>996</v>
      </c>
      <c r="E238" s="16" t="s">
        <v>80</v>
      </c>
      <c r="F238" s="26">
        <v>350000</v>
      </c>
      <c r="G238" s="16">
        <v>700000</v>
      </c>
      <c r="H238" s="16">
        <v>1000000</v>
      </c>
      <c r="I238" s="16" t="s">
        <v>1061</v>
      </c>
      <c r="J238" s="17" t="str">
        <f>VLOOKUP(E238,статьи!$G$2:$H$24,2,TRUE)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38" s="17" t="str">
        <f>VLOOKUP(A238,'компании+описание'!$A$1:$D$438,4,)</f>
        <v>По результатам рассмотрения материалов дела об административном правонарушении № ЦА-38-ЮЛ-25-11163, возбужденного за совершение административного правонарушения, ответственность за которое предусмотрена частью 2 статьи 15.19 КоАП РФ, Обществу с ограниченной ответственностью «Управляющая компания «Терра Эссет Менеджмент» назначено административное наказание в виде штрафа в размере 350 000 рублей. Постановление вступило в законную силу 19.08.2025.</v>
      </c>
    </row>
    <row r="239" spans="1:11" ht="80" x14ac:dyDescent="0.2">
      <c r="A239" s="16">
        <v>227</v>
      </c>
      <c r="B239" s="29">
        <v>45888</v>
      </c>
      <c r="C239" s="17" t="s">
        <v>299</v>
      </c>
      <c r="D239" s="16" t="s">
        <v>996</v>
      </c>
      <c r="E239" s="16" t="s">
        <v>83</v>
      </c>
      <c r="F239" s="26" t="s">
        <v>11</v>
      </c>
      <c r="G239" s="16">
        <v>500000</v>
      </c>
      <c r="H239" s="16">
        <v>700000</v>
      </c>
      <c r="I239" s="16" t="s">
        <v>1062</v>
      </c>
      <c r="J239" s="17" t="str">
        <f>VLOOKUP(E239,статьи!$G$2:$H$24,2,TRUE)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39" s="17" t="str">
        <f>VLOOKUP(A239,'компании+описание'!$A$1:$D$438,4,)</f>
        <v>По результатам рассмотрения материалов дела об административном правонарушении № ЦА-38-ЮЛ-25-8974, возбужденного за совершение административного правонарушения, ответственность за которое предусмотрена частью 2 статьи 15.29 КоАП РФ, Обществу с ограниченной ответственностью «Цифра Брокер» назначено административное наказание в виде предупреждения. Постановление вступило в законную силу 19.08.2025.</v>
      </c>
    </row>
    <row r="240" spans="1:11" ht="80" x14ac:dyDescent="0.2">
      <c r="A240" s="16">
        <v>228</v>
      </c>
      <c r="B240" s="29">
        <v>45887</v>
      </c>
      <c r="C240" s="17" t="s">
        <v>301</v>
      </c>
      <c r="D240" s="16" t="s">
        <v>996</v>
      </c>
      <c r="E240" s="16" t="s">
        <v>80</v>
      </c>
      <c r="F240" s="26">
        <v>700000</v>
      </c>
      <c r="G240" s="16">
        <v>700000</v>
      </c>
      <c r="H240" s="16">
        <v>1000000</v>
      </c>
      <c r="I240" s="16" t="s">
        <v>1060</v>
      </c>
      <c r="J240" s="17" t="str">
        <f>VLOOKUP(E240,статьи!$G$2:$H$24,2,TRUE)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40" s="17" t="str">
        <f>VLOOKUP(A240,'компании+описание'!$A$1:$D$438,4,)</f>
        <v>По результатам рассмотрения материалов дела об административном правонарушении № ЦА-38-ЮЛ-25-10637,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«ИВА Партнерс» назначено административное наказание в виде штрафа в размере 700 000 рублей. Постановление вступило в законную силу 16.08.2025.</v>
      </c>
    </row>
    <row r="241" spans="1:11" ht="80" x14ac:dyDescent="0.2">
      <c r="A241" s="16">
        <v>229</v>
      </c>
      <c r="B241" s="29">
        <v>45887</v>
      </c>
      <c r="C241" s="17" t="s">
        <v>302</v>
      </c>
      <c r="D241" s="16" t="s">
        <v>996</v>
      </c>
      <c r="E241" s="16" t="s">
        <v>80</v>
      </c>
      <c r="F241" s="26" t="s">
        <v>11</v>
      </c>
      <c r="G241" s="16">
        <v>700000</v>
      </c>
      <c r="H241" s="16">
        <v>1000000</v>
      </c>
      <c r="I241" s="16" t="s">
        <v>1062</v>
      </c>
      <c r="J241" s="17" t="str">
        <f>VLOOKUP(E241,статьи!$G$2:$H$24,2,TRUE)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41" s="17" t="str">
        <f>VLOOKUP(A241,'компании+описание'!$A$1:$D$438,4,)</f>
        <v>По результатам рассмотрения материалов дела об административном правонарушении № ЦА-38-ЮЛ-25-9942,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«ТуОушен Капитал» назначено административное наказание в виде предупреждения. Постановление вступило в законную силу 16.08.2025.</v>
      </c>
    </row>
    <row r="242" spans="1:11" ht="112" x14ac:dyDescent="0.2">
      <c r="A242" s="16">
        <v>230</v>
      </c>
      <c r="B242" s="29">
        <v>45884</v>
      </c>
      <c r="C242" s="17" t="s">
        <v>304</v>
      </c>
      <c r="D242" s="16" t="s">
        <v>996</v>
      </c>
      <c r="E242" s="16" t="s">
        <v>75</v>
      </c>
      <c r="F242" s="26">
        <v>250000</v>
      </c>
      <c r="G242" s="16">
        <v>500000</v>
      </c>
      <c r="H242" s="16">
        <v>700000</v>
      </c>
      <c r="I242" s="16" t="s">
        <v>1061</v>
      </c>
      <c r="J242" s="17" t="str">
        <f>VLOOKUP(E242,статьи!$G$2:$H$24,2,TRUE)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42" s="17" t="str">
        <f>VLOOKUP(A242,'компании+описание'!$A$1:$D$438,4,)</f>
        <v>По результатам рассмотрения материалов дела об административном правонарушении № ЦА-34-ЮЛ-25-10757,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«СЕЛЕКТ МАНИ»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30.07.2025 № 25-10757/3110-1 вступило в законную силу 12.08.2025.</v>
      </c>
    </row>
    <row r="243" spans="1:11" ht="144" x14ac:dyDescent="0.2">
      <c r="A243" s="16">
        <v>231</v>
      </c>
      <c r="B243" s="29">
        <v>45884</v>
      </c>
      <c r="C243" s="17" t="s">
        <v>306</v>
      </c>
      <c r="D243" s="16" t="s">
        <v>996</v>
      </c>
      <c r="E243" s="16" t="s">
        <v>72</v>
      </c>
      <c r="F243" s="26">
        <v>250000</v>
      </c>
      <c r="G243" s="16">
        <v>500000</v>
      </c>
      <c r="H243" s="16">
        <v>700000</v>
      </c>
      <c r="I243" s="16" t="s">
        <v>1061</v>
      </c>
      <c r="J243" s="17" t="str">
        <f>VLOOKUP(E243,статьи!$G$2:$H$24,2,TRUE)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243" s="17" t="str">
        <f>VLOOKUP(A243,'компании+описание'!$A$1:$D$438,4,)</f>
        <v>По результатам рассмотрения материалов дела об административном правонарушении № ЦА-34-ЮЛ-25-11368,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«ФЕИР ФИНАНС»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31.07.2025 № 25-11368/3110-1 вступило в законную силу 15.08.2025.</v>
      </c>
    </row>
    <row r="244" spans="1:11" ht="96" x14ac:dyDescent="0.2">
      <c r="A244" s="16">
        <v>232</v>
      </c>
      <c r="B244" s="29">
        <v>45881</v>
      </c>
      <c r="C244" s="17" t="s">
        <v>307</v>
      </c>
      <c r="D244" s="16" t="s">
        <v>996</v>
      </c>
      <c r="E244" s="16" t="s">
        <v>8</v>
      </c>
      <c r="F244" s="26">
        <v>300000</v>
      </c>
      <c r="G244" s="16">
        <v>300000</v>
      </c>
      <c r="H244" s="16">
        <v>500000</v>
      </c>
      <c r="I244" s="16" t="s">
        <v>1060</v>
      </c>
      <c r="J244" s="17" t="str">
        <f>VLOOKUP(E244,статьи!$G$2:$H$24,2,TRUE)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44" s="17" t="str">
        <f>VLOOKUP(A244,'компании+описание'!$A$1:$D$438,4,)</f>
        <v>По результатам рассмотрения материалов дела об административном правонарушении № ЦА-34-ЮЛ-25-11274, возбужденного за совершение административного правонарушения, ответственность за которое предусмотрена частью 12 статьи 15.29 КоАП РФ, закрытому акционерному обществу «Первый специализированный депозитарий» назначено административное наказание в виде штрафа размером 300 000 (триста тысяч) рублей. Постановление от 31.07.2025 № 25-11274/3110-1 о назначении административного наказания вступило в законную силу 12.08.2025.</v>
      </c>
    </row>
    <row r="245" spans="1:11" ht="96" x14ac:dyDescent="0.2">
      <c r="A245" s="16">
        <v>233</v>
      </c>
      <c r="B245" s="29">
        <v>45881</v>
      </c>
      <c r="C245" s="17" t="s">
        <v>308</v>
      </c>
      <c r="D245" s="16" t="s">
        <v>997</v>
      </c>
      <c r="E245" s="16" t="s">
        <v>309</v>
      </c>
      <c r="F245" s="26">
        <v>30000</v>
      </c>
      <c r="G245" s="16">
        <v>3000</v>
      </c>
      <c r="H245" s="16">
        <v>5000</v>
      </c>
      <c r="I245" s="16" t="s">
        <v>1065</v>
      </c>
      <c r="J245" s="17" t="str">
        <f>VLOOKUP(E245,статьи!$G$2:$H$24,2,TRUE)</f>
        <v>Неправомерное использование инсайдерской информации, если это действие не содержит уголовно наказуемого деяния</v>
      </c>
      <c r="K245" s="17" t="str">
        <f>VLOOKUP(A245,'компании+описание'!$A$1:$D$438,4,)</f>
        <v>По результатам рассмотрения материалов дела об административном правонарушении № ЦА-34-ДЛ-25-10466, возбужденного за совершение административного правонарушения, ответственность за которое предусмотрена статьей 15.21 Кодекса Российской Федерации об административных правонарушениях, Папкину Михаилу Владимировичу назначено административное наказание в виде штрафа в размере 30 000 рублей. Постановление от 28.07.2025 № 25-10466/3110-1 о назначении административного наказания вступило в законную силу 12.08.2025.</v>
      </c>
    </row>
    <row r="246" spans="1:11" ht="96" x14ac:dyDescent="0.2">
      <c r="A246" s="16">
        <v>234</v>
      </c>
      <c r="B246" s="29">
        <v>45881</v>
      </c>
      <c r="C246" s="17" t="s">
        <v>310</v>
      </c>
      <c r="D246" s="16" t="s">
        <v>997</v>
      </c>
      <c r="E246" s="16" t="s">
        <v>23</v>
      </c>
      <c r="F246" s="26">
        <v>3000</v>
      </c>
      <c r="G246" s="16">
        <v>3000</v>
      </c>
      <c r="H246" s="16">
        <v>5000</v>
      </c>
      <c r="I246" s="16" t="s">
        <v>1060</v>
      </c>
      <c r="J246" s="17" t="str">
        <f>VLOOKUP(E246,статьи!$G$2:$H$24,2,TRUE)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46" s="17" t="str">
        <f>VLOOKUP(A246,'компании+описание'!$A$1:$D$438,4,)</f>
        <v>По результатам рассмотрения материалов дела об административном правонарушении № ЦА-34-Гр-25-6546,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Шигапову Радику Муллануровичу назначено административное наказание в виде штрафа в размере 3 000 рублей. Постановление от 10.06.2025 № 25-6546/3110-1 о назначении административного наказания вступило в законную силу 12.08.2025.</v>
      </c>
    </row>
    <row r="247" spans="1:11" ht="96" x14ac:dyDescent="0.2">
      <c r="A247" s="16">
        <v>235</v>
      </c>
      <c r="B247" s="29">
        <v>45881</v>
      </c>
      <c r="C247" s="17" t="s">
        <v>311</v>
      </c>
      <c r="D247" s="16" t="s">
        <v>996</v>
      </c>
      <c r="E247" s="16" t="s">
        <v>8</v>
      </c>
      <c r="F247" s="26">
        <v>150000</v>
      </c>
      <c r="G247" s="16">
        <v>300000</v>
      </c>
      <c r="H247" s="16">
        <v>500000</v>
      </c>
      <c r="I247" s="16" t="s">
        <v>1061</v>
      </c>
      <c r="J247" s="17" t="str">
        <f>VLOOKUP(E247,статьи!$G$2:$H$24,2,TRUE)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47" s="17" t="str">
        <f>VLOOKUP(A247,'компании+описание'!$A$1:$D$438,4,)</f>
        <v>По результатам рассмотрения материалов дела об административном правонарушении № ЦА-38-ЮЛ-25-9417,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ограниченной_x000D_
ответственностью «Управляющая компания_x000D_
«Формула инвестиций» назначено административное наказание в виде штрафа в размере 150 000 рублей. Постановление вступило в законную силу 12.08.2025.</v>
      </c>
    </row>
    <row r="248" spans="1:11" ht="80" x14ac:dyDescent="0.2">
      <c r="A248" s="16">
        <v>236</v>
      </c>
      <c r="B248" s="29">
        <v>45881</v>
      </c>
      <c r="C248" s="17" t="s">
        <v>289</v>
      </c>
      <c r="D248" s="16" t="s">
        <v>996</v>
      </c>
      <c r="E248" s="16" t="s">
        <v>80</v>
      </c>
      <c r="F248" s="26">
        <v>700000</v>
      </c>
      <c r="G248" s="16">
        <v>700000</v>
      </c>
      <c r="H248" s="16">
        <v>1000000</v>
      </c>
      <c r="I248" s="16" t="s">
        <v>1060</v>
      </c>
      <c r="J248" s="17" t="str">
        <f>VLOOKUP(E248,статьи!$G$2:$H$24,2,TRUE)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48" s="17" t="str">
        <f>VLOOKUP(A248,'компании+описание'!$A$1:$D$438,4,)</f>
        <v>По результатам рассмотрения материалов дела об административном правонарушении № ЦА-38-ЮЛ-25-9943,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«Инвестиционная компания «РИКОМ-ТРАСТ» назначено административное наказание в виде штрафа в размере 700 000 рублей. Постановление вступило в законную силу 12.08.2025.</v>
      </c>
    </row>
    <row r="249" spans="1:11" ht="80" x14ac:dyDescent="0.2">
      <c r="A249" s="16">
        <v>237</v>
      </c>
      <c r="B249" s="29">
        <v>45881</v>
      </c>
      <c r="C249" s="17" t="s">
        <v>263</v>
      </c>
      <c r="D249" s="16" t="s">
        <v>996</v>
      </c>
      <c r="E249" s="16" t="s">
        <v>83</v>
      </c>
      <c r="F249" s="26" t="s">
        <v>11</v>
      </c>
      <c r="G249" s="16">
        <v>500000</v>
      </c>
      <c r="H249" s="16">
        <v>700000</v>
      </c>
      <c r="I249" s="16" t="s">
        <v>1062</v>
      </c>
      <c r="J249" s="17" t="str">
        <f>VLOOKUP(E249,статьи!$G$2:$H$24,2,TRUE)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49" s="17" t="str">
        <f>VLOOKUP(A249,'компании+описание'!$A$1:$D$438,4,)</f>
        <v>По результатам рассмотрения материалов дела об административном правонарушении № ЦА-38-ЮЛ-25-10330 возбужденного за совершение административного правонарушения, ответственность за которое предусмотрена частью 2 статьи 15.29 КоАП РФ, Акционерному обществу «Москва Сити Секьюритиз» назначено административное наказание в виде предупреждения. Постановление вступило в законную силу 12.08.2025.</v>
      </c>
    </row>
    <row r="250" spans="1:11" ht="96" x14ac:dyDescent="0.2">
      <c r="A250" s="16">
        <v>238</v>
      </c>
      <c r="B250" s="29">
        <v>45877</v>
      </c>
      <c r="C250" s="17" t="s">
        <v>313</v>
      </c>
      <c r="D250" s="16" t="s">
        <v>997</v>
      </c>
      <c r="E250" s="16" t="s">
        <v>23</v>
      </c>
      <c r="F250" s="26">
        <v>3000</v>
      </c>
      <c r="G250" s="16">
        <v>3000</v>
      </c>
      <c r="H250" s="16">
        <v>5000</v>
      </c>
      <c r="I250" s="16" t="s">
        <v>1060</v>
      </c>
      <c r="J250" s="17" t="str">
        <f>VLOOKUP(E250,статьи!$G$2:$H$24,2,TRUE)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50" s="17" t="str">
        <f>VLOOKUP(A250,'компании+описание'!$A$1:$D$438,4,)</f>
        <v>По результатам рассмотрения материалов дела об административном правонарушении № ЦА-34-Гр-25-7403,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Дрожжину Антону Михайловичу назначено административное наказание в виде штрафа в размере 3 000 рублей. Постановление от 23.06.2025 № 25-7403/3110-1 о назначении административного наказания вступило в законную силу 08.08.2025.</v>
      </c>
    </row>
    <row r="251" spans="1:11" ht="96" x14ac:dyDescent="0.2">
      <c r="A251" s="16">
        <v>239</v>
      </c>
      <c r="B251" s="29">
        <v>45877</v>
      </c>
      <c r="C251" s="17" t="s">
        <v>314</v>
      </c>
      <c r="D251" s="16" t="s">
        <v>997</v>
      </c>
      <c r="E251" s="16" t="s">
        <v>23</v>
      </c>
      <c r="F251" s="26">
        <v>3000</v>
      </c>
      <c r="G251" s="16">
        <v>3000</v>
      </c>
      <c r="H251" s="16">
        <v>5000</v>
      </c>
      <c r="I251" s="16" t="s">
        <v>1060</v>
      </c>
      <c r="J251" s="17" t="str">
        <f>VLOOKUP(E251,статьи!$G$2:$H$24,2,TRUE)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51" s="17" t="str">
        <f>VLOOKUP(A251,'компании+описание'!$A$1:$D$438,4,)</f>
        <v>По результатам рассмотрения материалов дела об административном правонарушении № ЦА-34-Гр-25-7633,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Фроловой Ксении Владимировне назначено административное наказание в виде штрафа в размере 3 000 рублей. Постановление от 25.06.2025 № 25-7633/3110-1 о назначении административного наказания вступило в законную силу 08.08.2025.</v>
      </c>
    </row>
    <row r="252" spans="1:11" ht="80" x14ac:dyDescent="0.2">
      <c r="A252" s="16">
        <v>240</v>
      </c>
      <c r="B252" s="29">
        <v>45877</v>
      </c>
      <c r="C252" s="17" t="s">
        <v>315</v>
      </c>
      <c r="D252" s="16" t="s">
        <v>996</v>
      </c>
      <c r="E252" s="16" t="s">
        <v>80</v>
      </c>
      <c r="F252" s="26" t="s">
        <v>11</v>
      </c>
      <c r="G252" s="16">
        <v>700000</v>
      </c>
      <c r="H252" s="16">
        <v>1000000</v>
      </c>
      <c r="I252" s="16" t="s">
        <v>1062</v>
      </c>
      <c r="J252" s="17" t="str">
        <f>VLOOKUP(E252,статьи!$G$2:$H$24,2,TRUE)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52" s="17" t="str">
        <f>VLOOKUP(A252,'компании+описание'!$A$1:$D$438,4,)</f>
        <v>По результатам рассмотрения материалов дела об административном правонарушении № ЦА-38-ЮЛ-25-10088,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«ЮниКредит Банк» назначено административное наказание в виде предупреждения. Постановление вступило в законную силу 08.08.2025.</v>
      </c>
    </row>
    <row r="253" spans="1:11" ht="80" x14ac:dyDescent="0.2">
      <c r="A253" s="16">
        <v>241</v>
      </c>
      <c r="B253" s="29">
        <v>45877</v>
      </c>
      <c r="C253" s="17" t="s">
        <v>316</v>
      </c>
      <c r="D253" s="16" t="s">
        <v>996</v>
      </c>
      <c r="E253" s="16" t="s">
        <v>8</v>
      </c>
      <c r="F253" s="26" t="s">
        <v>11</v>
      </c>
      <c r="G253" s="16">
        <v>300000</v>
      </c>
      <c r="H253" s="16">
        <v>500000</v>
      </c>
      <c r="I253" s="16" t="s">
        <v>1062</v>
      </c>
      <c r="J253" s="17" t="str">
        <f>VLOOKUP(E253,статьи!$G$2:$H$24,2,TRUE)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53" s="17" t="str">
        <f>VLOOKUP(A253,'компании+описание'!$A$1:$D$438,4,)</f>
        <v>По результатам рассмотрения материалов дела об административном правонарушении № ЦА-38-ЮЛ-25-9262,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«РТ-Инвест» назначено административное наказание в виде предупреждения. Постановление вступило в законную силу 08.08.2025.</v>
      </c>
    </row>
    <row r="254" spans="1:11" ht="96" x14ac:dyDescent="0.2">
      <c r="A254" s="16">
        <v>242</v>
      </c>
      <c r="B254" s="29">
        <v>45874</v>
      </c>
      <c r="C254" s="17" t="s">
        <v>318</v>
      </c>
      <c r="D254" s="16" t="s">
        <v>997</v>
      </c>
      <c r="E254" s="16" t="s">
        <v>23</v>
      </c>
      <c r="F254" s="26">
        <v>3000</v>
      </c>
      <c r="G254" s="16">
        <v>3000</v>
      </c>
      <c r="H254" s="16">
        <v>5000</v>
      </c>
      <c r="I254" s="16" t="s">
        <v>1060</v>
      </c>
      <c r="J254" s="17" t="str">
        <f>VLOOKUP(E254,статьи!$G$2:$H$24,2,TRUE)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54" s="17" t="str">
        <f>VLOOKUP(A254,'компании+описание'!$A$1:$D$438,4,)</f>
        <v>По результатам рассмотрения материалов дела об административном правонарушении № ЦА-34-Гр-25-7625,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Фролову Михаилу Сергеевичу назначено административное наказание в виде штрафа в размере 3 000 рублей. Постановление от 25.06.2025 № 25-7625/3110-1 о назначении административного наказания вступило в законную силу 05.08.2025.</v>
      </c>
    </row>
    <row r="255" spans="1:11" ht="80" x14ac:dyDescent="0.2">
      <c r="A255" s="16">
        <v>243</v>
      </c>
      <c r="B255" s="29">
        <v>45874</v>
      </c>
      <c r="C255" s="17" t="s">
        <v>319</v>
      </c>
      <c r="D255" s="16" t="s">
        <v>996</v>
      </c>
      <c r="E255" s="16" t="s">
        <v>8</v>
      </c>
      <c r="F255" s="26" t="s">
        <v>11</v>
      </c>
      <c r="G255" s="16">
        <v>300000</v>
      </c>
      <c r="H255" s="16">
        <v>500000</v>
      </c>
      <c r="I255" s="16" t="s">
        <v>1062</v>
      </c>
      <c r="J255" s="17" t="str">
        <f>VLOOKUP(E255,статьи!$G$2:$H$24,2,TRUE)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55" s="17" t="str">
        <f>VLOOKUP(A255,'компании+описание'!$A$1:$D$438,4,)</f>
        <v>По результатам рассмотрения материалов дела об административном правонарушении № ЦА-38-ЮЛ-25-9592, возбужденного за совершение административного правонарушения, ответственность за которое предусмотрена частью 12 статьи 15.29 КоАП РФ, Открытому акционерному обществу «РОНИН Траст» назначено административное наказание в виде предупреждения. Постановление вступило в законную силу 05.08.2025.</v>
      </c>
    </row>
    <row r="256" spans="1:11" ht="160" x14ac:dyDescent="0.2">
      <c r="A256" s="16">
        <v>244</v>
      </c>
      <c r="B256" s="29">
        <v>45874</v>
      </c>
      <c r="C256" s="17" t="s">
        <v>99</v>
      </c>
      <c r="D256" s="16" t="s">
        <v>996</v>
      </c>
      <c r="E256" s="16" t="s">
        <v>7</v>
      </c>
      <c r="F256" s="26">
        <v>700000</v>
      </c>
      <c r="G256" s="16">
        <v>700000</v>
      </c>
      <c r="H256" s="16">
        <v>1000000</v>
      </c>
      <c r="I256" s="16" t="s">
        <v>1060</v>
      </c>
      <c r="J256" s="17" t="str">
        <f>VLOOKUP(E256,статьи!$G$2:$H$24,2,TRUE)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256" s="17" t="str">
        <f>VLOOKUP(A256,'компании+описание'!$A$1:$D$438,4,)</f>
        <v>По результатам рассмотрения материалов дела об административном правонарушении № ЦА-38-ЮЛ-25-9395, возбужденного за совершение административного правонарушения, ответственность за которое предусмотрена частью 6 статьи 15.29 КоАП РФ, Акционерному обществу «Управляющая компания «Первая» назначено административное наказание в виде штрафа в размере 700 000 рублей. Постановление вступило в законную силу 05.08.2025.По результатам рассмотрения материалов дела об административном правонарушении № ЦА-38-ЮЛ-25-9401,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«Управляющая компания «Первая» назначено административное наказание в виде штрафа в размере 300 000 рублей. Постановление вступило в законную силу 05.08.2025.</v>
      </c>
    </row>
    <row r="257" spans="1:11" ht="160" x14ac:dyDescent="0.2">
      <c r="A257" s="16">
        <v>244</v>
      </c>
      <c r="B257" s="29">
        <v>45874</v>
      </c>
      <c r="C257" s="17" t="s">
        <v>99</v>
      </c>
      <c r="D257" s="16" t="s">
        <v>996</v>
      </c>
      <c r="E257" s="16" t="s">
        <v>8</v>
      </c>
      <c r="F257" s="26">
        <v>300000</v>
      </c>
      <c r="G257" s="16">
        <v>300000</v>
      </c>
      <c r="H257" s="16">
        <v>500000</v>
      </c>
      <c r="I257" s="16" t="s">
        <v>1060</v>
      </c>
      <c r="J257" s="17" t="str">
        <f>VLOOKUP(E257,статьи!$G$2:$H$24,2,TRUE)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57" s="17" t="str">
        <f>VLOOKUP(A257,'компании+описание'!$A$1:$D$438,4,)</f>
        <v>По результатам рассмотрения материалов дела об административном правонарушении № ЦА-38-ЮЛ-25-9395, возбужденного за совершение административного правонарушения, ответственность за которое предусмотрена частью 6 статьи 15.29 КоАП РФ, Акционерному обществу «Управляющая компания «Первая» назначено административное наказание в виде штрафа в размере 700 000 рублей. Постановление вступило в законную силу 05.08.2025.По результатам рассмотрения материалов дела об административном правонарушении № ЦА-38-ЮЛ-25-9401,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«Управляющая компания «Первая» назначено административное наказание в виде штрафа в размере 300 000 рублей. Постановление вступило в законную силу 05.08.2025.</v>
      </c>
    </row>
    <row r="258" spans="1:11" ht="80" x14ac:dyDescent="0.2">
      <c r="A258" s="16">
        <v>245</v>
      </c>
      <c r="B258" s="29">
        <v>45874</v>
      </c>
      <c r="C258" s="17" t="s">
        <v>320</v>
      </c>
      <c r="D258" s="16" t="s">
        <v>996</v>
      </c>
      <c r="E258" s="16" t="s">
        <v>83</v>
      </c>
      <c r="F258" s="26" t="s">
        <v>11</v>
      </c>
      <c r="G258" s="16">
        <v>500000</v>
      </c>
      <c r="H258" s="16">
        <v>700000</v>
      </c>
      <c r="I258" s="16" t="s">
        <v>1062</v>
      </c>
      <c r="J258" s="17" t="str">
        <f>VLOOKUP(E258,статьи!$G$2:$H$24,2,TRUE)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58" s="17" t="str">
        <f>VLOOKUP(A258,'компании+описание'!$A$1:$D$438,4,)</f>
        <v>По результатам рассмотрения материалов дела об административном правонарушении № ЦА-38-ЮЛ-25-8795, возбужденного за совершение административного правонарушения, ответственность за которое предусмотрена частью 2 статьи 15.29 КоАП РФ, Акционерному обществу УК «Доверительная» назначено административное наказание в виде предупреждения. Постановление вступило в законную силу 05.08.2025.</v>
      </c>
    </row>
    <row r="259" spans="1:11" ht="144" x14ac:dyDescent="0.2">
      <c r="A259" s="16">
        <v>246</v>
      </c>
      <c r="B259" s="29">
        <v>45874</v>
      </c>
      <c r="C259" s="17" t="s">
        <v>285</v>
      </c>
      <c r="D259" s="16" t="s">
        <v>996</v>
      </c>
      <c r="E259" s="16" t="s">
        <v>72</v>
      </c>
      <c r="F259" s="26">
        <v>350000</v>
      </c>
      <c r="G259" s="16">
        <v>500000</v>
      </c>
      <c r="H259" s="16">
        <v>700000</v>
      </c>
      <c r="I259" s="16" t="s">
        <v>1061</v>
      </c>
      <c r="J259" s="17" t="str">
        <f>VLOOKUP(E259,статьи!$G$2:$H$24,2,TRUE)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259" s="17" t="str">
        <f>VLOOKUP(A259,'компании+описание'!$A$1:$D$438,4,)</f>
        <v>По результатам рассмотрения материалов дела об административном правонарушении № ЦА-34-ЮЛ-25-10426,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«ИНВЕСТИРУЙ В» назначено административное наказание в виде штрафа в размере 350 000 (триста пятьдесят тысяч) рублей. Постановление о наложении штрафа по делу об административном правонарушении от 23.07.2025 № 25-10426/3110-1 вступило в законную силу 05.08.2025.</v>
      </c>
    </row>
    <row r="260" spans="1:11" ht="96" x14ac:dyDescent="0.2">
      <c r="A260" s="16">
        <v>247</v>
      </c>
      <c r="B260" s="29">
        <v>45873</v>
      </c>
      <c r="C260" s="17" t="s">
        <v>322</v>
      </c>
      <c r="D260" s="16" t="s">
        <v>997</v>
      </c>
      <c r="E260" s="16" t="s">
        <v>23</v>
      </c>
      <c r="F260" s="26">
        <v>3000</v>
      </c>
      <c r="G260" s="16">
        <v>3000</v>
      </c>
      <c r="H260" s="16">
        <v>5000</v>
      </c>
      <c r="I260" s="16" t="s">
        <v>1060</v>
      </c>
      <c r="J260" s="17" t="str">
        <f>VLOOKUP(E260,статьи!$G$2:$H$24,2,TRUE)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60" s="17" t="str">
        <f>VLOOKUP(A260,'компании+описание'!$A$1:$D$438,4,)</f>
        <v>По результатам рассмотрения материалов дела об административном правонарушении № ЦА-34-Гр-25-5769,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Кушниру Андрею Николаевичу назначено административное наказание в виде штрафа в размере 3 000 рублей. Постановление от 29.05.2025 № 25-5769/3110-1 о назначении административного наказания вступило в законную силу 02.08.2025.</v>
      </c>
    </row>
    <row r="261" spans="1:11" ht="96" x14ac:dyDescent="0.2">
      <c r="A261" s="16">
        <v>248</v>
      </c>
      <c r="B261" s="29">
        <v>45867</v>
      </c>
      <c r="C261" s="17" t="s">
        <v>324</v>
      </c>
      <c r="D261" s="16" t="s">
        <v>997</v>
      </c>
      <c r="E261" s="16" t="s">
        <v>23</v>
      </c>
      <c r="F261" s="26">
        <v>3000</v>
      </c>
      <c r="G261" s="16">
        <v>3000</v>
      </c>
      <c r="H261" s="16">
        <v>5000</v>
      </c>
      <c r="I261" s="16" t="s">
        <v>1060</v>
      </c>
      <c r="J261" s="17" t="str">
        <f>VLOOKUP(E261,статьи!$G$2:$H$24,2,TRUE)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61" s="17" t="str">
        <f>VLOOKUP(A261,'компании+описание'!$A$1:$D$438,4,)</f>
        <v>По результатам рассмотрения материалов дела об административном правонарушении № ЦА-34-Гр-25-6630,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Хрусталеву Ивану Дмитриевичу назначено административное наказание в виде штрафа в размере 3 000 рублей. Постановление от 10.06.2025 № 25-6630/3110-1 о назначении административного наказания вступило в законную силу 29.07.2025.</v>
      </c>
    </row>
    <row r="262" spans="1:11" ht="96" x14ac:dyDescent="0.2">
      <c r="A262" s="16">
        <v>249</v>
      </c>
      <c r="B262" s="29">
        <v>45867</v>
      </c>
      <c r="C262" s="17" t="s">
        <v>325</v>
      </c>
      <c r="D262" s="16" t="s">
        <v>997</v>
      </c>
      <c r="E262" s="16" t="s">
        <v>23</v>
      </c>
      <c r="F262" s="26">
        <v>3000</v>
      </c>
      <c r="G262" s="16">
        <v>3000</v>
      </c>
      <c r="H262" s="16">
        <v>5000</v>
      </c>
      <c r="I262" s="16" t="s">
        <v>1060</v>
      </c>
      <c r="J262" s="17" t="str">
        <f>VLOOKUP(E262,статьи!$G$2:$H$24,2,TRUE)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62" s="17" t="str">
        <f>VLOOKUP(A262,'компании+описание'!$A$1:$D$438,4,)</f>
        <v>По результатам рассмотрения материалов дела об административном правонарушении № ЦА-34-Гр-25-6631,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Хрусталевой Альбине Дмитриевне назначено административное наказание в виде штрафа в размере 3 000 рублей. Постановление от 10.06.2025 № 25-6631/3110-1 о назначении административного наказания вступило в законную силу 29.07.2025.</v>
      </c>
    </row>
    <row r="263" spans="1:11" ht="80" x14ac:dyDescent="0.2">
      <c r="A263" s="16">
        <v>250</v>
      </c>
      <c r="B263" s="29">
        <v>45867</v>
      </c>
      <c r="C263" s="17" t="s">
        <v>326</v>
      </c>
      <c r="D263" s="16" t="s">
        <v>996</v>
      </c>
      <c r="E263" s="16" t="s">
        <v>327</v>
      </c>
      <c r="F263" s="26">
        <v>50000</v>
      </c>
      <c r="G263" s="16">
        <v>20000</v>
      </c>
      <c r="H263" s="16">
        <v>50000</v>
      </c>
      <c r="I263" s="16" t="s">
        <v>1063</v>
      </c>
      <c r="J263" s="17" t="str">
        <f>VLOOKUP(E263,статьи!$G$2:$H$24,2,TRUE)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63" s="17" t="str">
        <f>VLOOKUP(A263,'компании+описание'!$A$1:$D$438,4,)</f>
        <v>По результатам рассмотрения материалов дела об административном правонарушении № ЦА-44-ЮЛ-25-9185, возбужденного за совершение административного правонарушения, ответственность за которое предусмотрена статьей 5.55 КоАП РФ, АО «Объединенное Кредитное Бюро» назначено административное наказание в виде штрафа в размере 50 000 рублей. Постановление о назначении административного наказания вступило в законную силу 29.07.2025.</v>
      </c>
    </row>
    <row r="264" spans="1:11" ht="80" x14ac:dyDescent="0.2">
      <c r="A264" s="16">
        <v>251</v>
      </c>
      <c r="B264" s="29">
        <v>45866</v>
      </c>
      <c r="C264" s="17" t="s">
        <v>206</v>
      </c>
      <c r="D264" s="16" t="s">
        <v>996</v>
      </c>
      <c r="E264" s="16" t="s">
        <v>8</v>
      </c>
      <c r="F264" s="26">
        <v>350000</v>
      </c>
      <c r="G264" s="16">
        <v>300000</v>
      </c>
      <c r="H264" s="16">
        <v>500000</v>
      </c>
      <c r="I264" s="16" t="s">
        <v>1059</v>
      </c>
      <c r="J264" s="17" t="str">
        <f>VLOOKUP(E264,статьи!$G$2:$H$24,2,TRUE)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64" s="17" t="str">
        <f>VLOOKUP(A264,'компании+описание'!$A$1:$D$438,4,)</f>
        <v>По результатам рассмотрения материалов дела об административном правонарушении № ЦА-38-ЮЛ-25-8198,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«Управляющей компании «АЛЬФА-КАПИТАЛ» назначено административное наказание в виде штрафа в размере 350 000 рублей. Постановление вступило в законную силу 26.07.2025.</v>
      </c>
    </row>
    <row r="265" spans="1:11" ht="80" x14ac:dyDescent="0.2">
      <c r="A265" s="16">
        <v>252</v>
      </c>
      <c r="B265" s="29">
        <v>45860</v>
      </c>
      <c r="C265" s="17" t="s">
        <v>330</v>
      </c>
      <c r="D265" s="16" t="s">
        <v>996</v>
      </c>
      <c r="E265" s="16" t="s">
        <v>129</v>
      </c>
      <c r="F265" s="26">
        <v>10000</v>
      </c>
      <c r="G265" s="16">
        <v>10000</v>
      </c>
      <c r="H265" s="16">
        <v>20000</v>
      </c>
      <c r="I265" s="16" t="s">
        <v>1060</v>
      </c>
      <c r="J265" s="17" t="str">
        <f>VLOOKUP(E265,статьи!$G$2:$H$24,2,TRUE)</f>
        <v>Нарушение бюро кредитных историй установленного порядка сбора, хранения, защиты и обработки сведений, составляющих кредитную историю</v>
      </c>
      <c r="K265" s="17" t="str">
        <f>VLOOKUP(A265,'компании+описание'!$A$1:$D$438,4,)</f>
        <v>По результатам рассмотрения материалов дела об административном правонарушении № ЦА-44-ЮЛ-25-8509, возбужденного за совершение административного правонарушения, ответственность за которое предусмотрена статьей 14.30 КоАП РФ, АО «Национальное бюро кредитных историй» назначено административное наказание в виде штрафа в размере 10 000 рублей. Постановление о назначении административного наказания вступило в законную силу 22.07.2025.</v>
      </c>
    </row>
    <row r="266" spans="1:11" ht="96" x14ac:dyDescent="0.2">
      <c r="A266" s="16">
        <v>253</v>
      </c>
      <c r="B266" s="29">
        <v>45860</v>
      </c>
      <c r="C266" s="17" t="s">
        <v>331</v>
      </c>
      <c r="D266" s="16" t="s">
        <v>997</v>
      </c>
      <c r="E266" s="16" t="s">
        <v>23</v>
      </c>
      <c r="F266" s="26">
        <v>3000</v>
      </c>
      <c r="G266" s="16">
        <v>3000</v>
      </c>
      <c r="H266" s="16">
        <v>5000</v>
      </c>
      <c r="I266" s="16" t="s">
        <v>1060</v>
      </c>
      <c r="J266" s="17" t="str">
        <f>VLOOKUP(E266,статьи!$G$2:$H$24,2,TRUE)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66" s="17" t="str">
        <f>VLOOKUP(A266,'компании+описание'!$A$1:$D$438,4,)</f>
        <v>По результатам рассмотрения материалов дела об административном правонарушении № ЦА-34-Гр-25-5655,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Пашнину Михаилу Анатольевичу назначено административное наказание в виде штрафа в размере 3 000 рублей. Постановление от 28.05.2025 № 25-5655/3110-1 о назначении административного наказания вступило в законную силу 22.07.2025.</v>
      </c>
    </row>
    <row r="267" spans="1:11" ht="144" x14ac:dyDescent="0.2">
      <c r="A267" s="16">
        <v>254</v>
      </c>
      <c r="B267" s="29">
        <v>45860</v>
      </c>
      <c r="C267" s="17" t="s">
        <v>215</v>
      </c>
      <c r="D267" s="16" t="s">
        <v>996</v>
      </c>
      <c r="E267" s="16" t="s">
        <v>72</v>
      </c>
      <c r="F267" s="26">
        <v>250000</v>
      </c>
      <c r="G267" s="16">
        <v>500000</v>
      </c>
      <c r="H267" s="16">
        <v>700000</v>
      </c>
      <c r="I267" s="16" t="s">
        <v>1061</v>
      </c>
      <c r="J267" s="17" t="str">
        <f>VLOOKUP(E267,статьи!$G$2:$H$24,2,TRUE)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267" s="17" t="str">
        <f>VLOOKUP(A267,'компании+описание'!$A$1:$D$438,4,)</f>
        <v>По результатам рассмотрения материалов дела об административном правонарушении № ЦА-34-ЮЛ-25-9026,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«СМАРТИНВЕСТ»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09.07.2025 № 25-9026/3110-1 вступило в законную силу 22.07.2025.</v>
      </c>
    </row>
    <row r="268" spans="1:11" ht="80" x14ac:dyDescent="0.2">
      <c r="A268" s="16">
        <v>255</v>
      </c>
      <c r="B268" s="29">
        <v>45860</v>
      </c>
      <c r="C268" s="17" t="s">
        <v>85</v>
      </c>
      <c r="D268" s="16" t="s">
        <v>996</v>
      </c>
      <c r="E268" s="16" t="s">
        <v>80</v>
      </c>
      <c r="F268" s="26">
        <v>700000</v>
      </c>
      <c r="G268" s="16">
        <v>700000</v>
      </c>
      <c r="H268" s="16">
        <v>1000000</v>
      </c>
      <c r="I268" s="16" t="s">
        <v>1060</v>
      </c>
      <c r="J268" s="17" t="str">
        <f>VLOOKUP(E268,статьи!$G$2:$H$24,2,TRUE)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68" s="17" t="str">
        <f>VLOOKUP(A268,'компании+описание'!$A$1:$D$438,4,)</f>
        <v>По результатам рассмотрения материалов дела об административном правонарушении № ЦА-38-ЮЛ-25-7998, возбужденного за совершение административного правонарушения, ответственность за которое предусмотрена частью 2 статьи 15.19 КоАП РФ, Обществу с ограниченной ответственностью «РСХБ Управление Активами» назначено административное наказание в виде штрафа в размере 700 000 рублей. Постановление вступило в законную силу 22.07.2025.</v>
      </c>
    </row>
    <row r="269" spans="1:11" ht="80" x14ac:dyDescent="0.2">
      <c r="A269" s="16">
        <v>256</v>
      </c>
      <c r="B269" s="29">
        <v>45860</v>
      </c>
      <c r="C269" s="17" t="s">
        <v>332</v>
      </c>
      <c r="D269" s="16" t="s">
        <v>996</v>
      </c>
      <c r="E269" s="16" t="s">
        <v>8</v>
      </c>
      <c r="F269" s="26" t="s">
        <v>11</v>
      </c>
      <c r="G269" s="16">
        <v>300000</v>
      </c>
      <c r="H269" s="16">
        <v>500000</v>
      </c>
      <c r="I269" s="16" t="s">
        <v>1062</v>
      </c>
      <c r="J269" s="17" t="str">
        <f>VLOOKUP(E269,статьи!$G$2:$H$24,2,TRUE)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69" s="17" t="str">
        <f>VLOOKUP(A269,'компании+описание'!$A$1:$D$438,4,)</f>
        <v>По результатам рассмотрения материалов дела об административном правонарушении № ЦА-38-ЮЛ-25-8294,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«АКЦЕНТ УПРАВЛЕНИЕ АКТИВАМИ» назначено административное наказание в виде предупреждения. Постановление вступило в законную силу 22.07.2025.</v>
      </c>
    </row>
    <row r="270" spans="1:11" ht="96" x14ac:dyDescent="0.2">
      <c r="A270" s="16">
        <v>257</v>
      </c>
      <c r="B270" s="29">
        <v>45856</v>
      </c>
      <c r="C270" s="17" t="s">
        <v>334</v>
      </c>
      <c r="D270" s="16" t="s">
        <v>997</v>
      </c>
      <c r="E270" s="16" t="s">
        <v>23</v>
      </c>
      <c r="F270" s="26">
        <v>30000</v>
      </c>
      <c r="G270" s="16">
        <v>3000</v>
      </c>
      <c r="H270" s="16">
        <v>5000</v>
      </c>
      <c r="I270" s="16" t="s">
        <v>1065</v>
      </c>
      <c r="J270" s="17" t="str">
        <f>VLOOKUP(E270,статьи!$G$2:$H$24,2,TRUE)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70" s="17" t="str">
        <f>VLOOKUP(A270,'компании+описание'!$A$1:$D$438,4,)</f>
        <v>По результатам рассмотрения материалов дела об административном правонарушении № ЦА-34-ДЛ-25-6089,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Маленко Артему Анатольевичу назначено административное наказание в виде штрафа в размере 30 000 рублей. Постановление от 03.06.2025 № 25-6089/3110-1 о назначении административного наказания вступило в законную силу 18.07.2025.</v>
      </c>
    </row>
    <row r="271" spans="1:11" ht="96" x14ac:dyDescent="0.2">
      <c r="A271" s="16">
        <v>258</v>
      </c>
      <c r="B271" s="29">
        <v>45856</v>
      </c>
      <c r="C271" s="17" t="s">
        <v>335</v>
      </c>
      <c r="D271" s="16" t="s">
        <v>997</v>
      </c>
      <c r="E271" s="16" t="s">
        <v>23</v>
      </c>
      <c r="F271" s="26">
        <v>3000</v>
      </c>
      <c r="G271" s="16">
        <v>3000</v>
      </c>
      <c r="H271" s="16">
        <v>5000</v>
      </c>
      <c r="I271" s="16" t="s">
        <v>1060</v>
      </c>
      <c r="J271" s="17" t="str">
        <f>VLOOKUP(E271,статьи!$G$2:$H$24,2,TRUE)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71" s="17" t="str">
        <f>VLOOKUP(A271,'компании+описание'!$A$1:$D$438,4,)</f>
        <v>По результатам рассмотрения материалов дела об административном правонарушении № ЦА-34-Гр-25-6414,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Калинину Владимиру Анатольевичу назначено административное наказание в виде штрафа в размере 3 000 рублей. Постановление от 05.06.2025 № 25-6414/3110-1 о назначении административного наказания вступило в законную силу 18.07.2025.</v>
      </c>
    </row>
    <row r="272" spans="1:11" ht="96" x14ac:dyDescent="0.2">
      <c r="A272" s="16">
        <v>259</v>
      </c>
      <c r="B272" s="29">
        <v>45856</v>
      </c>
      <c r="C272" s="17" t="s">
        <v>336</v>
      </c>
      <c r="D272" s="16" t="s">
        <v>997</v>
      </c>
      <c r="E272" s="16" t="s">
        <v>23</v>
      </c>
      <c r="F272" s="26">
        <v>3000</v>
      </c>
      <c r="G272" s="16">
        <v>3000</v>
      </c>
      <c r="H272" s="16">
        <v>5000</v>
      </c>
      <c r="I272" s="16" t="s">
        <v>1060</v>
      </c>
      <c r="J272" s="17" t="str">
        <f>VLOOKUP(E272,статьи!$G$2:$H$24,2,TRUE)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72" s="17" t="str">
        <f>VLOOKUP(A272,'компании+описание'!$A$1:$D$438,4,)</f>
        <v>По результатам рассмотрения материалов дела об административном правонарушении № ЦА-34-Гр-25-6545,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Шигаповой Кадрие Хисамовне назначено административное наказание в виде штрафа в размере 3 000 рублей. Постановление от 10.06.2025 № 25-6545/3110-1 о назначении административного наказания вступило в законную силу 18.07.2025.</v>
      </c>
    </row>
    <row r="273" spans="1:11" ht="144" x14ac:dyDescent="0.2">
      <c r="A273" s="16">
        <v>260</v>
      </c>
      <c r="B273" s="29">
        <v>45856</v>
      </c>
      <c r="C273" s="17" t="s">
        <v>285</v>
      </c>
      <c r="D273" s="16" t="s">
        <v>996</v>
      </c>
      <c r="E273" s="16" t="s">
        <v>72</v>
      </c>
      <c r="F273" s="26">
        <v>250000</v>
      </c>
      <c r="G273" s="16">
        <v>500000</v>
      </c>
      <c r="H273" s="16">
        <v>700000</v>
      </c>
      <c r="I273" s="16" t="s">
        <v>1061</v>
      </c>
      <c r="J273" s="17" t="str">
        <f>VLOOKUP(E273,статьи!$G$2:$H$24,2,TRUE)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273" s="17" t="str">
        <f>VLOOKUP(A273,'компании+описание'!$A$1:$D$438,4,)</f>
        <v>По результатам рассмотрения материалов дела об административном правонарушении № ЦА-34-ЮЛ-25-8644,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«ИНВЕСТИРУЙ В»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03.07.2025 № 25-8644/3110-1 вступило в законную силу 18.07.2025.</v>
      </c>
    </row>
    <row r="274" spans="1:11" ht="112" x14ac:dyDescent="0.2">
      <c r="A274" s="16">
        <v>261</v>
      </c>
      <c r="B274" s="29">
        <v>45856</v>
      </c>
      <c r="C274" s="17" t="s">
        <v>337</v>
      </c>
      <c r="D274" s="16" t="s">
        <v>996</v>
      </c>
      <c r="E274" s="16" t="s">
        <v>75</v>
      </c>
      <c r="F274" s="26">
        <v>350000</v>
      </c>
      <c r="G274" s="16">
        <v>500000</v>
      </c>
      <c r="H274" s="16">
        <v>700000</v>
      </c>
      <c r="I274" s="16" t="s">
        <v>1061</v>
      </c>
      <c r="J274" s="17" t="str">
        <f>VLOOKUP(E274,статьи!$G$2:$H$24,2,TRUE)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74" s="17" t="str">
        <f>VLOOKUP(A274,'компании+описание'!$A$1:$D$438,4,)</f>
        <v>По результатам рассмотрения материалов дела об административном правонарушении № ЦА-34-ЮЛ-25-8054,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«ПФЛ Новые Инвестиции» назначено административное наказание в виде штрафа в размере 350 000 (триста пятьдесят тысяч) рублей. Постановление о наложении штрафа по делу об административном правонарушении от 03.07.2025 № 25-8054/3110-1 вступило в законную силу 18.07.2025.</v>
      </c>
    </row>
    <row r="275" spans="1:11" ht="80" x14ac:dyDescent="0.2">
      <c r="A275" s="16">
        <v>262</v>
      </c>
      <c r="B275" s="29">
        <v>45853</v>
      </c>
      <c r="C275" s="17" t="s">
        <v>339</v>
      </c>
      <c r="D275" s="16" t="s">
        <v>996</v>
      </c>
      <c r="E275" s="16" t="s">
        <v>340</v>
      </c>
      <c r="F275" s="26" t="s">
        <v>11</v>
      </c>
      <c r="G275" s="16">
        <v>500000</v>
      </c>
      <c r="H275" s="16">
        <v>700000</v>
      </c>
      <c r="I275" s="16" t="s">
        <v>1062</v>
      </c>
      <c r="J275" s="17" t="str">
        <f>VLOOKUP(E275,статьи!$G$2:$H$24,2,TRUE)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75" s="17" t="str">
        <f>VLOOKUP(A275,'компании+описание'!$A$1:$D$438,4,)</f>
        <v>По результатам рассмотрения материалов дела об административном правонарушении № ЦА-38-ЮЛ-25-7788, возбужденного за совершение административного правонарушения, ответственность за которое предусмотрена частью 10 статьи 15.29 КоАП РФ, Акционерному обществу «Негосударственный пенсионный фонд «ВЭФ.Жизнь» назначено административное наказание в виде предупреждения. Постановление вступило в законную силу 15.07.2025.</v>
      </c>
    </row>
    <row r="276" spans="1:11" ht="112" x14ac:dyDescent="0.2">
      <c r="A276" s="16">
        <v>263</v>
      </c>
      <c r="B276" s="29">
        <v>45853</v>
      </c>
      <c r="C276" s="17" t="s">
        <v>341</v>
      </c>
      <c r="D276" s="16" t="s">
        <v>996</v>
      </c>
      <c r="E276" s="16" t="s">
        <v>75</v>
      </c>
      <c r="F276" s="26">
        <v>250000</v>
      </c>
      <c r="G276" s="16">
        <v>500000</v>
      </c>
      <c r="H276" s="16">
        <v>700000</v>
      </c>
      <c r="I276" s="16" t="s">
        <v>1061</v>
      </c>
      <c r="J276" s="17" t="str">
        <f>VLOOKUP(E276,статьи!$G$2:$H$24,2,TRUE)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76" s="17" t="str">
        <f>VLOOKUP(A276,'компании+описание'!$A$1:$D$438,4,)</f>
        <v>По результатам рассмотрения материалов дела об административном правонарушении № ЦА-34-ЮЛ-25-8172,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«Капитализация»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30.06.2025 № 25-8172/3110-1 вступило в законную силу 15.07.2025.</v>
      </c>
    </row>
    <row r="277" spans="1:11" ht="80" x14ac:dyDescent="0.2">
      <c r="A277" s="16">
        <v>265</v>
      </c>
      <c r="B277" s="29">
        <v>45849</v>
      </c>
      <c r="C277" s="17" t="s">
        <v>343</v>
      </c>
      <c r="D277" s="16" t="s">
        <v>996</v>
      </c>
      <c r="E277" s="16" t="s">
        <v>8</v>
      </c>
      <c r="F277" s="26" t="s">
        <v>11</v>
      </c>
      <c r="G277" s="16">
        <v>300000</v>
      </c>
      <c r="H277" s="16">
        <v>500000</v>
      </c>
      <c r="I277" s="16" t="s">
        <v>1062</v>
      </c>
      <c r="J277" s="17" t="str">
        <f>VLOOKUP(E277,статьи!$G$2:$H$24,2,TRUE)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77" s="17" t="str">
        <f>VLOOKUP(A277,'компании+описание'!$A$1:$D$438,4,)</f>
        <v>По результатам рассмотрения материалов дела об административном правонарушении № ЦА-38-ЮЛ-25-6542,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Управляющая компания «Финанс Трейд Эссет Менеджмент» назначено административное наказание в виде предупреждения. Постановление вступило в законную силу 11.07.2025.</v>
      </c>
    </row>
    <row r="278" spans="1:11" ht="96" x14ac:dyDescent="0.2">
      <c r="A278" s="16">
        <v>267</v>
      </c>
      <c r="B278" s="29">
        <v>45846</v>
      </c>
      <c r="C278" s="17" t="s">
        <v>345</v>
      </c>
      <c r="D278" s="16" t="s">
        <v>997</v>
      </c>
      <c r="E278" s="16" t="s">
        <v>23</v>
      </c>
      <c r="F278" s="26">
        <v>3000</v>
      </c>
      <c r="G278" s="16">
        <v>3000</v>
      </c>
      <c r="H278" s="16">
        <v>5000</v>
      </c>
      <c r="I278" s="16" t="s">
        <v>1060</v>
      </c>
      <c r="J278" s="17" t="str">
        <f>VLOOKUP(E278,статьи!$G$2:$H$24,2,TRUE)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78" s="17" t="str">
        <f>VLOOKUP(A278,'компании+описание'!$A$1:$D$438,4,)</f>
        <v>По результатам рассмотрения материалов дела об административном правонарушении № ЦА-34-Гр-25-5498,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Тимофеевой Дарье Сергеевне назначено административное наказание в виде штрафа в размере 3 000 рублей. Постановление от 16.06.2025 № 25-5498/3110-1 о назначении административного наказания вступило в законную силу 08.07.2025.</v>
      </c>
    </row>
    <row r="279" spans="1:11" ht="96" x14ac:dyDescent="0.2">
      <c r="A279" s="16">
        <v>268</v>
      </c>
      <c r="B279" s="29">
        <v>45846</v>
      </c>
      <c r="C279" s="17" t="s">
        <v>346</v>
      </c>
      <c r="D279" s="16" t="s">
        <v>997</v>
      </c>
      <c r="E279" s="16" t="s">
        <v>23</v>
      </c>
      <c r="F279" s="26">
        <v>3000</v>
      </c>
      <c r="G279" s="16">
        <v>3000</v>
      </c>
      <c r="H279" s="16">
        <v>5000</v>
      </c>
      <c r="I279" s="16" t="s">
        <v>1060</v>
      </c>
      <c r="J279" s="17" t="str">
        <f>VLOOKUP(E279,статьи!$G$2:$H$24,2,TRUE)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79" s="17" t="str">
        <f>VLOOKUP(A279,'компании+описание'!$A$1:$D$438,4,)</f>
        <v>По результатам рассмотрения материалов дела об административном правонарушении № ЦА-34-Гр-25-5033,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Борисовой Анне Владимировне назначено административное наказание в виде штрафа в размере 3 000 рублей. Постановление от 15.05.2025 № 25-5033/3110-1 о назначении административного наказания вступило в законную силу 08.07.2025.</v>
      </c>
    </row>
    <row r="280" spans="1:11" ht="96" x14ac:dyDescent="0.2">
      <c r="A280" s="16">
        <v>269</v>
      </c>
      <c r="B280" s="29">
        <v>45846</v>
      </c>
      <c r="C280" s="17" t="s">
        <v>347</v>
      </c>
      <c r="D280" s="16" t="s">
        <v>997</v>
      </c>
      <c r="E280" s="16" t="s">
        <v>23</v>
      </c>
      <c r="F280" s="26">
        <v>3000</v>
      </c>
      <c r="G280" s="16">
        <v>3000</v>
      </c>
      <c r="H280" s="16">
        <v>5000</v>
      </c>
      <c r="I280" s="16" t="s">
        <v>1060</v>
      </c>
      <c r="J280" s="17" t="str">
        <f>VLOOKUP(E280,статьи!$G$2:$H$24,2,TRUE)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80" s="17" t="str">
        <f>VLOOKUP(A280,'компании+описание'!$A$1:$D$438,4,)</f>
        <v>По результатам рассмотрения материалов дела об административном правонарушении № ЦА-34-Гр-25-5494,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Тимофееву Александру Николаевичу назначено административное наказание в виде штрафа в размере 3 000 рублей. Постановление от 16.06.2025 № 25-5494/3110-1 о назначении административного наказания вступило в законную силу 08.07.2025.</v>
      </c>
    </row>
    <row r="281" spans="1:11" ht="96" x14ac:dyDescent="0.2">
      <c r="A281" s="16">
        <v>270</v>
      </c>
      <c r="B281" s="29">
        <v>45846</v>
      </c>
      <c r="C281" s="17" t="s">
        <v>348</v>
      </c>
      <c r="D281" s="16" t="s">
        <v>997</v>
      </c>
      <c r="E281" s="16" t="s">
        <v>23</v>
      </c>
      <c r="F281" s="26">
        <v>3000</v>
      </c>
      <c r="G281" s="16">
        <v>3000</v>
      </c>
      <c r="H281" s="16">
        <v>5000</v>
      </c>
      <c r="I281" s="16" t="s">
        <v>1060</v>
      </c>
      <c r="J281" s="17" t="str">
        <f>VLOOKUP(E281,статьи!$G$2:$H$24,2,TRUE)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81" s="17" t="str">
        <f>VLOOKUP(A281,'компании+описание'!$A$1:$D$438,4,)</f>
        <v>По результатам рассмотрения материалов дела об административном правонарушении № ЦА-34-Гр-25-7153,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Железнову Андрею Юрьевичу назначено административное наказание в виде штрафа в размере 3 000 рублей. Постановление от 16.06.2025 № 25-7153/3110-1 о назначении административного наказания вступило в законную силу 08.07.2025.</v>
      </c>
    </row>
    <row r="282" spans="1:11" ht="96" x14ac:dyDescent="0.2">
      <c r="A282" s="16">
        <v>271</v>
      </c>
      <c r="B282" s="29">
        <v>45846</v>
      </c>
      <c r="C282" s="17" t="s">
        <v>349</v>
      </c>
      <c r="D282" s="16" t="s">
        <v>997</v>
      </c>
      <c r="E282" s="16" t="s">
        <v>23</v>
      </c>
      <c r="F282" s="26">
        <v>3000</v>
      </c>
      <c r="G282" s="16">
        <v>3000</v>
      </c>
      <c r="H282" s="16">
        <v>5000</v>
      </c>
      <c r="I282" s="16" t="s">
        <v>1060</v>
      </c>
      <c r="J282" s="17" t="str">
        <f>VLOOKUP(E282,статьи!$G$2:$H$24,2,TRUE)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82" s="17" t="str">
        <f>VLOOKUP(A282,'компании+описание'!$A$1:$D$438,4,)</f>
        <v>По результатам рассмотрения материалов дела об административном правонарушении № ЦА-34-Гр-25-7156,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Просовой Елене Игоревне назначено административное наказание в виде штрафа в размере 3 000 рублей. Постановление от 16.06.2025 № 25-7156/3110-1 о назначении административного наказания вступило в законную силу 08.07.2025.</v>
      </c>
    </row>
    <row r="283" spans="1:11" ht="96" x14ac:dyDescent="0.2">
      <c r="A283" s="16">
        <v>272</v>
      </c>
      <c r="B283" s="29">
        <v>45846</v>
      </c>
      <c r="C283" s="17" t="s">
        <v>350</v>
      </c>
      <c r="D283" s="16" t="s">
        <v>997</v>
      </c>
      <c r="E283" s="16" t="s">
        <v>23</v>
      </c>
      <c r="F283" s="26">
        <v>3000</v>
      </c>
      <c r="G283" s="16">
        <v>3000</v>
      </c>
      <c r="H283" s="16">
        <v>5000</v>
      </c>
      <c r="I283" s="16" t="s">
        <v>1060</v>
      </c>
      <c r="J283" s="17" t="str">
        <f>VLOOKUP(E283,статьи!$G$2:$H$24,2,TRUE)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83" s="17" t="str">
        <f>VLOOKUP(A283,'компании+описание'!$A$1:$D$438,4,)</f>
        <v>По результатам рассмотрения материалов дела об административном правонарушении № ЦА-34-Гр-25-5011,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Варанкиной Евгении Владимировне назначено административное наказание в виде штрафа в размере 3 000 рублей. Постановление от 19.05.2025 № 25-5011/3110-1 о назначении административного наказания вступило в законную силу 08.07.2025.</v>
      </c>
    </row>
    <row r="284" spans="1:11" ht="112" x14ac:dyDescent="0.2">
      <c r="A284" s="16">
        <v>273</v>
      </c>
      <c r="B284" s="29">
        <v>45846</v>
      </c>
      <c r="C284" s="17" t="s">
        <v>351</v>
      </c>
      <c r="D284" s="16" t="s">
        <v>996</v>
      </c>
      <c r="E284" s="16" t="s">
        <v>75</v>
      </c>
      <c r="F284" s="26">
        <v>250000</v>
      </c>
      <c r="G284" s="16">
        <v>500000</v>
      </c>
      <c r="H284" s="16">
        <v>700000</v>
      </c>
      <c r="I284" s="16" t="s">
        <v>1061</v>
      </c>
      <c r="J284" s="17" t="str">
        <f>VLOOKUP(E284,статьи!$G$2:$H$24,2,TRUE)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84" s="17" t="str">
        <f>VLOOKUP(A284,'компании+описание'!$A$1:$D$438,4,)</f>
        <v>По результатам рассмотрения материалов дела об административном правонарушении № ЦА-34-ЮЛ-25-7366,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«ДжетЛенд»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25.06.2025 № 25-7366/3110-1 вступило в законную силу 08.07.2025.</v>
      </c>
    </row>
    <row r="285" spans="1:11" ht="144" x14ac:dyDescent="0.2">
      <c r="A285" s="16">
        <v>274</v>
      </c>
      <c r="B285" s="29">
        <v>45846</v>
      </c>
      <c r="C285" s="17" t="s">
        <v>85</v>
      </c>
      <c r="D285" s="16" t="s">
        <v>996</v>
      </c>
      <c r="E285" s="16" t="s">
        <v>7</v>
      </c>
      <c r="F285" s="26">
        <v>700000</v>
      </c>
      <c r="G285" s="16">
        <v>700000</v>
      </c>
      <c r="H285" s="16">
        <v>1000000</v>
      </c>
      <c r="I285" s="16" t="s">
        <v>1060</v>
      </c>
      <c r="J285" s="17" t="str">
        <f>VLOOKUP(E285,статьи!$G$2:$H$24,2,TRUE)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285" s="17" t="str">
        <f>VLOOKUP(A285,'компании+описание'!$A$1:$D$438,4,)</f>
        <v>По результатам рассмотрения материалов дела об административном правонарушении № ЦА-38-ЮЛ-25-7324, возбужденного за совершение административного правонарушения, ответственность за которое предусмотрена частью 6 статьи 15.29 КоАП РФ, Обществу с ограниченной ответственностью «РСХБ Управление Активами» назначено административное наказание в виде штрафа в размере 700 000 рублей. Постановление вступило в законную силу 08.07.2025.</v>
      </c>
    </row>
    <row r="286" spans="1:11" ht="96" x14ac:dyDescent="0.2">
      <c r="A286" s="16">
        <v>278</v>
      </c>
      <c r="B286" s="29">
        <v>45842</v>
      </c>
      <c r="C286" s="17" t="s">
        <v>353</v>
      </c>
      <c r="D286" s="16" t="s">
        <v>997</v>
      </c>
      <c r="E286" s="16" t="s">
        <v>23</v>
      </c>
      <c r="F286" s="26">
        <v>3000</v>
      </c>
      <c r="G286" s="16">
        <v>3000</v>
      </c>
      <c r="H286" s="16">
        <v>5000</v>
      </c>
      <c r="I286" s="16" t="s">
        <v>1060</v>
      </c>
      <c r="J286" s="17" t="str">
        <f>VLOOKUP(E286,статьи!$G$2:$H$24,2,TRUE)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86" s="17" t="str">
        <f>VLOOKUP(A286,'компании+описание'!$A$1:$D$438,4,)</f>
        <v>По результатам рассмотрения материалов дела об административном правонарушении № ЦА-34-Гр-25-6165, возбужденного за совершение административного правонарушения, ответственность за которое предусмотрена статьей 15.30 КоАП РФ, Федорову Александру Вячеславовичу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04.06.2025 № 25-6165/3110-1 вступило в законную силу 04.07.2025.</v>
      </c>
    </row>
    <row r="287" spans="1:11" ht="80" x14ac:dyDescent="0.2">
      <c r="A287" s="16">
        <v>279</v>
      </c>
      <c r="B287" s="29">
        <v>45839</v>
      </c>
      <c r="C287" s="17" t="s">
        <v>355</v>
      </c>
      <c r="D287" s="16" t="s">
        <v>996</v>
      </c>
      <c r="E287" s="16" t="s">
        <v>327</v>
      </c>
      <c r="F287" s="26" t="s">
        <v>11</v>
      </c>
      <c r="G287" s="16">
        <v>20000</v>
      </c>
      <c r="H287" s="16">
        <v>50000</v>
      </c>
      <c r="I287" s="16" t="s">
        <v>1062</v>
      </c>
      <c r="J287" s="17" t="str">
        <f>VLOOKUP(E287,статьи!$G$2:$H$24,2,TRUE)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87" s="17" t="str">
        <f>VLOOKUP(A287,'компании+описание'!$A$1:$D$438,4,)</f>
        <v>По результатам рассмотрения материалов дела об административном правонарушении № ЦА-44-ЮЛ-25-6909, возбужденного за совершение административного правонарушения, ответственность за которое предусмотрена статьей 5.55 КоАП РФ, обществу с ограниченной ответственностью «Спектрум кредитное бюро» назначено административное наказание в виде предупреждения. Постановление о назначении административного наказания вступило в законную силу 01.07.2025.</v>
      </c>
    </row>
    <row r="288" spans="1:11" ht="80" x14ac:dyDescent="0.2">
      <c r="A288" s="16">
        <v>280</v>
      </c>
      <c r="B288" s="29">
        <v>45839</v>
      </c>
      <c r="C288" s="17" t="s">
        <v>166</v>
      </c>
      <c r="D288" s="16" t="s">
        <v>996</v>
      </c>
      <c r="E288" s="16" t="s">
        <v>75</v>
      </c>
      <c r="F288" s="26">
        <v>700000</v>
      </c>
      <c r="G288" s="16">
        <v>500000</v>
      </c>
      <c r="H288" s="16">
        <v>700000</v>
      </c>
      <c r="I288" s="16" t="s">
        <v>1063</v>
      </c>
      <c r="J288" s="17" t="str">
        <f>VLOOKUP(E288,статьи!$G$2:$H$24,2,TRUE)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88" s="17" t="str">
        <f>VLOOKUP(A288,'компании+описание'!$A$1:$D$438,4,)</f>
        <v>По результатам рассмотрения материалов дела об административном правонарушении № ЦА-44-ЮЛ-25-7162, возбужденного за совершение административного правонарушения, ответственность за которое предусмотрена частью 1 статьи 19.7.3 КоАП РФ, акционерному обществу «Объединенное Кредитное Бюро» назначено административное наказание в виде штрафа в размере 700 000 рублей. Постановление о назначении административного наказания вступило в законную силу 01.07.2025.</v>
      </c>
    </row>
    <row r="289" spans="1:11" ht="96" x14ac:dyDescent="0.2">
      <c r="A289" s="16">
        <v>283</v>
      </c>
      <c r="B289" s="29">
        <v>45839</v>
      </c>
      <c r="C289" s="17" t="s">
        <v>356</v>
      </c>
      <c r="D289" s="16" t="s">
        <v>997</v>
      </c>
      <c r="E289" s="16" t="s">
        <v>23</v>
      </c>
      <c r="F289" s="26">
        <v>30000</v>
      </c>
      <c r="G289" s="16">
        <v>3000</v>
      </c>
      <c r="H289" s="16">
        <v>5000</v>
      </c>
      <c r="I289" s="16" t="s">
        <v>1065</v>
      </c>
      <c r="J289" s="17" t="str">
        <f>VLOOKUP(E289,статьи!$G$2:$H$24,2,TRUE)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89" s="17" t="str">
        <f>VLOOKUP(A289,'компании+описание'!$A$1:$D$438,4,)</f>
        <v>По результатам рассмотрения материалов дела об административном правонарушении № ЦА-34-ДЛ-25-5980, возбужденного за совершение административного правонарушения, ответственность за которое предусмотрена статьей 15.30 КоАП РФ, Байдакову Александру Владимировичу назначено административное наказание в виде штрафа в размере 30 000 рублей. Постановление о наложении штрафа по делу об административном правонарушении от 02.06.2025 № 25-5980/3110-1 вступило в законную силу 01.07.2025.</v>
      </c>
    </row>
    <row r="290" spans="1:11" ht="144" x14ac:dyDescent="0.2">
      <c r="A290" s="16">
        <v>285</v>
      </c>
      <c r="B290" s="29">
        <v>45838</v>
      </c>
      <c r="C290" s="17" t="s">
        <v>358</v>
      </c>
      <c r="D290" s="16" t="s">
        <v>996</v>
      </c>
      <c r="E290" s="16" t="s">
        <v>72</v>
      </c>
      <c r="F290" s="26">
        <v>250000</v>
      </c>
      <c r="G290" s="16">
        <v>500000</v>
      </c>
      <c r="H290" s="16">
        <v>700000</v>
      </c>
      <c r="I290" s="16" t="s">
        <v>1061</v>
      </c>
      <c r="J290" s="17" t="str">
        <f>VLOOKUP(E290,статьи!$G$2:$H$24,2,TRUE)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290" s="17" t="str">
        <f>VLOOKUP(A290,'компании+описание'!$A$1:$D$438,4,)</f>
        <v>По результатам рассмотрения материалов дела об административном правонарушении № ЦА-34-ЮЛ-25-7134,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«КАПИТАЛИЗАЦИЯ»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16.06.2025 № 25-7134/3110-1 вступило в законную силу 28.06.2025.</v>
      </c>
    </row>
    <row r="291" spans="1:11" ht="80" x14ac:dyDescent="0.2">
      <c r="A291" s="16">
        <v>286</v>
      </c>
      <c r="B291" s="29">
        <v>45838</v>
      </c>
      <c r="C291" s="17" t="s">
        <v>85</v>
      </c>
      <c r="D291" s="16" t="s">
        <v>996</v>
      </c>
      <c r="E291" s="16" t="s">
        <v>80</v>
      </c>
      <c r="F291" s="26">
        <v>700000</v>
      </c>
      <c r="G291" s="16">
        <v>700000</v>
      </c>
      <c r="H291" s="16">
        <v>1000000</v>
      </c>
      <c r="I291" s="16" t="s">
        <v>1060</v>
      </c>
      <c r="J291" s="17" t="str">
        <f>VLOOKUP(E291,статьи!$G$2:$H$24,2,TRUE)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91" s="17" t="str">
        <f>VLOOKUP(A291,'компании+описание'!$A$1:$D$438,4,)</f>
        <v>По результатам рассмотрения материалов дела об административном правонарушении № ЦА-38-ЮЛ-25-6450, возбужденного за совершение административного правонарушения, ответственность за которое предусмотрена частью 2 статьи 15.19 КоАП РФ, Обществу с ограниченной ответственностью «РСХБ Управление Активами» назначено административное наказание в виде штрафа в размере 700 000 рублей. Постановление вступило в законную силу 28.06.2025.</v>
      </c>
    </row>
    <row r="292" spans="1:11" ht="96" x14ac:dyDescent="0.2">
      <c r="A292" s="16">
        <v>289</v>
      </c>
      <c r="B292" s="29">
        <v>45828</v>
      </c>
      <c r="C292" s="17" t="s">
        <v>360</v>
      </c>
      <c r="D292" s="16" t="s">
        <v>997</v>
      </c>
      <c r="E292" s="16" t="s">
        <v>23</v>
      </c>
      <c r="F292" s="26">
        <v>3000</v>
      </c>
      <c r="G292" s="16">
        <v>3000</v>
      </c>
      <c r="H292" s="16">
        <v>5000</v>
      </c>
      <c r="I292" s="16" t="s">
        <v>1060</v>
      </c>
      <c r="J292" s="17" t="str">
        <f>VLOOKUP(E292,статьи!$G$2:$H$24,2,TRUE)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92" s="17" t="str">
        <f>VLOOKUP(A292,'компании+описание'!$A$1:$D$438,4,)</f>
        <v>По результатам рассмотрения материалов дела об административном правонарушении № ЦА-34-Гр-25-5131,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Давтяну Давиду Михайловичу назначено административное наказание в виде штрафа в размере 3 000 рублей. Постановление от 20.05.2025 № 25-5131/3110-1 о назначении административного наказания вступило в законную силу 20.06.2025.</v>
      </c>
    </row>
    <row r="293" spans="1:11" ht="96" x14ac:dyDescent="0.2">
      <c r="A293" s="16">
        <v>290</v>
      </c>
      <c r="B293" s="29">
        <v>45826</v>
      </c>
      <c r="C293" s="17" t="s">
        <v>362</v>
      </c>
      <c r="D293" s="16" t="s">
        <v>997</v>
      </c>
      <c r="E293" s="16" t="s">
        <v>23</v>
      </c>
      <c r="F293" s="26">
        <v>30000</v>
      </c>
      <c r="G293" s="16">
        <v>3000</v>
      </c>
      <c r="H293" s="16">
        <v>5000</v>
      </c>
      <c r="I293" s="16" t="s">
        <v>1065</v>
      </c>
      <c r="J293" s="17" t="str">
        <f>VLOOKUP(E293,статьи!$G$2:$H$24,2,TRUE)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93" s="17" t="str">
        <f>VLOOKUP(A293,'компании+описание'!$A$1:$D$438,4,)</f>
        <v>По результатам рассмотрения материалов дела об административном правонарушении № ЦА-34-ДЛ-25-5983,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Волику Богдану Викторовичу назначено административное наказание в виде штрафа в размере 30 000 рублей. Постановление от 02.06.2025 № 25-5983/3110-1 о назначении административного наказания вступило в законную силу 18.06.2025.</v>
      </c>
    </row>
    <row r="294" spans="1:11" ht="96" x14ac:dyDescent="0.2">
      <c r="A294" s="16">
        <v>291</v>
      </c>
      <c r="B294" s="29">
        <v>45825</v>
      </c>
      <c r="C294" s="17" t="s">
        <v>13</v>
      </c>
      <c r="D294" s="16" t="s">
        <v>996</v>
      </c>
      <c r="E294" s="16" t="s">
        <v>75</v>
      </c>
      <c r="F294" s="26">
        <v>500000</v>
      </c>
      <c r="G294" s="16">
        <v>500000</v>
      </c>
      <c r="H294" s="16">
        <v>700000</v>
      </c>
      <c r="I294" s="16" t="s">
        <v>1060</v>
      </c>
      <c r="J294" s="17" t="str">
        <f>VLOOKUP(E294,статьи!$G$2:$H$24,2,TRUE)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94" s="17" t="str">
        <f>VLOOKUP(A294,'компании+описание'!$A$1:$D$438,4,)</f>
        <v>По результатам рассмотрения материалов дела об административном правонарушении № ЦА-34-ЮЛ-25-6249, возбужденного за совершение административного правонарушения, ответственность за которое предусмотрена частью 1 статьи 19.7.3 КоАП РФ, акционерному обществу «Инвестиционная компания «РИКОМ-ТРАСТ» назначено административное наказание в виде штрафа размером 500 000 (пятьсот тысяч) рублей. Постановление от 04.06.2025 № 25-6249/3110-1 о назначении административного наказания вступило в законную силу 17.06.2025.</v>
      </c>
    </row>
    <row r="295" spans="1:11" ht="144" x14ac:dyDescent="0.2">
      <c r="A295" s="16">
        <v>292</v>
      </c>
      <c r="B295" s="29">
        <v>45825</v>
      </c>
      <c r="C295" s="17" t="s">
        <v>215</v>
      </c>
      <c r="D295" s="16" t="s">
        <v>996</v>
      </c>
      <c r="E295" s="16" t="s">
        <v>72</v>
      </c>
      <c r="F295" s="26">
        <v>250000</v>
      </c>
      <c r="G295" s="16">
        <v>500000</v>
      </c>
      <c r="H295" s="16">
        <v>700000</v>
      </c>
      <c r="I295" s="16" t="s">
        <v>1061</v>
      </c>
      <c r="J295" s="17" t="str">
        <f>VLOOKUP(E295,статьи!$G$2:$H$24,2,TRUE)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295" s="17" t="str">
        <f>VLOOKUP(A295,'компании+описание'!$A$1:$D$438,4,)</f>
        <v>По результатам рассмотрения материалов дела об административном правонарушении № ЦА-34-ЮЛ-25-6067,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«СмартИнвест»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02.06.2025 № 25-6067/3110-1 вступило в законную силу 17.06.2025.</v>
      </c>
    </row>
    <row r="296" spans="1:11" ht="96" x14ac:dyDescent="0.2">
      <c r="A296" s="16">
        <v>293</v>
      </c>
      <c r="B296" s="29">
        <v>45825</v>
      </c>
      <c r="C296" s="17" t="s">
        <v>363</v>
      </c>
      <c r="D296" s="16" t="s">
        <v>997</v>
      </c>
      <c r="E296" s="16" t="s">
        <v>23</v>
      </c>
      <c r="F296" s="26">
        <v>3000</v>
      </c>
      <c r="G296" s="16">
        <v>3000</v>
      </c>
      <c r="H296" s="16">
        <v>5000</v>
      </c>
      <c r="I296" s="16" t="s">
        <v>1060</v>
      </c>
      <c r="J296" s="17" t="str">
        <f>VLOOKUP(E296,статьи!$G$2:$H$24,2,TRUE)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96" s="17" t="str">
        <f>VLOOKUP(A296,'компании+описание'!$A$1:$D$438,4,)</f>
        <v>По результатам рассмотрения материалов дела об административном правонарушении № ЦА-34-Гр-25-5137,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Цатурян Наринэ Егишевне назначено административное наказание в виде штрафа в размере 3 000 рублей. Постановление от 20.05.2025 № 25-5137/3110-1 о назначении административного наказания вступило в законную силу 17.06.2025.</v>
      </c>
    </row>
    <row r="297" spans="1:11" ht="96" x14ac:dyDescent="0.2">
      <c r="A297" s="16">
        <v>294</v>
      </c>
      <c r="B297" s="29">
        <v>45825</v>
      </c>
      <c r="C297" s="17" t="s">
        <v>364</v>
      </c>
      <c r="D297" s="16" t="s">
        <v>997</v>
      </c>
      <c r="E297" s="16" t="s">
        <v>23</v>
      </c>
      <c r="F297" s="26">
        <v>3000</v>
      </c>
      <c r="G297" s="16">
        <v>3000</v>
      </c>
      <c r="H297" s="16">
        <v>5000</v>
      </c>
      <c r="I297" s="16" t="s">
        <v>1060</v>
      </c>
      <c r="J297" s="17" t="str">
        <f>VLOOKUP(E297,статьи!$G$2:$H$24,2,TRUE)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97" s="17" t="str">
        <f>VLOOKUP(A297,'компании+описание'!$A$1:$D$438,4,)</f>
        <v>По результатам рассмотрения материалов дела об административном правонарушении № ЦА-34-Гр-25-5203,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Журавлевой Анастасии Андреевне назначено административное наказание в виде штрафа в размере 3 000 рублей. Постановление от 20.05.2025 № 25-5203/3110-1 о назначении административного наказания вступило в законную силу 17.06.2025.</v>
      </c>
    </row>
    <row r="298" spans="1:11" ht="96" x14ac:dyDescent="0.2">
      <c r="A298" s="16">
        <v>295</v>
      </c>
      <c r="B298" s="29">
        <v>45825</v>
      </c>
      <c r="C298" s="17" t="s">
        <v>365</v>
      </c>
      <c r="D298" s="16" t="s">
        <v>997</v>
      </c>
      <c r="E298" s="16" t="s">
        <v>23</v>
      </c>
      <c r="F298" s="26">
        <v>3000</v>
      </c>
      <c r="G298" s="16">
        <v>3000</v>
      </c>
      <c r="H298" s="16">
        <v>5000</v>
      </c>
      <c r="I298" s="16" t="s">
        <v>1060</v>
      </c>
      <c r="J298" s="17" t="str">
        <f>VLOOKUP(E298,статьи!$G$2:$H$24,2,TRUE)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98" s="17" t="str">
        <f>VLOOKUP(A298,'компании+описание'!$A$1:$D$438,4,)</f>
        <v>По результатам рассмотрения материалов дела об административном правонарушении № ЦА-34-Гр-25-5200,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Журавлеву Дмитрию Михайловичу назначено административное наказание в виде штрафа в размере 3 000 рублей. Постановление от 20.05.2025 № 25-5200/3110-1 о назначении административного наказания вступило в законную силу 17.06.2025.</v>
      </c>
    </row>
    <row r="299" spans="1:11" ht="112" x14ac:dyDescent="0.2">
      <c r="A299" s="16">
        <v>296</v>
      </c>
      <c r="B299" s="29">
        <v>45825</v>
      </c>
      <c r="C299" s="17" t="s">
        <v>268</v>
      </c>
      <c r="D299" s="16" t="s">
        <v>996</v>
      </c>
      <c r="E299" s="16" t="s">
        <v>75</v>
      </c>
      <c r="F299" s="26">
        <v>350000</v>
      </c>
      <c r="G299" s="16">
        <v>500000</v>
      </c>
      <c r="H299" s="16">
        <v>700000</v>
      </c>
      <c r="I299" s="16" t="s">
        <v>1061</v>
      </c>
      <c r="J299" s="17" t="str">
        <f>VLOOKUP(E299,статьи!$G$2:$H$24,2,TRUE)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299" s="17" t="str">
        <f>VLOOKUP(A299,'компании+описание'!$A$1:$D$438,4,)</f>
        <v>По результатам рассмотрения материалов дела об административном правонарушении № ЦА-34-ЮЛ-25-6004,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«Каркаул.ру» назначено административное наказание в виде штрафа в размере 350 000 (триста пятьдесят тысяч) рублей. Постановление о наложении штрафа по делу об административном правонарушении от 28.05.2025 № 25-6004/3110-1 вступило в законную силу 17.06.2025.</v>
      </c>
    </row>
    <row r="300" spans="1:11" ht="80" x14ac:dyDescent="0.2">
      <c r="A300" s="16">
        <v>297</v>
      </c>
      <c r="B300" s="29">
        <v>45825</v>
      </c>
      <c r="C300" s="17" t="s">
        <v>366</v>
      </c>
      <c r="D300" s="16" t="s">
        <v>996</v>
      </c>
      <c r="E300" s="16" t="s">
        <v>83</v>
      </c>
      <c r="F300" s="26">
        <v>250000</v>
      </c>
      <c r="G300" s="16">
        <v>500000</v>
      </c>
      <c r="H300" s="16">
        <v>700000</v>
      </c>
      <c r="I300" s="16" t="s">
        <v>1061</v>
      </c>
      <c r="J300" s="17" t="str">
        <f>VLOOKUP(E300,статьи!$G$2:$H$24,2,TRUE)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00" s="17" t="str">
        <f>VLOOKUP(A300,'компании+описание'!$A$1:$D$438,4,)</f>
        <v>По результатам рассмотрения материалов дела об административном правонарушении № ЦА-38-ЮЛ-25-5749, возбужденного за совершение административного правонарушения, ответственность за которое предусмотрена частью 2 статьи 15.29 КоАП РФ, Обществу с ограниченной ответственностью «Бенефорт» назначено административное наказание в виде штрафа в размере 250 000 рублей. Постановление вступило в законную силу 17.06.2025.</v>
      </c>
    </row>
    <row r="301" spans="1:11" ht="144" x14ac:dyDescent="0.2">
      <c r="A301" s="16">
        <v>298</v>
      </c>
      <c r="B301" s="29">
        <v>45818</v>
      </c>
      <c r="C301" s="17" t="s">
        <v>368</v>
      </c>
      <c r="D301" s="16" t="s">
        <v>996</v>
      </c>
      <c r="E301" s="16" t="s">
        <v>5</v>
      </c>
      <c r="F301" s="26">
        <v>700000</v>
      </c>
      <c r="G301" s="16">
        <v>700000</v>
      </c>
      <c r="H301" s="16">
        <v>1000000</v>
      </c>
      <c r="I301" s="16" t="s">
        <v>1060</v>
      </c>
      <c r="J301" s="17" t="str">
        <f>VLOOKUP(E301,статьи!$G$2:$H$24,2,TRUE)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301" s="17" t="str">
        <f>VLOOKUP(A301,'компании+описание'!$A$1:$D$438,4,)</f>
        <v>По результатам рассмотрения материалов дела об административном правонарушении № ЦА-38-ЮЛ-25-5830 возбужденного за совершение административного правонарушения, ответственность за которое предусмотрена частью 9 статьи 15.29 КоАП РФ, АО «Национальный НПФ» назначено административное наказание в виде штрафа в размере 700 000 рублей. Постановление вступило в законную силу 10.06.2025.</v>
      </c>
    </row>
    <row r="302" spans="1:11" ht="112" x14ac:dyDescent="0.2">
      <c r="A302" s="16">
        <v>299</v>
      </c>
      <c r="B302" s="29">
        <v>45818</v>
      </c>
      <c r="C302" s="17" t="s">
        <v>369</v>
      </c>
      <c r="D302" s="16" t="s">
        <v>996</v>
      </c>
      <c r="E302" s="16" t="s">
        <v>75</v>
      </c>
      <c r="F302" s="26">
        <v>250000</v>
      </c>
      <c r="G302" s="16">
        <v>500000</v>
      </c>
      <c r="H302" s="16">
        <v>700000</v>
      </c>
      <c r="I302" s="16" t="s">
        <v>1061</v>
      </c>
      <c r="J302" s="17" t="str">
        <f>VLOOKUP(E302,статьи!$G$2:$H$24,2,TRUE)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02" s="17" t="str">
        <f>VLOOKUP(A302,'компании+описание'!$A$1:$D$438,4,)</f>
        <v>По результатам рассмотрения материалов дела об административном правонарушении № ЦА-34-ЮЛ-25-5989,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«ЛЭНДЭР-ИНВЕСТ»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28.05.2025 № 25-5989/3110-1 вступило в законную силу 10.06.2025.</v>
      </c>
    </row>
    <row r="303" spans="1:11" ht="96" x14ac:dyDescent="0.2">
      <c r="A303" s="16">
        <v>300</v>
      </c>
      <c r="B303" s="29">
        <v>45818</v>
      </c>
      <c r="C303" s="17" t="s">
        <v>370</v>
      </c>
      <c r="D303" s="16" t="s">
        <v>997</v>
      </c>
      <c r="E303" s="16" t="s">
        <v>23</v>
      </c>
      <c r="F303" s="26">
        <v>3000</v>
      </c>
      <c r="G303" s="16">
        <v>3000</v>
      </c>
      <c r="H303" s="16">
        <v>5000</v>
      </c>
      <c r="I303" s="16" t="s">
        <v>1060</v>
      </c>
      <c r="J303" s="17" t="str">
        <f>VLOOKUP(E303,статьи!$G$2:$H$24,2,TRUE)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03" s="17" t="str">
        <f>VLOOKUP(A303,'компании+описание'!$A$1:$D$438,4,)</f>
        <v>По результатам рассмотрения материалов дела об административном правонарушении № ЦА-34-Гр-25-3928, возбужденного за совершение административного правонарушения, ответственность за которое предусмотрена статьей 15.30 КоАП РФ, Павловой Марине Алексеевне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22.04.2025 № 25-3928/3110-1 вступило в законную силу 10.06.2025.</v>
      </c>
    </row>
    <row r="304" spans="1:11" ht="96" x14ac:dyDescent="0.2">
      <c r="A304" s="16">
        <v>301</v>
      </c>
      <c r="B304" s="29">
        <v>45818</v>
      </c>
      <c r="C304" s="17" t="s">
        <v>371</v>
      </c>
      <c r="D304" s="16" t="s">
        <v>997</v>
      </c>
      <c r="E304" s="16" t="s">
        <v>23</v>
      </c>
      <c r="F304" s="26">
        <v>3000</v>
      </c>
      <c r="G304" s="16">
        <v>3000</v>
      </c>
      <c r="H304" s="16">
        <v>5000</v>
      </c>
      <c r="I304" s="16" t="s">
        <v>1060</v>
      </c>
      <c r="J304" s="17" t="str">
        <f>VLOOKUP(E304,статьи!$G$2:$H$24,2,TRUE)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04" s="17" t="str">
        <f>VLOOKUP(A304,'компании+описание'!$A$1:$D$438,4,)</f>
        <v>По результатам рассмотрения материалов дела об административном правонарушении № ЦА-34-Гр-25-3927, возбужденного за совершение административного правонарушения, ответственность за которое предусмотрена статьей 15.30 КоАП РФ, Павлову Александру Владиславовичу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22.04.2025 № 25-3927/3110-1 вступило в законную силу 10.06.2025.</v>
      </c>
    </row>
    <row r="305" spans="1:11" ht="144" x14ac:dyDescent="0.2">
      <c r="A305" s="16">
        <v>302</v>
      </c>
      <c r="B305" s="29">
        <v>45818</v>
      </c>
      <c r="C305" s="17" t="s">
        <v>372</v>
      </c>
      <c r="D305" s="16" t="s">
        <v>996</v>
      </c>
      <c r="E305" s="16" t="s">
        <v>7</v>
      </c>
      <c r="F305" s="26" t="s">
        <v>11</v>
      </c>
      <c r="G305" s="16">
        <v>700000</v>
      </c>
      <c r="H305" s="16">
        <v>1000000</v>
      </c>
      <c r="I305" s="16" t="s">
        <v>1062</v>
      </c>
      <c r="J305" s="17" t="str">
        <f>VLOOKUP(E305,статьи!$G$2:$H$24,2,TRUE)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305" s="17" t="str">
        <f>VLOOKUP(A305,'компании+описание'!$A$1:$D$438,4,)</f>
        <v>По результатам рассмотрения материалов дела об административном правонарушении № ЦА-38-ЮЛ-25-5687, возбужденного за совершение административного правонарушения, ответственность за которое предусмотрена частью 6 статьи 15.29 КоАП РФ, Обществу с ограниченной ответственностью «Управляющая компания «Финам Менеджмент» назначено административное наказание в виде предупреждения. Постановление вступило в законную силу 10.06.2025.</v>
      </c>
    </row>
    <row r="306" spans="1:11" ht="80" x14ac:dyDescent="0.2">
      <c r="A306" s="16">
        <v>303</v>
      </c>
      <c r="B306" s="29">
        <v>45817</v>
      </c>
      <c r="C306" s="17" t="s">
        <v>284</v>
      </c>
      <c r="D306" s="16" t="s">
        <v>996</v>
      </c>
      <c r="E306" s="16" t="s">
        <v>83</v>
      </c>
      <c r="F306" s="26">
        <v>500000</v>
      </c>
      <c r="G306" s="16">
        <v>500000</v>
      </c>
      <c r="H306" s="16">
        <v>700000</v>
      </c>
      <c r="I306" s="16" t="s">
        <v>1060</v>
      </c>
      <c r="J306" s="17" t="str">
        <f>VLOOKUP(E306,статьи!$G$2:$H$24,2,TRUE)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06" s="17" t="str">
        <f>VLOOKUP(A306,'компании+описание'!$A$1:$D$438,4,)</f>
        <v>По результатам рассмотрения материалов дела об административном правонарушении № ЦА-38-ЮЛ-25-5215, возбужденного за совершение административного правонарушения, ответственность за которое предусмотрена частью 2 статьи 15.29 КоАП РФ, Акционерному обществу «Инвестиционная компания «Ай Ти Инвест» назначено административное наказание в виде штрафа в размере 500 000 рублей. Постановление вступило в законную силу 07.06.2025.</v>
      </c>
    </row>
    <row r="307" spans="1:11" ht="96" x14ac:dyDescent="0.2">
      <c r="A307" s="16">
        <v>304</v>
      </c>
      <c r="B307" s="29">
        <v>45817</v>
      </c>
      <c r="C307" s="17" t="s">
        <v>374</v>
      </c>
      <c r="D307" s="16" t="s">
        <v>996</v>
      </c>
      <c r="E307" s="16" t="s">
        <v>327</v>
      </c>
      <c r="F307" s="26" t="s">
        <v>11</v>
      </c>
      <c r="G307" s="16">
        <v>20000</v>
      </c>
      <c r="H307" s="16">
        <v>50000</v>
      </c>
      <c r="I307" s="16" t="s">
        <v>1062</v>
      </c>
      <c r="J307" s="17" t="str">
        <f>VLOOKUP(E307,статьи!$G$2:$H$24,2,TRUE)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07" s="17" t="str">
        <f>VLOOKUP(A307,'компании+описание'!$A$1:$D$438,4,)</f>
        <v>По результатам рассмотрения материалов дела об административном правонарушении № ЦА-44-ЮЛ-25-4887, возбужденного за совершение административного правонарушения, ответственность за которое предусмотрена статьей 5.55 КоАП РФ, АО «Бюро кредитных историй «Скоринг Бюро» назначено административное наказание в виде предупреждения. Постановление от 28.05.2025 № ЦА-44-ЮЛ-25-4887/3120-1 о назначении предупреждения по делу об административном правонарушении вступило в законную силу 09.06.2025.</v>
      </c>
    </row>
    <row r="308" spans="1:11" ht="80" x14ac:dyDescent="0.2">
      <c r="A308" s="16">
        <v>305</v>
      </c>
      <c r="B308" s="29">
        <v>45817</v>
      </c>
      <c r="C308" s="17" t="s">
        <v>375</v>
      </c>
      <c r="D308" s="16" t="s">
        <v>996</v>
      </c>
      <c r="E308" s="16" t="s">
        <v>8</v>
      </c>
      <c r="F308" s="26">
        <v>300000</v>
      </c>
      <c r="G308" s="16">
        <v>300000</v>
      </c>
      <c r="H308" s="16">
        <v>500000</v>
      </c>
      <c r="I308" s="16" t="s">
        <v>1060</v>
      </c>
      <c r="J308" s="17" t="str">
        <f>VLOOKUP(E308,статьи!$G$2:$H$24,2,TRUE)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08" s="17" t="str">
        <f>VLOOKUP(A308,'компании+описание'!$A$1:$D$438,4,)</f>
        <v>По результатам рассмотрения материалов дела об административном правонарушении № ЦА-38-ЮЛ-25-5558,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«Т-Капитал» назначено административное наказание в виде штрафа в размере 300 000 рублей. Постановление вступило в законную силу 07.06.2025.</v>
      </c>
    </row>
    <row r="309" spans="1:11" ht="80" x14ac:dyDescent="0.2">
      <c r="A309" s="16">
        <v>306</v>
      </c>
      <c r="B309" s="29">
        <v>45814</v>
      </c>
      <c r="C309" s="17" t="s">
        <v>377</v>
      </c>
      <c r="D309" s="16" t="s">
        <v>996</v>
      </c>
      <c r="E309" s="16" t="s">
        <v>83</v>
      </c>
      <c r="F309" s="26">
        <v>500000</v>
      </c>
      <c r="G309" s="16">
        <v>500000</v>
      </c>
      <c r="H309" s="16">
        <v>700000</v>
      </c>
      <c r="I309" s="16" t="s">
        <v>1060</v>
      </c>
      <c r="J309" s="17" t="str">
        <f>VLOOKUP(E309,статьи!$G$2:$H$24,2,TRUE)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09" s="17" t="str">
        <f>VLOOKUP(A309,'компании+описание'!$A$1:$D$438,4,)</f>
        <v>По результатам рассмотрения материалов дела об административном правонарушении № ЦА-38-ЮЛ-25-5384, возбужденного за совершение административного правонарушения, ответственность за которое предусмотрена частью 2 статьи 15.29 КоАП РФ, Акционерному обществу Инвестиционно-финансовой компании «Солид» назначено административное наказание в виде штрафа в размере 500 000 рублей. Постановление вступило в законную силу 06.06.2025.</v>
      </c>
    </row>
    <row r="310" spans="1:11" ht="160" x14ac:dyDescent="0.2">
      <c r="A310" s="16">
        <v>307</v>
      </c>
      <c r="B310" s="29">
        <v>45811</v>
      </c>
      <c r="C310" s="17" t="s">
        <v>99</v>
      </c>
      <c r="D310" s="16" t="s">
        <v>996</v>
      </c>
      <c r="E310" s="16" t="s">
        <v>18</v>
      </c>
      <c r="F310" s="26">
        <v>500000</v>
      </c>
      <c r="G310" s="16">
        <v>500000</v>
      </c>
      <c r="H310" s="16">
        <v>700000</v>
      </c>
      <c r="I310" s="16" t="s">
        <v>1060</v>
      </c>
      <c r="J310" s="17" t="str">
        <f>VLOOKUP(E310,статьи!$G$2:$H$24,2,TRUE)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310" s="17" t="str">
        <f>VLOOKUP(A310,'компании+описание'!$A$1:$D$438,4,)</f>
        <v>По результатам рассмотрения материалов дела об административном правонарушении № ЦА-38-ЮЛ-25-4952, возбужденного за совершение административного правонарушения, ответственность за которое предусмотрена частью 5 статьи 15.29 КоАП РФ, Акционерному обществу «Управляющая компания «Первая» назначено административное наказание в виде штрафа в размере 500 000 рублей. Постановление вступило в законную силу 03.06.2025.По результатам рассмотрения материалов дела об административном правонарушении № ЦА-38-ЮЛ-25-5016,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«Управляющая компания «Первая» назначено административное наказание в виде штрафа в размере 300 000 рублей. Постановление вступило в законную силу 03.06.2025.</v>
      </c>
    </row>
    <row r="311" spans="1:11" ht="160" x14ac:dyDescent="0.2">
      <c r="A311" s="16">
        <v>307</v>
      </c>
      <c r="B311" s="29">
        <v>45811</v>
      </c>
      <c r="C311" s="17" t="s">
        <v>99</v>
      </c>
      <c r="D311" s="16" t="s">
        <v>996</v>
      </c>
      <c r="E311" s="16" t="s">
        <v>8</v>
      </c>
      <c r="F311" s="26">
        <v>300000</v>
      </c>
      <c r="G311" s="16">
        <v>300000</v>
      </c>
      <c r="H311" s="16">
        <v>500000</v>
      </c>
      <c r="I311" s="16" t="s">
        <v>1060</v>
      </c>
      <c r="J311" s="17" t="str">
        <f>VLOOKUP(E311,статьи!$G$2:$H$24,2,TRUE)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11" s="17" t="str">
        <f>VLOOKUP(A311,'компании+описание'!$A$1:$D$438,4,)</f>
        <v>По результатам рассмотрения материалов дела об административном правонарушении № ЦА-38-ЮЛ-25-4952, возбужденного за совершение административного правонарушения, ответственность за которое предусмотрена частью 5 статьи 15.29 КоАП РФ, Акционерному обществу «Управляющая компания «Первая» назначено административное наказание в виде штрафа в размере 500 000 рублей. Постановление вступило в законную силу 03.06.2025.По результатам рассмотрения материалов дела об административном правонарушении № ЦА-38-ЮЛ-25-5016,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«Управляющая компания «Первая» назначено административное наказание в виде штрафа в размере 300 000 рублей. Постановление вступило в законную силу 03.06.2025.</v>
      </c>
    </row>
    <row r="312" spans="1:11" ht="144" x14ac:dyDescent="0.2">
      <c r="A312" s="16">
        <v>309</v>
      </c>
      <c r="B312" s="29">
        <v>45804</v>
      </c>
      <c r="C312" s="17" t="s">
        <v>380</v>
      </c>
      <c r="D312" s="16" t="s">
        <v>996</v>
      </c>
      <c r="E312" s="16" t="s">
        <v>18</v>
      </c>
      <c r="F312" s="26">
        <v>250000</v>
      </c>
      <c r="G312" s="16">
        <v>500000</v>
      </c>
      <c r="H312" s="16">
        <v>700000</v>
      </c>
      <c r="I312" s="16" t="s">
        <v>1061</v>
      </c>
      <c r="J312" s="17" t="str">
        <f>VLOOKUP(E312,статьи!$G$2:$H$24,2,TRUE)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312" s="17" t="str">
        <f>VLOOKUP(A312,'компании+описание'!$A$1:$D$438,4,)</f>
        <v>По результатам рассмотрения материалов дела об административном правонарушении № ЦА-38-ЮЛ-25-4728 возбужденного за совершение административного правонарушения, ответственность за которое предусмотрена частью 5 статьи 15.29 КоАП РФ, ООО УК «ГЕРОИ» назначено административное наказание в виде штрафа в размере 250 000 рублей. Постановление вступило в законную силу 27.05.2025.</v>
      </c>
    </row>
    <row r="313" spans="1:11" ht="80" x14ac:dyDescent="0.2">
      <c r="A313" s="16">
        <v>310</v>
      </c>
      <c r="B313" s="29">
        <v>45804</v>
      </c>
      <c r="C313" s="17" t="s">
        <v>269</v>
      </c>
      <c r="D313" s="16" t="s">
        <v>996</v>
      </c>
      <c r="E313" s="16" t="s">
        <v>75</v>
      </c>
      <c r="F313" s="26">
        <v>700000</v>
      </c>
      <c r="G313" s="16">
        <v>500000</v>
      </c>
      <c r="H313" s="16">
        <v>700000</v>
      </c>
      <c r="I313" s="16" t="s">
        <v>1063</v>
      </c>
      <c r="J313" s="17" t="str">
        <f>VLOOKUP(E313,статьи!$G$2:$H$24,2,TRUE)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13" s="17" t="str">
        <f>VLOOKUP(A313,'компании+описание'!$A$1:$D$438,4,)</f>
        <v>По результатам рассмотрения материалов дела об административном правонарушении № ЦА-44-ЮЛ-25-4877, возбужденного за совершение административного правонарушения, ответственность за которое предусмотрена частью 1 статьи 19.7.3 КоАП РФ, АО «Объединенное Кредитное Бюро» назначено административное наказание в виде штрафа в размере 700 000 рублей. Постановление о назначении административного наказания вступило в законную силу 27.05.2025.</v>
      </c>
    </row>
    <row r="314" spans="1:11" ht="80" x14ac:dyDescent="0.2">
      <c r="A314" s="16">
        <v>311</v>
      </c>
      <c r="B314" s="29">
        <v>45804</v>
      </c>
      <c r="C314" s="17" t="s">
        <v>381</v>
      </c>
      <c r="D314" s="16" t="s">
        <v>996</v>
      </c>
      <c r="E314" s="16" t="s">
        <v>8</v>
      </c>
      <c r="F314" s="26">
        <v>300000</v>
      </c>
      <c r="G314" s="16">
        <v>300000</v>
      </c>
      <c r="H314" s="16">
        <v>500000</v>
      </c>
      <c r="I314" s="16" t="s">
        <v>1060</v>
      </c>
      <c r="J314" s="17" t="str">
        <f>VLOOKUP(E314,статьи!$G$2:$H$24,2,TRUE)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14" s="17" t="str">
        <f>VLOOKUP(A314,'компании+описание'!$A$1:$D$438,4,)</f>
        <v>По результатам рассмотрения материалов дела об административном правонарушении № ЦА-38-ЮЛ-25-4886,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ВИМ Инвестиции  назначено административное наказание в виде штрафа в размере 300 000 рублей. Постановление вступило в законную силу 27.05.2025.</v>
      </c>
    </row>
    <row r="315" spans="1:11" ht="80" x14ac:dyDescent="0.2">
      <c r="A315" s="16">
        <v>312</v>
      </c>
      <c r="B315" s="29">
        <v>45803</v>
      </c>
      <c r="C315" s="17" t="s">
        <v>383</v>
      </c>
      <c r="D315" s="16" t="s">
        <v>996</v>
      </c>
      <c r="E315" s="16" t="s">
        <v>8</v>
      </c>
      <c r="F315" s="26">
        <v>150000</v>
      </c>
      <c r="G315" s="16">
        <v>300000</v>
      </c>
      <c r="H315" s="16">
        <v>500000</v>
      </c>
      <c r="I315" s="16" t="s">
        <v>1061</v>
      </c>
      <c r="J315" s="17" t="str">
        <f>VLOOKUP(E315,статьи!$G$2:$H$24,2,TRUE)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15" s="17" t="str">
        <f>VLOOKUP(A315,'компании+описание'!$A$1:$D$438,4,)</f>
        <v>По результатам рассмотрения материалов дела об административном правонарушении № ЦА-38-ЮЛ-25-4626,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Финансовая компания «Профит Хауз» назначено административное наказание в виде штрафа в размере 150 000 рублей. Постановление вступило в законную силу 24.05.2025.</v>
      </c>
    </row>
    <row r="316" spans="1:11" ht="80" x14ac:dyDescent="0.2">
      <c r="A316" s="16">
        <v>313</v>
      </c>
      <c r="B316" s="29">
        <v>45803</v>
      </c>
      <c r="C316" s="17" t="s">
        <v>384</v>
      </c>
      <c r="D316" s="16" t="s">
        <v>996</v>
      </c>
      <c r="E316" s="16" t="s">
        <v>8</v>
      </c>
      <c r="F316" s="26" t="s">
        <v>11</v>
      </c>
      <c r="G316" s="16">
        <v>300000</v>
      </c>
      <c r="H316" s="16">
        <v>500000</v>
      </c>
      <c r="I316" s="16" t="s">
        <v>1062</v>
      </c>
      <c r="J316" s="17" t="str">
        <f>VLOOKUP(E316,статьи!$G$2:$H$24,2,TRUE)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16" s="17" t="str">
        <f>VLOOKUP(A316,'компании+описание'!$A$1:$D$438,4,)</f>
        <v>По результатам рассмотрения материалов дела об административном правонарушении № ЦА-38-ЮЛ-25-4468,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ВИМ Сбережения назначено административное наказание в виде предупреждения. Постановление вступило в законную силу 24.05.2025.</v>
      </c>
    </row>
    <row r="317" spans="1:11" ht="96" x14ac:dyDescent="0.2">
      <c r="A317" s="16">
        <v>314</v>
      </c>
      <c r="B317" s="29">
        <v>45800</v>
      </c>
      <c r="C317" s="17" t="s">
        <v>386</v>
      </c>
      <c r="D317" s="16" t="s">
        <v>997</v>
      </c>
      <c r="E317" s="16" t="s">
        <v>23</v>
      </c>
      <c r="F317" s="26">
        <v>3000</v>
      </c>
      <c r="G317" s="16">
        <v>3000</v>
      </c>
      <c r="H317" s="16">
        <v>5000</v>
      </c>
      <c r="I317" s="16" t="s">
        <v>1060</v>
      </c>
      <c r="J317" s="17" t="str">
        <f>VLOOKUP(E317,статьи!$G$2:$H$24,2,TRUE)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17" s="17" t="str">
        <f>VLOOKUP(A317,'компании+описание'!$A$1:$D$438,4,)</f>
        <v>По результатам рассмотрения материалов дела об административном правонарушении № ЦА-34-Гр-25-3402,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Нефедову Владимиру Сергеевичу назначено административное наказание в виде штрафа в размере 3 000 рублей. Постановление от 10.04.2025 № 25-3402/3110-1 о назначении административного наказания вступило в законную силу 23.05.2025.</v>
      </c>
    </row>
    <row r="318" spans="1:11" ht="96" x14ac:dyDescent="0.2">
      <c r="A318" s="16">
        <v>315</v>
      </c>
      <c r="B318" s="29">
        <v>45797</v>
      </c>
      <c r="C318" s="17" t="s">
        <v>388</v>
      </c>
      <c r="D318" s="16" t="s">
        <v>997</v>
      </c>
      <c r="E318" s="16" t="s">
        <v>23</v>
      </c>
      <c r="F318" s="26">
        <v>3000</v>
      </c>
      <c r="G318" s="16">
        <v>3000</v>
      </c>
      <c r="H318" s="16">
        <v>5000</v>
      </c>
      <c r="I318" s="16" t="s">
        <v>1060</v>
      </c>
      <c r="J318" s="17" t="str">
        <f>VLOOKUP(E318,статьи!$G$2:$H$24,2,TRUE)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18" s="17" t="str">
        <f>VLOOKUP(A318,'компании+описание'!$A$1:$D$438,4,)</f>
        <v>По результатам рассмотрения материалов дела об административном правонарушении № ЦА-34-Гр-25-3598,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Маликову Валерию Михайловичу назначено административное наказание в виде штрафа в размере 3 000 рублей. Постановление от 16.04.2025 № 25-3598/3110-1 о назначении административного наказания вступило в законную силу 20.05.2025.</v>
      </c>
    </row>
    <row r="319" spans="1:11" ht="96" x14ac:dyDescent="0.2">
      <c r="A319" s="16">
        <v>316</v>
      </c>
      <c r="B319" s="29">
        <v>45797</v>
      </c>
      <c r="C319" s="17" t="s">
        <v>389</v>
      </c>
      <c r="D319" s="16" t="s">
        <v>997</v>
      </c>
      <c r="E319" s="16" t="s">
        <v>23</v>
      </c>
      <c r="F319" s="26">
        <v>3000</v>
      </c>
      <c r="G319" s="16">
        <v>3000</v>
      </c>
      <c r="H319" s="16">
        <v>5000</v>
      </c>
      <c r="I319" s="16" t="s">
        <v>1060</v>
      </c>
      <c r="J319" s="17" t="str">
        <f>VLOOKUP(E319,статьи!$G$2:$H$24,2,TRUE)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19" s="17" t="str">
        <f>VLOOKUP(A319,'компании+описание'!$A$1:$D$438,4,)</f>
        <v>По результатам рассмотрения материалов дела об административном правонарушении № ЦА-34-Гр-25-3644,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Маликовой Майе Валерьевне назначено административное наказание в виде штрафа в размере 3 000 рублей. Постановление от 16.04.2025 № 25-3644/3110-1 о назначении административного наказания вступило в законную силу 20.05.2025.</v>
      </c>
    </row>
    <row r="320" spans="1:11" ht="96" x14ac:dyDescent="0.2">
      <c r="A320" s="16">
        <v>317</v>
      </c>
      <c r="B320" s="29">
        <v>45793</v>
      </c>
      <c r="C320" s="17" t="s">
        <v>391</v>
      </c>
      <c r="D320" s="16" t="s">
        <v>997</v>
      </c>
      <c r="E320" s="16" t="s">
        <v>23</v>
      </c>
      <c r="F320" s="26">
        <v>3000</v>
      </c>
      <c r="G320" s="16">
        <v>3000</v>
      </c>
      <c r="H320" s="16">
        <v>5000</v>
      </c>
      <c r="I320" s="16" t="s">
        <v>1060</v>
      </c>
      <c r="J320" s="17" t="str">
        <f>VLOOKUP(E320,статьи!$G$2:$H$24,2,TRUE)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20" s="17" t="str">
        <f>VLOOKUP(A320,'компании+описание'!$A$1:$D$438,4,)</f>
        <v>По результатам рассмотрения материалов дела об административном правонарушении № ЦА-34-Гр-25-3862,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Соловьеву Вадиму Сергеевичу назначено административное наказание в виде штрафа в размере 3 000 рублей. Постановление от 21.04.2025 № 25-3862/3110-1 о назначении административного наказания вступило в законную силу 16.05.2025.</v>
      </c>
    </row>
    <row r="321" spans="1:11" ht="96" x14ac:dyDescent="0.2">
      <c r="A321" s="16">
        <v>318</v>
      </c>
      <c r="B321" s="29">
        <v>45793</v>
      </c>
      <c r="C321" s="17" t="s">
        <v>392</v>
      </c>
      <c r="D321" s="16" t="s">
        <v>997</v>
      </c>
      <c r="E321" s="16" t="s">
        <v>23</v>
      </c>
      <c r="F321" s="26">
        <v>3000</v>
      </c>
      <c r="G321" s="16">
        <v>3000</v>
      </c>
      <c r="H321" s="16">
        <v>5000</v>
      </c>
      <c r="I321" s="16" t="s">
        <v>1060</v>
      </c>
      <c r="J321" s="17" t="str">
        <f>VLOOKUP(E321,статьи!$G$2:$H$24,2,TRUE)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21" s="17" t="str">
        <f>VLOOKUP(A321,'компании+описание'!$A$1:$D$438,4,)</f>
        <v>По результатам рассмотрения материалов дела об административном правонарушении № ЦА-34-Гр-25-3861,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Соловьевой Татьяне Владимировне назначено административное наказание в виде штрафа в размере 3 000 рублей. Постановление от 21.04.2025 № 25-3861/3110-1 о назначении административного наказания вступило в законную силу 16.05.2025.</v>
      </c>
    </row>
    <row r="322" spans="1:11" ht="224" x14ac:dyDescent="0.2">
      <c r="A322" s="16">
        <v>319</v>
      </c>
      <c r="B322" s="29">
        <v>45793</v>
      </c>
      <c r="C322" s="17" t="s">
        <v>268</v>
      </c>
      <c r="D322" s="16" t="s">
        <v>996</v>
      </c>
      <c r="E322" s="16" t="s">
        <v>75</v>
      </c>
      <c r="F322" s="26">
        <v>350000</v>
      </c>
      <c r="G322" s="16">
        <v>500000</v>
      </c>
      <c r="H322" s="16">
        <v>700000</v>
      </c>
      <c r="I322" s="16" t="s">
        <v>1061</v>
      </c>
      <c r="J322" s="17" t="str">
        <f>VLOOKUP(E322,статьи!$G$2:$H$24,2,TRUE)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22" s="17" t="str">
        <f>VLOOKUP(A322,'компании+описание'!$A$1:$D$438,4,)</f>
        <v>По результатам рассмотрения материалов дела об административном правонарушении № ЦА-34-ЮЛ-25-4497,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«Каркаул.ру» назначено административное наказание в виде штрафа в размере 350 000 (триста пятьдесят тысяч) рублей. Постановление о наложении штрафа по делу об административном правонарушении от 30.04.2025 № 25-4497/3110-1 вступило в законную силу 16.05.2025._x000D_
По результатам рассмотрения материалов дела об административном правонарушении № ЦА-34-ЮЛ-25-4589,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«Каркаул.ру»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30.04.2025 № 25-4589/3110-1 вступило в законную силу 16.05.2025.</v>
      </c>
    </row>
    <row r="323" spans="1:11" ht="224" x14ac:dyDescent="0.2">
      <c r="A323" s="16">
        <v>319</v>
      </c>
      <c r="B323" s="29">
        <v>45793</v>
      </c>
      <c r="C323" s="17" t="s">
        <v>268</v>
      </c>
      <c r="D323" s="16" t="s">
        <v>996</v>
      </c>
      <c r="E323" s="16" t="s">
        <v>72</v>
      </c>
      <c r="F323" s="26">
        <v>250000</v>
      </c>
      <c r="G323" s="16">
        <v>500000</v>
      </c>
      <c r="H323" s="16">
        <v>700000</v>
      </c>
      <c r="I323" s="16" t="s">
        <v>1061</v>
      </c>
      <c r="J323" s="17" t="str">
        <f>VLOOKUP(E323,статьи!$G$2:$H$24,2,TRUE)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323" s="17" t="str">
        <f>VLOOKUP(A323,'компании+описание'!$A$1:$D$438,4,)</f>
        <v>По результатам рассмотрения материалов дела об административном правонарушении № ЦА-34-ЮЛ-25-4497,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«Каркаул.ру» назначено административное наказание в виде штрафа в размере 350 000 (триста пятьдесят тысяч) рублей. Постановление о наложении штрафа по делу об административном правонарушении от 30.04.2025 № 25-4497/3110-1 вступило в законную силу 16.05.2025._x000D_
По результатам рассмотрения материалов дела об административном правонарушении № ЦА-34-ЮЛ-25-4589,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«Каркаул.ру»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30.04.2025 № 25-4589/3110-1 вступило в законную силу 16.05.2025.</v>
      </c>
    </row>
    <row r="324" spans="1:11" ht="80" x14ac:dyDescent="0.2">
      <c r="A324" s="16">
        <v>320</v>
      </c>
      <c r="B324" s="29">
        <v>45793</v>
      </c>
      <c r="C324" s="17" t="s">
        <v>393</v>
      </c>
      <c r="D324" s="16" t="s">
        <v>996</v>
      </c>
      <c r="E324" s="16" t="s">
        <v>83</v>
      </c>
      <c r="F324" s="26">
        <v>500000</v>
      </c>
      <c r="G324" s="16">
        <v>500000</v>
      </c>
      <c r="H324" s="16">
        <v>700000</v>
      </c>
      <c r="I324" s="16" t="s">
        <v>1060</v>
      </c>
      <c r="J324" s="17" t="str">
        <f>VLOOKUP(E324,статьи!$G$2:$H$24,2,TRUE)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24" s="17" t="str">
        <f>VLOOKUP(A324,'компании+описание'!$A$1:$D$438,4,)</f>
        <v>По результатам рассмотрения материалов дела об административном правонарушении № ЦА-38-ЮЛ-25-3788, возбужденного за совершение административного правонарушения, ответственность за которое предусмотрена частью 2 статьи 15.29 КоАП РФ, Обществу с ограниченной ответственностью «Московские партнеры» назначено административное наказание в виде штрафа в размере 500 000 рублей. Постановление вступило в законную силу 16.05.2025.</v>
      </c>
    </row>
    <row r="325" spans="1:11" ht="80" x14ac:dyDescent="0.2">
      <c r="A325" s="16">
        <v>321</v>
      </c>
      <c r="B325" s="29">
        <v>45793</v>
      </c>
      <c r="C325" s="17" t="s">
        <v>394</v>
      </c>
      <c r="D325" s="16" t="s">
        <v>996</v>
      </c>
      <c r="E325" s="16" t="s">
        <v>8</v>
      </c>
      <c r="F325" s="26" t="s">
        <v>11</v>
      </c>
      <c r="G325" s="16">
        <v>300000</v>
      </c>
      <c r="H325" s="16">
        <v>500000</v>
      </c>
      <c r="I325" s="16" t="s">
        <v>1062</v>
      </c>
      <c r="J325" s="17" t="str">
        <f>VLOOKUP(E325,статьи!$G$2:$H$24,2,TRUE)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25" s="17" t="str">
        <f>VLOOKUP(A325,'компании+описание'!$A$1:$D$438,4,)</f>
        <v>По результатам рассмотрения материалов дела об административном правонарушении № ЦА-38-ЮЛ-25-4037,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«Управляющая компания РИГОРА» назначено административное наказание в виде предупреждения. Постановление вступило в законную силу 16.05.2025.</v>
      </c>
    </row>
    <row r="326" spans="1:11" ht="80" x14ac:dyDescent="0.2">
      <c r="A326" s="16">
        <v>322</v>
      </c>
      <c r="B326" s="29">
        <v>45792</v>
      </c>
      <c r="C326" s="17" t="s">
        <v>396</v>
      </c>
      <c r="D326" s="16" t="s">
        <v>996</v>
      </c>
      <c r="E326" s="16" t="s">
        <v>8</v>
      </c>
      <c r="F326" s="26" t="s">
        <v>11</v>
      </c>
      <c r="G326" s="16">
        <v>300000</v>
      </c>
      <c r="H326" s="16">
        <v>500000</v>
      </c>
      <c r="I326" s="16" t="s">
        <v>1062</v>
      </c>
      <c r="J326" s="17" t="str">
        <f>VLOOKUP(E326,статьи!$G$2:$H$24,2,TRUE)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26" s="17" t="str">
        <f>VLOOKUP(A326,'компании+описание'!$A$1:$D$438,4,)</f>
        <v>По результатам рассмотрения материалов дела об административном правонарушении № ЦА-38-ЮЛ-25-4400,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Управляющей компании «НРК-Капитал (Эссет Менеджмент)» назначено административное наказание в виде предупреждения. Постановление вступило в законную силу 13.05.2025.</v>
      </c>
    </row>
    <row r="327" spans="1:11" ht="144" x14ac:dyDescent="0.2">
      <c r="A327" s="16">
        <v>323</v>
      </c>
      <c r="B327" s="29">
        <v>45790</v>
      </c>
      <c r="C327" s="17" t="s">
        <v>398</v>
      </c>
      <c r="D327" s="16" t="s">
        <v>996</v>
      </c>
      <c r="E327" s="16" t="s">
        <v>274</v>
      </c>
      <c r="F327" s="26" t="s">
        <v>11</v>
      </c>
      <c r="G327" s="16">
        <v>300000</v>
      </c>
      <c r="H327" s="16">
        <v>500000</v>
      </c>
      <c r="I327" s="16" t="s">
        <v>1062</v>
      </c>
      <c r="J327" s="17" t="str">
        <f>VLOOKUP(E327,статьи!$G$2:$H$24,2,TRUE)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327" s="17" t="str">
        <f>VLOOKUP(A327,'компании+описание'!$A$1:$D$438,4,)</f>
        <v>По результатам рассмотрения материалов дела об административном правонарушении № ЦА-34-ЮЛ-25-4448, возбужденного за совершение административного правонарушения, ответственность за которое предусмотрена частью 7 статьи 14.24 КоАП РФ, Публичному акционерному обществу «СПБ Биржа» назначено административное наказание в виде предупреждения. Постановление о назначении административного наказания от 29.04.2025 № ЦА-34-ЮЛ-25-4448/3120-1 вступило в законную силу 13.05.2025.</v>
      </c>
    </row>
    <row r="328" spans="1:11" ht="144" x14ac:dyDescent="0.2">
      <c r="A328" s="16">
        <v>324</v>
      </c>
      <c r="B328" s="29">
        <v>45790</v>
      </c>
      <c r="C328" s="17" t="s">
        <v>4</v>
      </c>
      <c r="D328" s="16" t="s">
        <v>996</v>
      </c>
      <c r="E328" s="16" t="s">
        <v>5</v>
      </c>
      <c r="F328" s="26">
        <v>700000</v>
      </c>
      <c r="G328" s="16">
        <v>700000</v>
      </c>
      <c r="H328" s="16">
        <v>1000000</v>
      </c>
      <c r="I328" s="16" t="s">
        <v>1060</v>
      </c>
      <c r="J328" s="17" t="str">
        <f>VLOOKUP(E328,статьи!$G$2:$H$24,2,TRUE)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328" s="17" t="str">
        <f>VLOOKUP(A328,'компании+описание'!$A$1:$D$438,4,)</f>
        <v>По результатам рассмотрения материалов дела об административном правонарушении № ЦА-38-ЮЛ-25-4357 возбужденного за совершение административного правонарушения, ответственность за которое предусмотрена частью 9 статьи 15.29 КоАП РФ, АО «НПФ «Ростех» назначено административное наказание в виде штрафа в размере 700 000 рублей. Постановление вступило в законную силу 13.05.2025.</v>
      </c>
    </row>
    <row r="329" spans="1:11" ht="96" x14ac:dyDescent="0.2">
      <c r="A329" s="16">
        <v>325</v>
      </c>
      <c r="B329" s="29">
        <v>45790</v>
      </c>
      <c r="C329" s="17" t="s">
        <v>399</v>
      </c>
      <c r="D329" s="16" t="s">
        <v>997</v>
      </c>
      <c r="E329" s="16" t="s">
        <v>23</v>
      </c>
      <c r="F329" s="26">
        <v>3000</v>
      </c>
      <c r="G329" s="16">
        <v>3000</v>
      </c>
      <c r="H329" s="16">
        <v>5000</v>
      </c>
      <c r="I329" s="16" t="s">
        <v>1060</v>
      </c>
      <c r="J329" s="17" t="str">
        <f>VLOOKUP(E329,статьи!$G$2:$H$24,2,TRUE)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29" s="17" t="str">
        <f>VLOOKUP(A329,'компании+описание'!$A$1:$D$438,4,)</f>
        <v>По результатам рассмотрения материалов дела об административном правонарушении № ЦА-34-Гр-25-3254,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Апарину Андрею Михайловичу назначено административное наказание в виде штрафа в размере 3 000 рублей. Постановление от 08.04.2025 № 25-3254/3110-1 о назначении административного наказания вступило в законную силу 13.05.2025.</v>
      </c>
    </row>
    <row r="330" spans="1:11" ht="160" x14ac:dyDescent="0.2">
      <c r="A330" s="16">
        <v>326</v>
      </c>
      <c r="B330" s="29">
        <v>45790</v>
      </c>
      <c r="C330" s="17" t="s">
        <v>400</v>
      </c>
      <c r="D330" s="16" t="s">
        <v>996</v>
      </c>
      <c r="E330" s="16" t="s">
        <v>80</v>
      </c>
      <c r="F330" s="26">
        <v>700000</v>
      </c>
      <c r="G330" s="16">
        <v>700000</v>
      </c>
      <c r="H330" s="16">
        <v>1000000</v>
      </c>
      <c r="I330" s="16" t="s">
        <v>1060</v>
      </c>
      <c r="J330" s="17" t="str">
        <f>VLOOKUP(E330,статьи!$G$2:$H$24,2,TRUE)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30" s="17" t="str">
        <f>VLOOKUP(A330,'компании+описание'!$A$1:$D$438,4,)</f>
        <v>По результатам рассмотрения материалов дела об административном правонарушении № ЦА-38-ЮЛ-25-3879,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«ААА Управление Капиталом» назначено административное наказание в виде штрафа в размере 700 000 рублей. Постановление вступило в законную силу 13.05.2025._x000D_
По результатам рассмотрения материалов дела об административном правонарушении № ЦА-38-ЮЛ-25-3881,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«ААА Управление Капиталом» назначено административное наказание в виде штрафа в размере 300 000 рублей. Постановление вступило в законную силу 13.05.2025.</v>
      </c>
    </row>
    <row r="331" spans="1:11" ht="160" x14ac:dyDescent="0.2">
      <c r="A331" s="16">
        <v>326</v>
      </c>
      <c r="B331" s="29">
        <v>45790</v>
      </c>
      <c r="C331" s="17" t="s">
        <v>400</v>
      </c>
      <c r="D331" s="16" t="s">
        <v>996</v>
      </c>
      <c r="E331" s="16" t="s">
        <v>8</v>
      </c>
      <c r="F331" s="26">
        <v>300000</v>
      </c>
      <c r="G331" s="16">
        <v>300000</v>
      </c>
      <c r="H331" s="16">
        <v>500000</v>
      </c>
      <c r="I331" s="16" t="s">
        <v>1060</v>
      </c>
      <c r="J331" s="17" t="str">
        <f>VLOOKUP(E331,статьи!$G$2:$H$24,2,TRUE)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31" s="17" t="str">
        <f>VLOOKUP(A331,'компании+описание'!$A$1:$D$438,4,)</f>
        <v>По результатам рассмотрения материалов дела об административном правонарушении № ЦА-38-ЮЛ-25-3879,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«ААА Управление Капиталом» назначено административное наказание в виде штрафа в размере 700 000 рублей. Постановление вступило в законную силу 13.05.2025._x000D_
По результатам рассмотрения материалов дела об административном правонарушении № ЦА-38-ЮЛ-25-3881,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«ААА Управление Капиталом» назначено административное наказание в виде штрафа в размере 300 000 рублей. Постановление вступило в законную силу 13.05.2025.</v>
      </c>
    </row>
    <row r="332" spans="1:11" ht="80" x14ac:dyDescent="0.2">
      <c r="A332" s="16">
        <v>327</v>
      </c>
      <c r="B332" s="29">
        <v>45790</v>
      </c>
      <c r="C332" s="17" t="s">
        <v>401</v>
      </c>
      <c r="D332" s="16" t="s">
        <v>996</v>
      </c>
      <c r="E332" s="16" t="s">
        <v>8</v>
      </c>
      <c r="F332" s="26" t="s">
        <v>11</v>
      </c>
      <c r="G332" s="16">
        <v>300000</v>
      </c>
      <c r="H332" s="16">
        <v>500000</v>
      </c>
      <c r="I332" s="16" t="s">
        <v>1062</v>
      </c>
      <c r="J332" s="17" t="str">
        <f>VLOOKUP(E332,статьи!$G$2:$H$24,2,TRUE)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32" s="17" t="str">
        <f>VLOOKUP(A332,'компании+описание'!$A$1:$D$438,4,)</f>
        <v>По результатам рассмотрения материалов дела об административном правонарушении № ЦА-38-ЮЛ-25-3930,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Управляющей компании «Арикапитал» назначено административное наказание в виде предупреждения. Постановление вступило в законную силу 13.05.2025.</v>
      </c>
    </row>
    <row r="333" spans="1:11" ht="96" x14ac:dyDescent="0.2">
      <c r="A333" s="16">
        <v>328</v>
      </c>
      <c r="B333" s="29">
        <v>45784</v>
      </c>
      <c r="C333" s="17" t="s">
        <v>403</v>
      </c>
      <c r="D333" s="16" t="s">
        <v>997</v>
      </c>
      <c r="E333" s="16" t="s">
        <v>23</v>
      </c>
      <c r="F333" s="26">
        <v>3000</v>
      </c>
      <c r="G333" s="16">
        <v>3000</v>
      </c>
      <c r="H333" s="16">
        <v>5000</v>
      </c>
      <c r="I333" s="16" t="s">
        <v>1060</v>
      </c>
      <c r="J333" s="17" t="str">
        <f>VLOOKUP(E333,статьи!$G$2:$H$24,2,TRUE)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33" s="17" t="str">
        <f>VLOOKUP(A333,'компании+описание'!$A$1:$D$438,4,)</f>
        <v>По результатам рассмотрения материалов дела об административном правонарушении № ЦА-34-Гр-25-3558,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Быкову Денису Эдуардовичу назначено административное наказание в виде штрафа в размере 3 000 рублей. Постановление от 15.04.2025 № 25-3558/3110-1 о назначении административного наказания вступило в законную силу 07.05.2025.</v>
      </c>
    </row>
    <row r="334" spans="1:11" ht="96" x14ac:dyDescent="0.2">
      <c r="A334" s="16">
        <v>329</v>
      </c>
      <c r="B334" s="29">
        <v>45784</v>
      </c>
      <c r="C334" s="17" t="s">
        <v>404</v>
      </c>
      <c r="D334" s="16" t="s">
        <v>997</v>
      </c>
      <c r="E334" s="16" t="s">
        <v>23</v>
      </c>
      <c r="F334" s="26">
        <v>3000</v>
      </c>
      <c r="G334" s="16">
        <v>3000</v>
      </c>
      <c r="H334" s="16">
        <v>5000</v>
      </c>
      <c r="I334" s="16" t="s">
        <v>1060</v>
      </c>
      <c r="J334" s="17" t="str">
        <f>VLOOKUP(E334,статьи!$G$2:$H$24,2,TRUE)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34" s="17" t="str">
        <f>VLOOKUP(A334,'компании+описание'!$A$1:$D$438,4,)</f>
        <v>По результатам рассмотрения материалов дела об административном правонарушении № ЦА-34-Гр-25-3559,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Быкову Эдуарду Юрьевичу назначено административное наказание в виде штрафа в размере 3 000 рублей. Постановление от 15.04.2025 № 25-3559/3110-1 о назначении административного наказания вступило в законную силу 07.05.2025.</v>
      </c>
    </row>
    <row r="335" spans="1:11" ht="96" x14ac:dyDescent="0.2">
      <c r="A335" s="16">
        <v>330</v>
      </c>
      <c r="B335" s="29">
        <v>45783</v>
      </c>
      <c r="C335" s="17" t="s">
        <v>406</v>
      </c>
      <c r="D335" s="16" t="s">
        <v>996</v>
      </c>
      <c r="E335" s="16" t="s">
        <v>23</v>
      </c>
      <c r="F335" s="26">
        <v>350000</v>
      </c>
      <c r="G335" s="16">
        <v>700000</v>
      </c>
      <c r="H335" s="16" t="s">
        <v>1002</v>
      </c>
      <c r="I335" s="16" t="s">
        <v>1061</v>
      </c>
      <c r="J335" s="17" t="str">
        <f>VLOOKUP(E335,статьи!$G$2:$H$24,2,TRUE)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35" s="17" t="str">
        <f>VLOOKUP(A335,'компании+описание'!$A$1:$D$438,4,)</f>
        <v>По результатам рассмотрения материалов дела об административном правонарушении № ЦА-34-ЮЛ-25-761,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ООО "КАС КЭПИТАЛ" назначено административное наказание в виде штрафа в размере 350 000 рублей. Постановление от 09.04.2025 №25-761/3110-1 о назначении административного наказания вступило в законную силу 06.05.2025.</v>
      </c>
    </row>
    <row r="336" spans="1:11" ht="96" x14ac:dyDescent="0.2">
      <c r="A336" s="16">
        <v>331</v>
      </c>
      <c r="B336" s="29">
        <v>45783</v>
      </c>
      <c r="C336" s="17" t="s">
        <v>407</v>
      </c>
      <c r="D336" s="16" t="s">
        <v>997</v>
      </c>
      <c r="E336" s="16" t="s">
        <v>23</v>
      </c>
      <c r="F336" s="26">
        <v>3000</v>
      </c>
      <c r="G336" s="16">
        <v>3000</v>
      </c>
      <c r="H336" s="16">
        <v>5000</v>
      </c>
      <c r="I336" s="16" t="s">
        <v>1060</v>
      </c>
      <c r="J336" s="17" t="str">
        <f>VLOOKUP(E336,статьи!$G$2:$H$24,2,TRUE)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36" s="17" t="str">
        <f>VLOOKUP(A336,'компании+описание'!$A$1:$D$438,4,)</f>
        <v>По результатам рассмотрения материалов дела об административном правонарушении № ЦА-34-Гр-25-911,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Безменову Николаю Николаевичу назначено административное наказание в виде штрафа в размере 3 000 рублей. Постановление от 03.03.2025 № 25-911/3110-1 о назначении административного наказания вступило в законную силу 06.05.2025.</v>
      </c>
    </row>
    <row r="337" spans="1:11" ht="96" x14ac:dyDescent="0.2">
      <c r="A337" s="16">
        <v>332</v>
      </c>
      <c r="B337" s="29">
        <v>45783</v>
      </c>
      <c r="C337" s="17" t="s">
        <v>408</v>
      </c>
      <c r="D337" s="16" t="s">
        <v>997</v>
      </c>
      <c r="E337" s="16" t="s">
        <v>23</v>
      </c>
      <c r="F337" s="26">
        <v>3000</v>
      </c>
      <c r="G337" s="16">
        <v>3000</v>
      </c>
      <c r="H337" s="16">
        <v>5000</v>
      </c>
      <c r="I337" s="16" t="s">
        <v>1060</v>
      </c>
      <c r="J337" s="17" t="str">
        <f>VLOOKUP(E337,статьи!$G$2:$H$24,2,TRUE)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37" s="17" t="str">
        <f>VLOOKUP(A337,'компании+описание'!$A$1:$D$438,4,)</f>
        <v>По результатам рассмотрения материалов дела об административном правонарушении № ЦА-34-Гр-25-3079,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Пономаревой Наталье Александровне назначено административное наказание в виде штрафа в размере 3 000 рублей. Постановление от 03.04.2025 № 25-3079/3110-1 о назначении административного наказания вступило в законную силу 06.05.2025.</v>
      </c>
    </row>
    <row r="338" spans="1:11" ht="96" x14ac:dyDescent="0.2">
      <c r="A338" s="16">
        <v>333</v>
      </c>
      <c r="B338" s="29">
        <v>45783</v>
      </c>
      <c r="C338" s="17" t="s">
        <v>409</v>
      </c>
      <c r="D338" s="16" t="s">
        <v>997</v>
      </c>
      <c r="E338" s="16" t="s">
        <v>23</v>
      </c>
      <c r="F338" s="26">
        <v>3000</v>
      </c>
      <c r="G338" s="16">
        <v>3000</v>
      </c>
      <c r="H338" s="16">
        <v>5000</v>
      </c>
      <c r="I338" s="16" t="s">
        <v>1060</v>
      </c>
      <c r="J338" s="17" t="str">
        <f>VLOOKUP(E338,статьи!$G$2:$H$24,2,TRUE)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38" s="17" t="str">
        <f>VLOOKUP(A338,'компании+описание'!$A$1:$D$438,4,)</f>
        <v>По результатам рассмотрения материалов дела об административном правонарушении № ЦА-34-Гр-25-3195,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Мохову Никите Юрьевичу назначено административное наказание в виде штрафа в размере 3 000 рублей. Постановление от 07.04.2025 № 25-3195/3110-1 о назначении административного наказания вступило в законную силу 06.05.2025.</v>
      </c>
    </row>
    <row r="339" spans="1:11" ht="96" x14ac:dyDescent="0.2">
      <c r="A339" s="16">
        <v>334</v>
      </c>
      <c r="B339" s="29">
        <v>45783</v>
      </c>
      <c r="C339" s="17" t="s">
        <v>410</v>
      </c>
      <c r="D339" s="16" t="s">
        <v>997</v>
      </c>
      <c r="E339" s="16" t="s">
        <v>23</v>
      </c>
      <c r="F339" s="26">
        <v>3000</v>
      </c>
      <c r="G339" s="16">
        <v>3000</v>
      </c>
      <c r="H339" s="16">
        <v>5000</v>
      </c>
      <c r="I339" s="16" t="s">
        <v>1060</v>
      </c>
      <c r="J339" s="17" t="str">
        <f>VLOOKUP(E339,статьи!$G$2:$H$24,2,TRUE)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39" s="17" t="str">
        <f>VLOOKUP(A339,'компании+описание'!$A$1:$D$438,4,)</f>
        <v>По результатам рассмотрения материалов дела об административном правонарушении № ЦА-34-Гр-25-3400,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Микшину Денису Николаевичу назначено административное наказание в виде штрафа в размере 3 000 рублей. Постановление от 10.04.2025 № 25-3400/3110-1 о назначении административного наказания вступило в законную силу 06.05.2025.</v>
      </c>
    </row>
    <row r="340" spans="1:11" ht="96" x14ac:dyDescent="0.2">
      <c r="A340" s="16">
        <v>335</v>
      </c>
      <c r="B340" s="29">
        <v>45783</v>
      </c>
      <c r="C340" s="17" t="s">
        <v>411</v>
      </c>
      <c r="D340" s="16" t="s">
        <v>997</v>
      </c>
      <c r="E340" s="16" t="s">
        <v>23</v>
      </c>
      <c r="F340" s="26">
        <v>3000</v>
      </c>
      <c r="G340" s="16">
        <v>3000</v>
      </c>
      <c r="H340" s="16">
        <v>5000</v>
      </c>
      <c r="I340" s="16" t="s">
        <v>1060</v>
      </c>
      <c r="J340" s="17" t="str">
        <f>VLOOKUP(E340,статьи!$G$2:$H$24,2,TRUE)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40" s="17" t="str">
        <f>VLOOKUP(A340,'компании+описание'!$A$1:$D$438,4,)</f>
        <v>По результатам рассмотрения материалов дела об административном правонарушении № ЦА-34-Гр-25-3077,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Александровой Екатерине Павловне назначено административное наказание в виде штрафа в размере 3 000 рублей. Постановление от 03.04.2025 № 25-3077/3110-1 о назначении административного наказания вступило в законную силу 06.05.2025.</v>
      </c>
    </row>
    <row r="341" spans="1:11" ht="96" x14ac:dyDescent="0.2">
      <c r="A341" s="16">
        <v>336</v>
      </c>
      <c r="B341" s="29">
        <v>45783</v>
      </c>
      <c r="C341" s="17" t="s">
        <v>412</v>
      </c>
      <c r="D341" s="16" t="s">
        <v>997</v>
      </c>
      <c r="E341" s="16" t="s">
        <v>23</v>
      </c>
      <c r="F341" s="26">
        <v>3000</v>
      </c>
      <c r="G341" s="16">
        <v>3000</v>
      </c>
      <c r="H341" s="16">
        <v>5000</v>
      </c>
      <c r="I341" s="16" t="s">
        <v>1060</v>
      </c>
      <c r="J341" s="17" t="str">
        <f>VLOOKUP(E341,статьи!$G$2:$H$24,2,TRUE)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41" s="17" t="str">
        <f>VLOOKUP(A341,'компании+описание'!$A$1:$D$438,4,)</f>
        <v>По результатам рассмотрения материалов дела об административном правонарушении № ЦА-34-Гр-25-1964,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Дерюгину Андрею Викторовичу назначено административное наказание в виде штрафа в размере 3 000 рублей. Постановление от 18.03.2025 № 25-1964/3110-1 о назначении административного наказания вступило в законную силу 06.05.2025.</v>
      </c>
    </row>
    <row r="342" spans="1:11" ht="96" x14ac:dyDescent="0.2">
      <c r="A342" s="16">
        <v>337</v>
      </c>
      <c r="B342" s="29">
        <v>45783</v>
      </c>
      <c r="C342" s="17" t="s">
        <v>413</v>
      </c>
      <c r="D342" s="16" t="s">
        <v>997</v>
      </c>
      <c r="E342" s="16" t="s">
        <v>23</v>
      </c>
      <c r="F342" s="26">
        <v>3000</v>
      </c>
      <c r="G342" s="16">
        <v>3000</v>
      </c>
      <c r="H342" s="16">
        <v>5000</v>
      </c>
      <c r="I342" s="16" t="s">
        <v>1060</v>
      </c>
      <c r="J342" s="17" t="str">
        <f>VLOOKUP(E342,статьи!$G$2:$H$24,2,TRUE)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42" s="17" t="str">
        <f>VLOOKUP(A342,'компании+описание'!$A$1:$D$438,4,)</f>
        <v>По результатам рассмотрения материалов дела об административном правонарушении № ЦА-34-Гр-25-2426,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Князевой Людмиле Александровне назначено административное наказание в виде штрафа в размере 3 000 рублей. Постановление от 09.04.2025 № 25-2426/3110-1 о назначении административного наказания вступило в законную силу 06.05.2025.</v>
      </c>
    </row>
    <row r="343" spans="1:11" ht="80" x14ac:dyDescent="0.2">
      <c r="A343" s="16">
        <v>338</v>
      </c>
      <c r="B343" s="29">
        <v>45783</v>
      </c>
      <c r="C343" s="17" t="s">
        <v>269</v>
      </c>
      <c r="D343" s="16" t="s">
        <v>996</v>
      </c>
      <c r="E343" s="16" t="s">
        <v>168</v>
      </c>
      <c r="F343" s="26">
        <v>20000</v>
      </c>
      <c r="G343" s="16">
        <v>10000</v>
      </c>
      <c r="H343" s="16">
        <v>20000</v>
      </c>
      <c r="I343" s="16" t="s">
        <v>1063</v>
      </c>
      <c r="J343" s="17" t="str">
        <f>VLOOKUP(E343,статьи!$G$2:$H$24,2,TRUE)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43" s="17" t="str">
        <f>VLOOKUP(A343,'компании+описание'!$A$1:$D$438,4,)</f>
        <v>По результатам рассмотрения материалов дела об административном правонарушении № ЦА-44-ЮЛ-25-4098, возбужденного за совершение административного правонарушения, ответственность за которое предусмотрена частью 1 статьи 5.54 КоАП РФ, АО «Объединенное Кредитное Бюро» назначено административное наказание в виде штрафа в размере 20 000 рублей. Постановление о назначении административного наказания вступило в законную силу 06.05.2025.</v>
      </c>
    </row>
    <row r="344" spans="1:11" ht="80" x14ac:dyDescent="0.2">
      <c r="A344" s="16">
        <v>339</v>
      </c>
      <c r="B344" s="29">
        <v>45783</v>
      </c>
      <c r="C344" s="17" t="s">
        <v>414</v>
      </c>
      <c r="D344" s="16" t="s">
        <v>996</v>
      </c>
      <c r="E344" s="16" t="s">
        <v>8</v>
      </c>
      <c r="F344" s="26">
        <v>300000</v>
      </c>
      <c r="G344" s="16">
        <v>300000</v>
      </c>
      <c r="H344" s="16">
        <v>500000</v>
      </c>
      <c r="I344" s="16" t="s">
        <v>1060</v>
      </c>
      <c r="J344" s="17" t="str">
        <f>VLOOKUP(E344,статьи!$G$2:$H$24,2,TRUE)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44" s="17" t="str">
        <f>VLOOKUP(A344,'компании+описание'!$A$1:$D$438,4,)</f>
        <v>По результатам рассмотрения материалов дела об административном правонарушении № ЦА-38-ЮЛ-25-3351,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«Управляющая компания «Альфа-Капитал» назначено административное наказание в виде штрафа в размере 300 000 рублей. Постановление вступило в законную силу 06.05.2025.</v>
      </c>
    </row>
    <row r="345" spans="1:11" ht="144" x14ac:dyDescent="0.2">
      <c r="A345" s="16">
        <v>340</v>
      </c>
      <c r="B345" s="29">
        <v>45783</v>
      </c>
      <c r="C345" s="17" t="s">
        <v>415</v>
      </c>
      <c r="D345" s="16" t="s">
        <v>996</v>
      </c>
      <c r="E345" s="16" t="s">
        <v>7</v>
      </c>
      <c r="F345" s="26" t="s">
        <v>11</v>
      </c>
      <c r="G345" s="16">
        <v>700000</v>
      </c>
      <c r="H345" s="16">
        <v>1000000</v>
      </c>
      <c r="I345" s="16" t="s">
        <v>1062</v>
      </c>
      <c r="J345" s="17" t="str">
        <f>VLOOKUP(E345,статьи!$G$2:$H$24,2,TRUE)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345" s="17" t="str">
        <f>VLOOKUP(A345,'компании+описание'!$A$1:$D$438,4,)</f>
        <v>По результатам рассмотрения материалов дела об административном правонарушении № ЦА-38-ЮЛ-25-3367, возбужденного за совершение административного правонарушения, ответственность за которое предусмотрена частью 6 статьи 15.29 КоАП РФ, Акционерному обществу «Контрада Капитал» назначено административное наказание в виде предупреждения. Постановление вступило в законную силу 06.05.2025.По результатам рассмотрения материалов дела об административном правонарушении № ЦА-38-ЮЛ-25-3366, возбужденного за совершение административного правонарушения, ответственность за которое предусмотрена частью 5 статьи 15.29 КоАП РФ, Акционерному обществу «Контрада Капитал» назначено административное наказание в виде предупреждения. Постановление вступило в законную силу 06.05.2025.</v>
      </c>
    </row>
    <row r="346" spans="1:11" ht="144" x14ac:dyDescent="0.2">
      <c r="A346" s="16">
        <v>340</v>
      </c>
      <c r="B346" s="29">
        <v>45783</v>
      </c>
      <c r="C346" s="17" t="s">
        <v>415</v>
      </c>
      <c r="D346" s="16" t="s">
        <v>996</v>
      </c>
      <c r="E346" s="16" t="s">
        <v>18</v>
      </c>
      <c r="F346" s="26" t="s">
        <v>11</v>
      </c>
      <c r="G346" s="16">
        <v>500000</v>
      </c>
      <c r="H346" s="16">
        <v>700000</v>
      </c>
      <c r="I346" s="16" t="s">
        <v>1062</v>
      </c>
      <c r="J346" s="17" t="str">
        <f>VLOOKUP(E346,статьи!$G$2:$H$24,2,TRUE)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346" s="17" t="str">
        <f>VLOOKUP(A346,'компании+описание'!$A$1:$D$438,4,)</f>
        <v>По результатам рассмотрения материалов дела об административном правонарушении № ЦА-38-ЮЛ-25-3367, возбужденного за совершение административного правонарушения, ответственность за которое предусмотрена частью 6 статьи 15.29 КоАП РФ, Акционерному обществу «Контрада Капитал» назначено административное наказание в виде предупреждения. Постановление вступило в законную силу 06.05.2025.По результатам рассмотрения материалов дела об административном правонарушении № ЦА-38-ЮЛ-25-3366, возбужденного за совершение административного правонарушения, ответственность за которое предусмотрена частью 5 статьи 15.29 КоАП РФ, Акционерному обществу «Контрада Капитал» назначено административное наказание в виде предупреждения. Постановление вступило в законную силу 06.05.2025.</v>
      </c>
    </row>
    <row r="347" spans="1:11" ht="96" x14ac:dyDescent="0.2">
      <c r="A347" s="16">
        <v>341</v>
      </c>
      <c r="B347" s="29">
        <v>45782</v>
      </c>
      <c r="C347" s="17" t="s">
        <v>417</v>
      </c>
      <c r="D347" s="16" t="s">
        <v>997</v>
      </c>
      <c r="E347" s="16" t="s">
        <v>23</v>
      </c>
      <c r="F347" s="26">
        <v>3000</v>
      </c>
      <c r="G347" s="16">
        <v>3000</v>
      </c>
      <c r="H347" s="16">
        <v>5000</v>
      </c>
      <c r="I347" s="16" t="s">
        <v>1060</v>
      </c>
      <c r="J347" s="17" t="str">
        <f>VLOOKUP(E347,статьи!$G$2:$H$24,2,TRUE)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47" s="17" t="str">
        <f>VLOOKUP(A347,'компании+описание'!$A$1:$D$438,4,)</f>
        <v>По результатам рассмотрения материалов дела об административном правонарушении № ЦА-34-Гр-25-3259,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Царику Дмитрию Сергеевичу назначено административное наказание в виде штрафа в размере 3 000 рублей. Постановление от 08.04.2025 № 25-3259/3110-1 о назначении административного наказания вступило в законную силу 01.05.2025.</v>
      </c>
    </row>
    <row r="348" spans="1:11" ht="144" x14ac:dyDescent="0.2">
      <c r="A348" s="16">
        <v>342</v>
      </c>
      <c r="B348" s="29">
        <v>45776</v>
      </c>
      <c r="C348" s="17" t="s">
        <v>419</v>
      </c>
      <c r="D348" s="16" t="s">
        <v>996</v>
      </c>
      <c r="E348" s="16" t="s">
        <v>72</v>
      </c>
      <c r="F348" s="26">
        <v>250000</v>
      </c>
      <c r="G348" s="16">
        <v>500000</v>
      </c>
      <c r="H348" s="16">
        <v>700000</v>
      </c>
      <c r="I348" s="16" t="s">
        <v>1061</v>
      </c>
      <c r="J348" s="17" t="str">
        <f>VLOOKUP(E348,статьи!$G$2:$H$24,2,TRUE)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348" s="17" t="str">
        <f>VLOOKUP(A348,'компании+описание'!$A$1:$D$438,4,)</f>
        <v>По результатам рассмотрения материалов дела об административном правонарушении № ЦА-34-ЮЛ-25-3727,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«КраудЮнит»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14.04.2025 № 25-3727/3110-1 вступило в законную силу 29.04.2025.</v>
      </c>
    </row>
    <row r="349" spans="1:11" ht="96" x14ac:dyDescent="0.2">
      <c r="A349" s="16">
        <v>343</v>
      </c>
      <c r="B349" s="29">
        <v>45776</v>
      </c>
      <c r="C349" s="17" t="s">
        <v>420</v>
      </c>
      <c r="D349" s="16" t="s">
        <v>997</v>
      </c>
      <c r="E349" s="16" t="s">
        <v>309</v>
      </c>
      <c r="F349" s="26">
        <v>3000</v>
      </c>
      <c r="G349" s="16">
        <v>3000</v>
      </c>
      <c r="H349" s="16">
        <v>5000</v>
      </c>
      <c r="I349" s="16" t="s">
        <v>1060</v>
      </c>
      <c r="J349" s="17" t="str">
        <f>VLOOKUP(E349,статьи!$G$2:$H$24,2,TRUE)</f>
        <v>Неправомерное использование инсайдерской информации, если это действие не содержит уголовно наказуемого деяния</v>
      </c>
      <c r="K349" s="17" t="str">
        <f>VLOOKUP(A349,'компании+описание'!$A$1:$D$438,4,)</f>
        <v>По результатам рассмотрения материалов дела об административном правонарушении № ЦА-34-Гр-25-2179, возбужденного за совершение административного правонарушения, ответственность за которое предусмотрена статьей 15.21 Кодекса Российской Федерации об административных правонарушениях, Лазутиной Линде Леонидовне назначено административное наказание в виде штрафа в размере 3 000 рублей. Постановление от 02.04.2025 № 25-2179/3110-1 о назначении административного наказания вступило в законную силу 29.04.2025.</v>
      </c>
    </row>
    <row r="350" spans="1:11" ht="96" x14ac:dyDescent="0.2">
      <c r="A350" s="16">
        <v>344</v>
      </c>
      <c r="B350" s="29">
        <v>45776</v>
      </c>
      <c r="C350" s="17" t="s">
        <v>421</v>
      </c>
      <c r="D350" s="16" t="s">
        <v>997</v>
      </c>
      <c r="E350" s="16" t="s">
        <v>23</v>
      </c>
      <c r="F350" s="26">
        <v>3000</v>
      </c>
      <c r="G350" s="16">
        <v>3000</v>
      </c>
      <c r="H350" s="16">
        <v>5000</v>
      </c>
      <c r="I350" s="16" t="s">
        <v>1060</v>
      </c>
      <c r="J350" s="17" t="str">
        <f>VLOOKUP(E350,статьи!$G$2:$H$24,2,TRUE)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50" s="17" t="str">
        <f>VLOOKUP(A350,'компании+описание'!$A$1:$D$438,4,)</f>
        <v>По результатам рассмотрения материалов дела об административном правонарушении № ЦА-34-Гр-25-3206,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Чернышеву Даниилу Владимировичу назначено административное наказание в виде штрафа в размере 3 000 рублей. Постановление от 07.04.2025 № 25-3206/3110-1 о назначении административного наказания вступило в законную силу 29.04.2025.</v>
      </c>
    </row>
    <row r="351" spans="1:11" ht="96" x14ac:dyDescent="0.2">
      <c r="A351" s="16">
        <v>345</v>
      </c>
      <c r="B351" s="29">
        <v>45775</v>
      </c>
      <c r="C351" s="17" t="s">
        <v>423</v>
      </c>
      <c r="D351" s="16" t="s">
        <v>997</v>
      </c>
      <c r="E351" s="16" t="s">
        <v>23</v>
      </c>
      <c r="F351" s="26">
        <v>3000</v>
      </c>
      <c r="G351" s="16">
        <v>3000</v>
      </c>
      <c r="H351" s="16">
        <v>5000</v>
      </c>
      <c r="I351" s="16" t="s">
        <v>1060</v>
      </c>
      <c r="J351" s="17" t="str">
        <f>VLOOKUP(E351,статьи!$G$2:$H$24,2,TRUE)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51" s="17" t="str">
        <f>VLOOKUP(A351,'компании+описание'!$A$1:$D$438,4,)</f>
        <v>По результатам рассмотрения материалов дела об административном правонарушении № ЦА-34-Гр-25-2916,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Сасу Роману Ивановичу назначено административное наказание в виде штрафа в размере 3 000 рублей. Постановление от 01.04.2025 № 25-2916/3110-1 о назначении административного наказания вступило в законную силу 26.04.2025.</v>
      </c>
    </row>
    <row r="352" spans="1:11" ht="96" x14ac:dyDescent="0.2">
      <c r="A352" s="16">
        <v>346</v>
      </c>
      <c r="B352" s="29">
        <v>45775</v>
      </c>
      <c r="C352" s="17" t="s">
        <v>424</v>
      </c>
      <c r="D352" s="16" t="s">
        <v>997</v>
      </c>
      <c r="E352" s="16" t="s">
        <v>23</v>
      </c>
      <c r="F352" s="26">
        <v>3000</v>
      </c>
      <c r="G352" s="16">
        <v>3000</v>
      </c>
      <c r="H352" s="16">
        <v>5000</v>
      </c>
      <c r="I352" s="16" t="s">
        <v>1060</v>
      </c>
      <c r="J352" s="17" t="str">
        <f>VLOOKUP(E352,статьи!$G$2:$H$24,2,TRUE)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52" s="17" t="str">
        <f>VLOOKUP(A352,'компании+описание'!$A$1:$D$438,4,)</f>
        <v>По результатам рассмотрения материалов дела об административном правонарушении № ЦА-34-Гр-25-2913,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Сас Надежде Валериевне назначено административное наказание в виде штрафа в размере 3 000 рублей. Постановление от 01.04.2025 № 25-2913/3110-1 о назначении административного наказания вступило в законную силу 26.04.2025.</v>
      </c>
    </row>
    <row r="353" spans="1:11" ht="144" x14ac:dyDescent="0.2">
      <c r="A353" s="16">
        <v>347</v>
      </c>
      <c r="B353" s="29">
        <v>45775</v>
      </c>
      <c r="C353" s="17" t="s">
        <v>82</v>
      </c>
      <c r="D353" s="16" t="s">
        <v>996</v>
      </c>
      <c r="E353" s="16" t="s">
        <v>5</v>
      </c>
      <c r="F353" s="26">
        <v>700000</v>
      </c>
      <c r="G353" s="16">
        <v>700000</v>
      </c>
      <c r="H353" s="16">
        <v>1000000</v>
      </c>
      <c r="I353" s="16" t="s">
        <v>1060</v>
      </c>
      <c r="J353" s="17" t="str">
        <f>VLOOKUP(E353,статьи!$G$2:$H$24,2,TRUE)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353" s="17" t="str">
        <f>VLOOKUP(A353,'компании+описание'!$A$1:$D$438,4,)</f>
        <v>По результатам рассмотрения материалов дела об административном правонарушении № ЦА-38-ЮЛ-25-3501, возбужденного за совершение административного правонарушения, ответственность за которое предусмотрена частью 9 статьи 15.29 КоАП РФ, Акционерному обществу «Инвестиционная компания «РИКОМ-ТРАСТ» назначено административное наказание в виде штрафа в размере 700 000 рублей. Постановление вступило в законную силу 26.04.2025.</v>
      </c>
    </row>
    <row r="354" spans="1:11" ht="96" x14ac:dyDescent="0.2">
      <c r="A354" s="16">
        <v>348</v>
      </c>
      <c r="B354" s="29">
        <v>45772</v>
      </c>
      <c r="C354" s="17" t="s">
        <v>426</v>
      </c>
      <c r="D354" s="16" t="s">
        <v>996</v>
      </c>
      <c r="E354" s="16" t="s">
        <v>23</v>
      </c>
      <c r="F354" s="26">
        <v>700000</v>
      </c>
      <c r="G354" s="16">
        <v>700000</v>
      </c>
      <c r="H354" s="16" t="s">
        <v>1002</v>
      </c>
      <c r="I354" s="16" t="s">
        <v>1060</v>
      </c>
      <c r="J354" s="17" t="str">
        <f>VLOOKUP(E354,статьи!$G$2:$H$24,2,TRUE)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54" s="17" t="str">
        <f>VLOOKUP(A354,'компании+описание'!$A$1:$D$438,4,)</f>
        <v>По результатам рассмотрения материалов дела об административном правонарушении № ЦА-34-ЮЛ-25-756,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ООО «Григорян Инвест» назначено административное наказание в виде штрафа в размере 700 000 рублей. Постановление от 09.04.2025 №25-756/3110-1 о назначении административного наказания вступило в законную силу 25.04.2025.</v>
      </c>
    </row>
    <row r="355" spans="1:11" ht="144" x14ac:dyDescent="0.2">
      <c r="A355" s="16">
        <v>349</v>
      </c>
      <c r="B355" s="29">
        <v>45772</v>
      </c>
      <c r="C355" s="17" t="s">
        <v>212</v>
      </c>
      <c r="D355" s="16" t="s">
        <v>996</v>
      </c>
      <c r="E355" s="16" t="s">
        <v>72</v>
      </c>
      <c r="F355" s="26">
        <v>250000</v>
      </c>
      <c r="G355" s="16">
        <v>500000</v>
      </c>
      <c r="H355" s="16">
        <v>700000</v>
      </c>
      <c r="I355" s="16" t="s">
        <v>1061</v>
      </c>
      <c r="J355" s="17" t="str">
        <f>VLOOKUP(E355,статьи!$G$2:$H$24,2,TRUE)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355" s="17" t="str">
        <f>VLOOKUP(A355,'компании+описание'!$A$1:$D$438,4,)</f>
        <v>По результатам рассмотрения материалов дела об административном правонарушении № ЦА-34-ЮЛ-25-3699,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«ФИНИН-К»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10.04.2025 № 25-3699/3110-1 вступило в законную силу 25.04.2025.</v>
      </c>
    </row>
    <row r="356" spans="1:11" ht="144" x14ac:dyDescent="0.2">
      <c r="A356" s="16">
        <v>350</v>
      </c>
      <c r="B356" s="29">
        <v>45772</v>
      </c>
      <c r="C356" s="17" t="s">
        <v>304</v>
      </c>
      <c r="D356" s="16" t="s">
        <v>996</v>
      </c>
      <c r="E356" s="16" t="s">
        <v>72</v>
      </c>
      <c r="F356" s="26">
        <v>250000</v>
      </c>
      <c r="G356" s="16">
        <v>500000</v>
      </c>
      <c r="H356" s="16">
        <v>700000</v>
      </c>
      <c r="I356" s="16" t="s">
        <v>1061</v>
      </c>
      <c r="J356" s="17" t="str">
        <f>VLOOKUP(E356,статьи!$G$2:$H$24,2,TRUE)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356" s="17" t="str">
        <f>VLOOKUP(A356,'компании+описание'!$A$1:$D$438,4,)</f>
        <v>По результатам рассмотрения материалов дела об административном правонарушении № ЦА-34-ЮЛ-25-3678,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«Селект мани»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10.04.2025 № 25-3678/3110-1 вступило в законную силу 25.04.2025.</v>
      </c>
    </row>
    <row r="357" spans="1:11" ht="96" x14ac:dyDescent="0.2">
      <c r="A357" s="16">
        <v>351</v>
      </c>
      <c r="B357" s="29">
        <v>45769</v>
      </c>
      <c r="C357" s="17" t="s">
        <v>428</v>
      </c>
      <c r="D357" s="16" t="s">
        <v>997</v>
      </c>
      <c r="E357" s="16" t="s">
        <v>23</v>
      </c>
      <c r="F357" s="26">
        <v>3000</v>
      </c>
      <c r="G357" s="16">
        <v>3000</v>
      </c>
      <c r="H357" s="16">
        <v>5000</v>
      </c>
      <c r="I357" s="16" t="s">
        <v>1060</v>
      </c>
      <c r="J357" s="17" t="str">
        <f>VLOOKUP(E357,статьи!$G$2:$H$24,2,TRUE)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57" s="17" t="str">
        <f>VLOOKUP(A357,'компании+описание'!$A$1:$D$438,4,)</f>
        <v>По результатам рассмотрения материалов дела об административном правонарушении № ЦА-34-Гр-25-2139,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Унеговскому Дмитрию Семеновичу назначено административное наказание в виде штрафа в размере 3 000 рублей. Постановление от 02.04.2025 № 25-2139/3110-1 о назначении административного наказания вступило в законную силу 22.04.2025.</v>
      </c>
    </row>
    <row r="358" spans="1:11" ht="80" x14ac:dyDescent="0.2">
      <c r="A358" s="16">
        <v>352</v>
      </c>
      <c r="B358" s="29">
        <v>45765</v>
      </c>
      <c r="C358" s="17" t="s">
        <v>85</v>
      </c>
      <c r="D358" s="16" t="s">
        <v>996</v>
      </c>
      <c r="E358" s="16" t="s">
        <v>80</v>
      </c>
      <c r="F358" s="26">
        <v>700000</v>
      </c>
      <c r="G358" s="16">
        <v>700000</v>
      </c>
      <c r="H358" s="16">
        <v>1000000</v>
      </c>
      <c r="I358" s="16" t="s">
        <v>1060</v>
      </c>
      <c r="J358" s="17" t="str">
        <f>VLOOKUP(E358,статьи!$G$2:$H$24,2,TRUE)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58" s="17" t="str">
        <f>VLOOKUP(A358,'компании+описание'!$A$1:$D$438,4,)</f>
        <v>По результатам рассмотрения материалов дела об административном правонарушении № ЦА-38-ЮЛ-25-3083, возбужденного за совершение административного правонарушения, ответственность за которое предусмотрена частью 2 статьи 15.19 КоАП РФ, Обществу с ограниченной ответственностью «РСХБ Управление Активами» назначено административное наказание в виде штрафа в размере 700 000 рублей. Постановление вступило в законную силу 18.04.2025.</v>
      </c>
    </row>
    <row r="359" spans="1:11" ht="96" x14ac:dyDescent="0.2">
      <c r="A359" s="16">
        <v>353</v>
      </c>
      <c r="B359" s="29">
        <v>45765</v>
      </c>
      <c r="C359" s="17" t="s">
        <v>430</v>
      </c>
      <c r="D359" s="16" t="s">
        <v>997</v>
      </c>
      <c r="E359" s="16" t="s">
        <v>23</v>
      </c>
      <c r="F359" s="26">
        <v>3000</v>
      </c>
      <c r="G359" s="16">
        <v>3000</v>
      </c>
      <c r="H359" s="16">
        <v>5000</v>
      </c>
      <c r="I359" s="16" t="s">
        <v>1060</v>
      </c>
      <c r="J359" s="17" t="str">
        <f>VLOOKUP(E359,статьи!$G$2:$H$24,2,TRUE)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59" s="17" t="str">
        <f>VLOOKUP(A359,'компании+описание'!$A$1:$D$438,4,)</f>
        <v>По результатам рассмотрения материалов дела об административном правонарушении № ЦА-34-Гр-25-1837,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Егоровой Виктории Евгеньевне назначено административное наказание в виде штрафа в размере 3 000 рублей. Постановление от 17.03.2025 № 25-1837/3110-1 о назначении административного наказания вступило в законную силу 18.04.2025.</v>
      </c>
    </row>
    <row r="360" spans="1:11" ht="96" x14ac:dyDescent="0.2">
      <c r="A360" s="16">
        <v>354</v>
      </c>
      <c r="B360" s="29">
        <v>45764</v>
      </c>
      <c r="C360" s="17" t="s">
        <v>432</v>
      </c>
      <c r="D360" s="16" t="s">
        <v>997</v>
      </c>
      <c r="E360" s="16" t="s">
        <v>23</v>
      </c>
      <c r="F360" s="26">
        <v>3000</v>
      </c>
      <c r="G360" s="16">
        <v>3000</v>
      </c>
      <c r="H360" s="16">
        <v>5000</v>
      </c>
      <c r="I360" s="16" t="s">
        <v>1060</v>
      </c>
      <c r="J360" s="17" t="str">
        <f>VLOOKUP(E360,статьи!$G$2:$H$24,2,TRUE)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60" s="17" t="str">
        <f>VLOOKUP(A360,'компании+описание'!$A$1:$D$438,4,)</f>
        <v>По результатам рассмотрения материалов дела об административном правонарушении № ЦА-34-Гр-25-2689, возбужденного за совершение административного правонарушения, ответственность за которое предусмотрена статьей 15.30 КоАП РФ, Погосову Юрию Евгеньевичу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27.03.2025 № 25-2689/3110-1 вступило в законную силу 17.04.2025.</v>
      </c>
    </row>
    <row r="361" spans="1:11" ht="96" x14ac:dyDescent="0.2">
      <c r="A361" s="16">
        <v>355</v>
      </c>
      <c r="B361" s="29">
        <v>45762</v>
      </c>
      <c r="C361" s="17" t="s">
        <v>434</v>
      </c>
      <c r="D361" s="16" t="s">
        <v>997</v>
      </c>
      <c r="E361" s="16" t="s">
        <v>23</v>
      </c>
      <c r="F361" s="26">
        <v>3000</v>
      </c>
      <c r="G361" s="16">
        <v>3000</v>
      </c>
      <c r="H361" s="16">
        <v>5000</v>
      </c>
      <c r="I361" s="16" t="s">
        <v>1060</v>
      </c>
      <c r="J361" s="17" t="str">
        <f>VLOOKUP(E361,статьи!$G$2:$H$24,2,TRUE)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61" s="17" t="str">
        <f>VLOOKUP(A361,'компании+описание'!$A$1:$D$438,4,)</f>
        <v>По результатам рассмотрения материалов дела об административном правонарушении № ЦА-34-Гр-25-2694,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Погосовой Ольге Владимировне назначено административное наказание в виде штрафа в размере 3 000 рублей. Постановление от 27.03.2025 № 25-2694/3110-1 о назначении административного наказания вступило в законную силу 15.04.2025.</v>
      </c>
    </row>
    <row r="362" spans="1:11" ht="144" x14ac:dyDescent="0.2">
      <c r="A362" s="16">
        <v>356</v>
      </c>
      <c r="B362" s="29">
        <v>45762</v>
      </c>
      <c r="C362" s="17" t="s">
        <v>304</v>
      </c>
      <c r="D362" s="16" t="s">
        <v>996</v>
      </c>
      <c r="E362" s="16" t="s">
        <v>72</v>
      </c>
      <c r="F362" s="26">
        <v>250000</v>
      </c>
      <c r="G362" s="16">
        <v>500000</v>
      </c>
      <c r="H362" s="16">
        <v>700000</v>
      </c>
      <c r="I362" s="16" t="s">
        <v>1061</v>
      </c>
      <c r="J362" s="17" t="str">
        <f>VLOOKUP(E362,статьи!$G$2:$H$24,2,TRUE)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362" s="17" t="str">
        <f>VLOOKUP(A362,'компании+описание'!$A$1:$D$438,4,)</f>
        <v>По результатам рассмотрения материалов дела об административном правонарушении № ЦА-34-ЮЛ-25-3074,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«Селект мани»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01.04.2025 № 25-3074/3110-1 вступило в законную силу 15.04.2025.</v>
      </c>
    </row>
    <row r="363" spans="1:11" ht="80" x14ac:dyDescent="0.2">
      <c r="A363" s="16">
        <v>357</v>
      </c>
      <c r="B363" s="29">
        <v>45762</v>
      </c>
      <c r="C363" s="17" t="s">
        <v>435</v>
      </c>
      <c r="D363" s="16" t="s">
        <v>996</v>
      </c>
      <c r="E363" s="16" t="s">
        <v>8</v>
      </c>
      <c r="F363" s="26">
        <v>300000</v>
      </c>
      <c r="G363" s="16">
        <v>300000</v>
      </c>
      <c r="H363" s="16">
        <v>500000</v>
      </c>
      <c r="I363" s="16" t="s">
        <v>1060</v>
      </c>
      <c r="J363" s="17" t="str">
        <f>VLOOKUP(E363,статьи!$G$2:$H$24,2,TRUE)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63" s="17" t="str">
        <f>VLOOKUP(A363,'компании+описание'!$A$1:$D$438,4,)</f>
        <v>По результатам рассмотрения материалов дела об административном правонарушении № ЦА-38-ЮЛ-25-2975 возбужденного за совершение административного правонарушения, ответственность за которое предусмотрена частью 12 статьи 15.29 КоАП РФ, АО «УК ТФГ» назначено административное наказание в виде штрафа в размере 300 000 рублей. Постановление вступило в законную силу 15.04.2025.</v>
      </c>
    </row>
    <row r="364" spans="1:11" ht="80" x14ac:dyDescent="0.2">
      <c r="A364" s="16">
        <v>358</v>
      </c>
      <c r="B364" s="29">
        <v>45762</v>
      </c>
      <c r="C364" s="17" t="s">
        <v>436</v>
      </c>
      <c r="D364" s="16" t="s">
        <v>996</v>
      </c>
      <c r="E364" s="16" t="s">
        <v>8</v>
      </c>
      <c r="F364" s="26" t="s">
        <v>11</v>
      </c>
      <c r="G364" s="16">
        <v>300000</v>
      </c>
      <c r="H364" s="16">
        <v>500000</v>
      </c>
      <c r="I364" s="16" t="s">
        <v>1062</v>
      </c>
      <c r="J364" s="17" t="str">
        <f>VLOOKUP(E364,статьи!$G$2:$H$24,2,TRUE)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64" s="17" t="str">
        <f>VLOOKUP(A364,'компании+описание'!$A$1:$D$438,4,)</f>
        <v>По результатам рассмотрения материалов дела об административном правонарушении № ЦА-38-ЮЛ-25-2940,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«Управляющая компания «АКРУКС КАПИТАЛ» назначено административное наказание в виде предупреждения. Постановление вступило в законную силу 15.04.2025.</v>
      </c>
    </row>
    <row r="365" spans="1:11" ht="160" x14ac:dyDescent="0.2">
      <c r="A365" s="16">
        <v>359</v>
      </c>
      <c r="B365" s="29">
        <v>45762</v>
      </c>
      <c r="C365" s="17" t="s">
        <v>437</v>
      </c>
      <c r="D365" s="16" t="s">
        <v>996</v>
      </c>
      <c r="E365" s="16" t="s">
        <v>8</v>
      </c>
      <c r="F365" s="26" t="s">
        <v>11</v>
      </c>
      <c r="G365" s="16">
        <v>300000</v>
      </c>
      <c r="H365" s="16">
        <v>500000</v>
      </c>
      <c r="I365" s="16" t="s">
        <v>1062</v>
      </c>
      <c r="J365" s="17" t="str">
        <f>VLOOKUP(E365,статьи!$G$2:$H$24,2,TRUE)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65" s="17" t="str">
        <f>VLOOKUP(A365,'компании+описание'!$A$1:$D$438,4,)</f>
        <v>По результатам рассмотрения материалов дела об административном правонарушении № ЦА-38-ЮЛ-25-2794,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«БКС Управление благосостоянием» назначено административное наказание в виде предупреждения. Постановление вступило в законную силу 15.04.2025.По результатам рассмотрения материалов дела об административном правонарушении № ЦА-38-ЮЛ-25-2954,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«БКС Управление благосостоянием» назначено административное наказание в виде предупреждения. Постановление вступило в законную силу 15.04.2025.</v>
      </c>
    </row>
    <row r="366" spans="1:11" ht="160" x14ac:dyDescent="0.2">
      <c r="A366" s="16">
        <v>359</v>
      </c>
      <c r="B366" s="29">
        <v>45762</v>
      </c>
      <c r="C366" s="17" t="s">
        <v>437</v>
      </c>
      <c r="D366" s="16" t="s">
        <v>996</v>
      </c>
      <c r="E366" s="16" t="s">
        <v>8</v>
      </c>
      <c r="F366" s="26" t="s">
        <v>11</v>
      </c>
      <c r="G366" s="16">
        <v>300000</v>
      </c>
      <c r="H366" s="16">
        <v>500000</v>
      </c>
      <c r="I366" s="16" t="s">
        <v>1062</v>
      </c>
      <c r="J366" s="17" t="str">
        <f>VLOOKUP(E366,статьи!$G$2:$H$24,2,TRUE)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66" s="17" t="str">
        <f>VLOOKUP(A366,'компании+описание'!$A$1:$D$438,4,)</f>
        <v>По результатам рассмотрения материалов дела об административном правонарушении № ЦА-38-ЮЛ-25-2794,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«БКС Управление благосостоянием» назначено административное наказание в виде предупреждения. Постановление вступило в законную силу 15.04.2025.По результатам рассмотрения материалов дела об административном правонарушении № ЦА-38-ЮЛ-25-2954,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«БКС Управление благосостоянием» назначено административное наказание в виде предупреждения. Постановление вступило в законную силу 15.04.2025.</v>
      </c>
    </row>
    <row r="367" spans="1:11" ht="80" x14ac:dyDescent="0.2">
      <c r="A367" s="16">
        <v>360</v>
      </c>
      <c r="B367" s="29">
        <v>45761</v>
      </c>
      <c r="C367" s="17" t="s">
        <v>14</v>
      </c>
      <c r="D367" s="16" t="s">
        <v>996</v>
      </c>
      <c r="E367" s="16" t="s">
        <v>8</v>
      </c>
      <c r="F367" s="26">
        <v>300000</v>
      </c>
      <c r="G367" s="16">
        <v>300000</v>
      </c>
      <c r="H367" s="16">
        <v>500000</v>
      </c>
      <c r="I367" s="16" t="s">
        <v>1060</v>
      </c>
      <c r="J367" s="17" t="str">
        <f>VLOOKUP(E367,статьи!$G$2:$H$24,2,TRUE)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67" s="17" t="str">
        <f>VLOOKUP(A367,'компании+описание'!$A$1:$D$438,4,)</f>
        <v>По результатам рассмотрения материалов дела об административном правонарушении № ЦА-38-ЮЛ-25-2528,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ВИМ Инвестиции назначено административное наказание в виде штрафа в размере 300 000 рублей. Постановление вступило в законную силу 12.04.2025.</v>
      </c>
    </row>
    <row r="368" spans="1:11" ht="96" x14ac:dyDescent="0.2">
      <c r="A368" s="16">
        <v>361</v>
      </c>
      <c r="B368" s="29">
        <v>45761</v>
      </c>
      <c r="C368" s="17" t="s">
        <v>439</v>
      </c>
      <c r="D368" s="16" t="s">
        <v>997</v>
      </c>
      <c r="E368" s="16" t="s">
        <v>23</v>
      </c>
      <c r="F368" s="26">
        <v>3000</v>
      </c>
      <c r="G368" s="16">
        <v>3000</v>
      </c>
      <c r="H368" s="16">
        <v>5000</v>
      </c>
      <c r="I368" s="16" t="s">
        <v>1060</v>
      </c>
      <c r="J368" s="17" t="str">
        <f>VLOOKUP(E368,статьи!$G$2:$H$24,2,TRUE)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68" s="17" t="str">
        <f>VLOOKUP(A368,'компании+описание'!$A$1:$D$438,4,)</f>
        <v>По результатам рассмотрения материалов дела об административном правонарушении № ЦА-34-Гр-25-2428,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Князеву Станиславу Юрьевичу назначено административное наказание в виде штрафа в размере 3 000 рублей. Постановление от 24.03.2025 № 25-2428/3110-1 о назначении административного наказания вступило в законную силу 12.04.2025.</v>
      </c>
    </row>
    <row r="369" spans="1:11" ht="96" x14ac:dyDescent="0.2">
      <c r="A369" s="16">
        <v>362</v>
      </c>
      <c r="B369" s="29">
        <v>45761</v>
      </c>
      <c r="C369" s="17" t="s">
        <v>440</v>
      </c>
      <c r="D369" s="16" t="s">
        <v>997</v>
      </c>
      <c r="E369" s="16" t="s">
        <v>23</v>
      </c>
      <c r="F369" s="26">
        <v>3000</v>
      </c>
      <c r="G369" s="16">
        <v>3000</v>
      </c>
      <c r="H369" s="16">
        <v>5000</v>
      </c>
      <c r="I369" s="16" t="s">
        <v>1060</v>
      </c>
      <c r="J369" s="17" t="str">
        <f>VLOOKUP(E369,статьи!$G$2:$H$24,2,TRUE)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69" s="17" t="str">
        <f>VLOOKUP(A369,'компании+описание'!$A$1:$D$438,4,)</f>
        <v>По результатам рассмотрения материалов дела об административном правонарушении № ЦА-34-Гр-25-1834,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Георгиевскому Даниилу Максимовичу назначено административное наказание в виде штрафа в размере 3 000 рублей. Постановление от 17.03.2025 № 25-1834/3110-1 о назначении административного наказания вступило в законную силу 12.04.2025.</v>
      </c>
    </row>
    <row r="370" spans="1:11" ht="96" x14ac:dyDescent="0.2">
      <c r="A370" s="16">
        <v>363</v>
      </c>
      <c r="B370" s="29">
        <v>45758</v>
      </c>
      <c r="C370" s="17" t="s">
        <v>275</v>
      </c>
      <c r="D370" s="16" t="s">
        <v>996</v>
      </c>
      <c r="E370" s="16" t="s">
        <v>8</v>
      </c>
      <c r="F370" s="26">
        <v>300000</v>
      </c>
      <c r="G370" s="16">
        <v>300000</v>
      </c>
      <c r="H370" s="16">
        <v>500000</v>
      </c>
      <c r="I370" s="16" t="s">
        <v>1060</v>
      </c>
      <c r="J370" s="17" t="str">
        <f>VLOOKUP(E370,статьи!$G$2:$H$24,2,TRUE)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70" s="17" t="str">
        <f>VLOOKUP(A370,'компании+описание'!$A$1:$D$438,4,)</f>
        <v>По результатам рассмотрения материалов дела об административном правонарушении № ЦА-34-ЮЛ-25-2878,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«Специализированный Депозитарий «ИНФИНИТУМ» назначено административное наказание в виде штрафа размером 300 000 (триста тысяч) рублей. Постановление от 27.03.2025 № 25-2878/3110-1 о назначении административного наказания вступило в законную силу 11.04.2025.</v>
      </c>
    </row>
    <row r="371" spans="1:11" ht="96" x14ac:dyDescent="0.2">
      <c r="A371" s="16">
        <v>364</v>
      </c>
      <c r="B371" s="29">
        <v>45758</v>
      </c>
      <c r="C371" s="17" t="s">
        <v>442</v>
      </c>
      <c r="D371" s="16" t="s">
        <v>997</v>
      </c>
      <c r="E371" s="16" t="s">
        <v>23</v>
      </c>
      <c r="F371" s="26">
        <v>3000</v>
      </c>
      <c r="G371" s="16">
        <v>3000</v>
      </c>
      <c r="H371" s="16">
        <v>5000</v>
      </c>
      <c r="I371" s="16" t="s">
        <v>1060</v>
      </c>
      <c r="J371" s="17" t="str">
        <f>VLOOKUP(E371,статьи!$G$2:$H$24,2,TRUE)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71" s="17" t="str">
        <f>VLOOKUP(A371,'компании+описание'!$A$1:$D$438,4,)</f>
        <v>По результатам рассмотрения материалов дела об административном правонарушении № ЦА-34-Гр-25-1974,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Дерюгиной Наталье Александровне назначено административное наказание в виде штрафа в размере 3 000 рублей. Постановление от 18.03.2025 № 25-1974/3110-1 о назначении административного наказания вступило в законную силу 11.04.2025.</v>
      </c>
    </row>
    <row r="372" spans="1:11" ht="96" x14ac:dyDescent="0.2">
      <c r="A372" s="16">
        <v>365</v>
      </c>
      <c r="B372" s="29">
        <v>45755</v>
      </c>
      <c r="C372" s="17" t="s">
        <v>444</v>
      </c>
      <c r="D372" s="16" t="s">
        <v>996</v>
      </c>
      <c r="E372" s="16" t="s">
        <v>8</v>
      </c>
      <c r="F372" s="26">
        <v>300000</v>
      </c>
      <c r="G372" s="16">
        <v>300000</v>
      </c>
      <c r="H372" s="16">
        <v>500000</v>
      </c>
      <c r="I372" s="16" t="s">
        <v>1060</v>
      </c>
      <c r="J372" s="17" t="str">
        <f>VLOOKUP(E372,статьи!$G$2:$H$24,2,TRUE)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72" s="17" t="str">
        <f>VLOOKUP(A372,'компании+описание'!$A$1:$D$438,4,)</f>
        <v>По результатам рассмотрения материалов дела об административном правонарушении № ЦА-34-ЮЛ-25-2740,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«РБРУ СД» назначено административное наказание в виде штрафа в размере 300 000 (триста тысяч) рублей. Постановление от 25.03.2025 № 25-2740/3110-1 о назначении административного наказания вступило в законную силу 08.04.2025.</v>
      </c>
    </row>
    <row r="373" spans="1:11" ht="96" x14ac:dyDescent="0.2">
      <c r="A373" s="16">
        <v>366</v>
      </c>
      <c r="B373" s="29">
        <v>45755</v>
      </c>
      <c r="C373" s="17" t="s">
        <v>13</v>
      </c>
      <c r="D373" s="16" t="s">
        <v>996</v>
      </c>
      <c r="E373" s="16" t="s">
        <v>75</v>
      </c>
      <c r="F373" s="26">
        <v>500000</v>
      </c>
      <c r="G373" s="16">
        <v>500000</v>
      </c>
      <c r="H373" s="16">
        <v>700000</v>
      </c>
      <c r="I373" s="16" t="s">
        <v>1060</v>
      </c>
      <c r="J373" s="17" t="str">
        <f>VLOOKUP(E373,статьи!$G$2:$H$24,2,TRUE)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73" s="17" t="str">
        <f>VLOOKUP(A373,'компании+описание'!$A$1:$D$438,4,)</f>
        <v>По результатам рассмотрения материалов дела об административном правонарушении  № ЦА-34-ЮЛ-25-2625, возбужденного за совершение административного правонарушения, ответственность за которое предусмотрена частью 1 статьи 19.7.3 КоАП РФ, Акционерному обществу «Инвестиционная компания «РИКОМ-ТРАСТ» назначено административное наказание в виде штрафа в размере 500 000 (пятьсот тысяч) рублей.  Постановление от 26.03.2025 № 25-2625/3110-1 вступило в законную силу 08.04.2025.</v>
      </c>
    </row>
    <row r="374" spans="1:11" ht="96" x14ac:dyDescent="0.2">
      <c r="A374" s="16">
        <v>367</v>
      </c>
      <c r="B374" s="29">
        <v>45755</v>
      </c>
      <c r="C374" s="17" t="s">
        <v>445</v>
      </c>
      <c r="D374" s="16" t="s">
        <v>997</v>
      </c>
      <c r="E374" s="16" t="s">
        <v>23</v>
      </c>
      <c r="F374" s="26">
        <v>3000</v>
      </c>
      <c r="G374" s="16">
        <v>3000</v>
      </c>
      <c r="H374" s="16">
        <v>5000</v>
      </c>
      <c r="I374" s="16" t="s">
        <v>1060</v>
      </c>
      <c r="J374" s="17" t="str">
        <f>VLOOKUP(E374,статьи!$G$2:$H$24,2,TRUE)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74" s="17" t="str">
        <f>VLOOKUP(A374,'компании+описание'!$A$1:$D$438,4,)</f>
        <v>По результатам рассмотрения материалов дела об административном правонарушении № ЦА-34-Гр-25-1527,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Пороховой Наталье Владимировне назначено административное наказание в виде штрафа в размере 3 000 рублей. Постановление от 12.03.2025 № 25-1527/3110-1 о назначении административного наказания вступило в законную силу 08.04.2025.</v>
      </c>
    </row>
    <row r="375" spans="1:11" ht="96" x14ac:dyDescent="0.2">
      <c r="A375" s="16">
        <v>368</v>
      </c>
      <c r="B375" s="29">
        <v>45755</v>
      </c>
      <c r="C375" s="17" t="s">
        <v>446</v>
      </c>
      <c r="D375" s="16" t="s">
        <v>997</v>
      </c>
      <c r="E375" s="16" t="s">
        <v>23</v>
      </c>
      <c r="F375" s="26">
        <v>3000</v>
      </c>
      <c r="G375" s="16">
        <v>3000</v>
      </c>
      <c r="H375" s="16">
        <v>5000</v>
      </c>
      <c r="I375" s="16" t="s">
        <v>1060</v>
      </c>
      <c r="J375" s="17" t="str">
        <f>VLOOKUP(E375,статьи!$G$2:$H$24,2,TRUE)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75" s="17" t="str">
        <f>VLOOKUP(A375,'компании+описание'!$A$1:$D$438,4,)</f>
        <v>По результатам рассмотрения материалов дела об административном правонарушении № ЦА-34-Гр-25-2143,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Унеговской Наталье Александровне назначено административное наказание в виде штрафа в размере 3 000 рублей. Постановление от 19.03.2025 № 25-2143/3110-1 о назначении административного наказания вступило в законную силу 08.04.2025.</v>
      </c>
    </row>
    <row r="376" spans="1:11" ht="96" x14ac:dyDescent="0.2">
      <c r="A376" s="16">
        <v>369</v>
      </c>
      <c r="B376" s="29">
        <v>45755</v>
      </c>
      <c r="C376" s="17" t="s">
        <v>447</v>
      </c>
      <c r="D376" s="16" t="s">
        <v>997</v>
      </c>
      <c r="E376" s="16" t="s">
        <v>23</v>
      </c>
      <c r="F376" s="26">
        <v>3000</v>
      </c>
      <c r="G376" s="16">
        <v>3000</v>
      </c>
      <c r="H376" s="16">
        <v>5000</v>
      </c>
      <c r="I376" s="16" t="s">
        <v>1060</v>
      </c>
      <c r="J376" s="17" t="str">
        <f>VLOOKUP(E376,статьи!$G$2:$H$24,2,TRUE)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76" s="17" t="str">
        <f>VLOOKUP(A376,'компании+описание'!$A$1:$D$438,4,)</f>
        <v>По результатам рассмотрения материалов дела об административном правонарушении № ЦА-34-Гр-25-1528,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Попову Алексею Александровичу назначено административное наказание в виде штрафа в размере 3 000 рублей. Постановление от 12.03.2025 № 25-1528/3110-1 о назначении административного наказания вступило в законную силу 08.04.2025.</v>
      </c>
    </row>
    <row r="377" spans="1:11" ht="80" x14ac:dyDescent="0.2">
      <c r="A377" s="16">
        <v>370</v>
      </c>
      <c r="B377" s="29">
        <v>45755</v>
      </c>
      <c r="C377" s="17" t="s">
        <v>292</v>
      </c>
      <c r="D377" s="16" t="s">
        <v>996</v>
      </c>
      <c r="E377" s="16" t="s">
        <v>80</v>
      </c>
      <c r="F377" s="26">
        <v>700000</v>
      </c>
      <c r="G377" s="16">
        <v>700000</v>
      </c>
      <c r="H377" s="16">
        <v>1000000</v>
      </c>
      <c r="I377" s="16" t="s">
        <v>1060</v>
      </c>
      <c r="J377" s="17" t="str">
        <f>VLOOKUP(E377,статьи!$G$2:$H$24,2,TRUE)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77" s="17" t="str">
        <f>VLOOKUP(A377,'компании+описание'!$A$1:$D$438,4,)</f>
        <v>По результатам рассмотрения материалов дела об административном правонарушении № ЦА-38-ЮЛ-25-2171, возбужденного за совершение административного правонарушения, ответственность за которое предусмотрена частью 2 статьи 15.19 КоАП РФ, Обществу с ограниченной ответственностью «Управляющая компания «Атон-менеджмент» назначено административное наказание в виде штрафа в размере 700 000 рублей. Постановление вступило в законную силу 08.04.2025.</v>
      </c>
    </row>
    <row r="378" spans="1:11" ht="80" x14ac:dyDescent="0.2">
      <c r="A378" s="16">
        <v>371</v>
      </c>
      <c r="B378" s="29">
        <v>45755</v>
      </c>
      <c r="C378" s="17" t="s">
        <v>448</v>
      </c>
      <c r="D378" s="16" t="s">
        <v>996</v>
      </c>
      <c r="E378" s="16" t="s">
        <v>8</v>
      </c>
      <c r="F378" s="26" t="s">
        <v>11</v>
      </c>
      <c r="G378" s="16">
        <v>300000</v>
      </c>
      <c r="H378" s="16">
        <v>500000</v>
      </c>
      <c r="I378" s="16" t="s">
        <v>1062</v>
      </c>
      <c r="J378" s="17" t="str">
        <f>VLOOKUP(E378,статьи!$G$2:$H$24,2,TRUE)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78" s="17" t="str">
        <f>VLOOKUP(A378,'компании+описание'!$A$1:$D$438,4,)</f>
        <v>По результатам рассмотрения материалов дела об административном правонарушении № ЦА-38-ЮЛ-25-2205,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Управляющей компании «РВМ Капитал» назначено административное наказание в виде предупреждения. Постановление вступило в законную силу 08.04.2025.</v>
      </c>
    </row>
    <row r="379" spans="1:11" ht="96" x14ac:dyDescent="0.2">
      <c r="A379" s="16">
        <v>372</v>
      </c>
      <c r="B379" s="29">
        <v>45751</v>
      </c>
      <c r="C379" s="17" t="s">
        <v>450</v>
      </c>
      <c r="D379" s="16" t="s">
        <v>997</v>
      </c>
      <c r="E379" s="16" t="s">
        <v>23</v>
      </c>
      <c r="F379" s="26">
        <v>3000</v>
      </c>
      <c r="G379" s="16">
        <v>3000</v>
      </c>
      <c r="H379" s="16">
        <v>5000</v>
      </c>
      <c r="I379" s="16" t="s">
        <v>1060</v>
      </c>
      <c r="J379" s="17" t="str">
        <f>VLOOKUP(E379,статьи!$G$2:$H$24,2,TRUE)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79" s="17" t="str">
        <f>VLOOKUP(A379,'компании+описание'!$A$1:$D$438,4,)</f>
        <v>По результатам рассмотрения материалов дела об административном правонарушении № ЦА-34-Гр-25-797,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Фединой Марине Александровне назначено административное наказание в виде штрафа в размере 3 000 рублей. Постановление от 24.02.2025 № 25-797/3110-1 о назначении административного наказания вступило в законную силу 04.04.2025.</v>
      </c>
    </row>
    <row r="380" spans="1:11" ht="96" x14ac:dyDescent="0.2">
      <c r="A380" s="16">
        <v>373</v>
      </c>
      <c r="B380" s="29">
        <v>45748</v>
      </c>
      <c r="C380" s="17" t="s">
        <v>452</v>
      </c>
      <c r="D380" s="16" t="s">
        <v>997</v>
      </c>
      <c r="E380" s="16" t="s">
        <v>23</v>
      </c>
      <c r="F380" s="26">
        <v>3000</v>
      </c>
      <c r="G380" s="16">
        <v>3000</v>
      </c>
      <c r="H380" s="16">
        <v>5000</v>
      </c>
      <c r="I380" s="16" t="s">
        <v>1060</v>
      </c>
      <c r="J380" s="17" t="str">
        <f>VLOOKUP(E380,статьи!$G$2:$H$24,2,TRUE)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80" s="17" t="str">
        <f>VLOOKUP(A380,'компании+описание'!$A$1:$D$438,4,)</f>
        <v>По результатам рассмотрения материалов дела об административном правонарушении № ЦА-34-Гр-25-1085,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Бариновой Анастасии Юрьевне назначено административное наказание в виде штрафа в размере 3 000 рублей. Постановление от 04.03.2025 № 25-1085/3110-1 о назначении административного наказания вступило в законную силу 01.04.2025.</v>
      </c>
    </row>
    <row r="381" spans="1:11" ht="80" x14ac:dyDescent="0.2">
      <c r="A381" s="16">
        <v>374</v>
      </c>
      <c r="B381" s="29">
        <v>45744</v>
      </c>
      <c r="C381" s="17" t="s">
        <v>330</v>
      </c>
      <c r="D381" s="16" t="s">
        <v>996</v>
      </c>
      <c r="E381" s="16" t="s">
        <v>454</v>
      </c>
      <c r="F381" s="26">
        <v>30000</v>
      </c>
      <c r="G381" s="16">
        <v>30000</v>
      </c>
      <c r="H381" s="16">
        <v>50000</v>
      </c>
      <c r="I381" s="16" t="s">
        <v>1060</v>
      </c>
      <c r="J381" s="17" t="e">
        <f>VLOOKUP(E381,статьи!$G$2:$H$24,2,TRUE)</f>
        <v>#N/A</v>
      </c>
      <c r="K381" s="17" t="str">
        <f>VLOOKUP(A381,'компании+описание'!$A$1:$D$438,4,)</f>
        <v>По результатам рассмотрения материалов дела об административном правонарушении № ЦА-44-ЮЛ-25-1526, возбужденного за совершение административного правонарушения, ответственность за которое предусмотрена статьей 14.29 КоАП РФ, АО «Национальное бюро кредитных историй» назначено административное наказание в виде штрафа в размере 30 000 рублей. Постановление о назначении административного наказания вступило в законную силу 28.03.2025.</v>
      </c>
    </row>
    <row r="382" spans="1:11" ht="96" x14ac:dyDescent="0.2">
      <c r="A382" s="16">
        <v>375</v>
      </c>
      <c r="B382" s="29">
        <v>45744</v>
      </c>
      <c r="C382" s="17" t="s">
        <v>455</v>
      </c>
      <c r="D382" s="16" t="s">
        <v>997</v>
      </c>
      <c r="E382" s="16" t="s">
        <v>23</v>
      </c>
      <c r="F382" s="26">
        <v>3000</v>
      </c>
      <c r="G382" s="16">
        <v>3000</v>
      </c>
      <c r="H382" s="16">
        <v>5000</v>
      </c>
      <c r="I382" s="16" t="s">
        <v>1060</v>
      </c>
      <c r="J382" s="17" t="str">
        <f>VLOOKUP(E382,статьи!$G$2:$H$24,2,TRUE)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82" s="17" t="str">
        <f>VLOOKUP(A382,'компании+описание'!$A$1:$D$438,4,)</f>
        <v>По результатам рассмотрения материалов дела об административном правонарушении № ЦА-34-Гр-25-796,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Федину Виталию Юрьевичу назначено административное наказание в виде штрафа в размере 3 000 рублей. Постановление от 24.02.2025 № 25-796/3110-1 о назначении административного наказания вступило в законную силу 28.03.2025.</v>
      </c>
    </row>
    <row r="383" spans="1:11" ht="96" x14ac:dyDescent="0.2">
      <c r="A383" s="16">
        <v>376</v>
      </c>
      <c r="B383" s="29">
        <v>45741</v>
      </c>
      <c r="C383" s="17" t="s">
        <v>457</v>
      </c>
      <c r="D383" s="16" t="s">
        <v>997</v>
      </c>
      <c r="E383" s="16" t="s">
        <v>23</v>
      </c>
      <c r="F383" s="26">
        <v>3000</v>
      </c>
      <c r="G383" s="16">
        <v>3000</v>
      </c>
      <c r="H383" s="16">
        <v>5000</v>
      </c>
      <c r="I383" s="16" t="s">
        <v>1060</v>
      </c>
      <c r="J383" s="17" t="str">
        <f>VLOOKUP(E383,статьи!$G$2:$H$24,2,TRUE)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83" s="17" t="str">
        <f>VLOOKUP(A383,'компании+описание'!$A$1:$D$438,4,)</f>
        <v>По результатам рассмотрения материалов дела об административном правонарушении № ЦА-34-Гр-25-789,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Юшкову Никите Константиновичу назначено административное наказание в виде штрафа в размере 3 000 рублей. Постановление от 24.02.2025 № 25-789/3110-1 о назначении административного наказания вступило в законную силу 25.03.2025.</v>
      </c>
    </row>
    <row r="384" spans="1:11" ht="96" x14ac:dyDescent="0.2">
      <c r="A384" s="16">
        <v>377</v>
      </c>
      <c r="B384" s="29">
        <v>45741</v>
      </c>
      <c r="C384" s="17" t="s">
        <v>458</v>
      </c>
      <c r="D384" s="16" t="s">
        <v>997</v>
      </c>
      <c r="E384" s="16" t="s">
        <v>23</v>
      </c>
      <c r="F384" s="26">
        <v>3000</v>
      </c>
      <c r="G384" s="16">
        <v>3000</v>
      </c>
      <c r="H384" s="16">
        <v>5000</v>
      </c>
      <c r="I384" s="16" t="s">
        <v>1060</v>
      </c>
      <c r="J384" s="17" t="str">
        <f>VLOOKUP(E384,статьи!$G$2:$H$24,2,TRUE)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84" s="17" t="str">
        <f>VLOOKUP(A384,'компании+описание'!$A$1:$D$438,4,)</f>
        <v>По результатам рассмотрения материалов дела об административном правонарушении № ЦА-34-Гр-25-786,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Юшкову Константину Михайловичу назначено административное наказание в виде штрафа в размере 3 000 рублей. Постановление от 24.02.2025 № 25-786/3110-1 о назначении административного наказания вступило в законную силу 25.03.2025.</v>
      </c>
    </row>
    <row r="385" spans="1:11" ht="96" x14ac:dyDescent="0.2">
      <c r="A385" s="16">
        <v>378</v>
      </c>
      <c r="B385" s="29">
        <v>45741</v>
      </c>
      <c r="C385" s="17" t="s">
        <v>459</v>
      </c>
      <c r="D385" s="16" t="s">
        <v>997</v>
      </c>
      <c r="E385" s="16" t="s">
        <v>23</v>
      </c>
      <c r="F385" s="26">
        <v>3000</v>
      </c>
      <c r="G385" s="16">
        <v>3000</v>
      </c>
      <c r="H385" s="16">
        <v>5000</v>
      </c>
      <c r="I385" s="16" t="s">
        <v>1060</v>
      </c>
      <c r="J385" s="17" t="str">
        <f>VLOOKUP(E385,статьи!$G$2:$H$24,2,TRUE)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85" s="17" t="str">
        <f>VLOOKUP(A385,'компании+описание'!$A$1:$D$438,4,)</f>
        <v>По результатам рассмотрения материалов дела об административном правонарушении № ЦА-34-Гр-25-1098,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Коростелеву Андрею Юрьевичу назначено административное наказание в виде штрафа в размере 3 000 рублей. Постановление от 05.03.2025 № 25-1098/3110-1 о назначении административного наказания вступило в законную силу 25.03.2025.</v>
      </c>
    </row>
    <row r="386" spans="1:11" ht="96" x14ac:dyDescent="0.2">
      <c r="A386" s="16">
        <v>379</v>
      </c>
      <c r="B386" s="29">
        <v>45741</v>
      </c>
      <c r="C386" s="17" t="s">
        <v>460</v>
      </c>
      <c r="D386" s="16" t="s">
        <v>997</v>
      </c>
      <c r="E386" s="16" t="s">
        <v>23</v>
      </c>
      <c r="F386" s="26">
        <v>3000</v>
      </c>
      <c r="G386" s="16">
        <v>3000</v>
      </c>
      <c r="H386" s="16">
        <v>5000</v>
      </c>
      <c r="I386" s="16" t="s">
        <v>1060</v>
      </c>
      <c r="J386" s="17" t="str">
        <f>VLOOKUP(E386,статьи!$G$2:$H$24,2,TRUE)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86" s="17" t="str">
        <f>VLOOKUP(A386,'компании+описание'!$A$1:$D$438,4,)</f>
        <v>По результатам рассмотрения материалов дела об административном правонарушении № ЦА-34-Гр-25-1099,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Коростелевой Марине Викторовне назначено административное наказание в виде штрафа в размере 3 000 рублей. Постановление от 05.03.2025 № 25-1099/3110-1 о назначении административного наказания вступило в законную силу 25.03.2025.</v>
      </c>
    </row>
    <row r="387" spans="1:11" ht="80" x14ac:dyDescent="0.2">
      <c r="A387" s="16">
        <v>380</v>
      </c>
      <c r="B387" s="29">
        <v>45741</v>
      </c>
      <c r="C387" s="17" t="s">
        <v>99</v>
      </c>
      <c r="D387" s="16" t="s">
        <v>996</v>
      </c>
      <c r="E387" s="16" t="s">
        <v>8</v>
      </c>
      <c r="F387" s="26">
        <v>300000</v>
      </c>
      <c r="G387" s="16">
        <v>300000</v>
      </c>
      <c r="H387" s="16">
        <v>500000</v>
      </c>
      <c r="I387" s="16" t="s">
        <v>1060</v>
      </c>
      <c r="J387" s="17" t="str">
        <f>VLOOKUP(E387,статьи!$G$2:$H$24,2,TRUE)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87" s="17" t="str">
        <f>VLOOKUP(A387,'компании+описание'!$A$1:$D$438,4,)</f>
        <v>По результатам рассмотрения материалов дела об административном правонарушении № ЦА-38-ЮЛ-25-1302,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«Управляющая компания «Первая» назначено административное наказание в виде штрафа в размере 300 000 рублей. Постановление вступило в законную силу 25.03.2025.</v>
      </c>
    </row>
    <row r="388" spans="1:11" ht="144" x14ac:dyDescent="0.2">
      <c r="A388" s="16">
        <v>381</v>
      </c>
      <c r="B388" s="29">
        <v>45741</v>
      </c>
      <c r="C388" s="17" t="s">
        <v>461</v>
      </c>
      <c r="D388" s="16" t="s">
        <v>996</v>
      </c>
      <c r="E388" s="16" t="s">
        <v>83</v>
      </c>
      <c r="F388" s="26" t="s">
        <v>11</v>
      </c>
      <c r="G388" s="16">
        <v>500000</v>
      </c>
      <c r="H388" s="16">
        <v>700000</v>
      </c>
      <c r="I388" s="16" t="s">
        <v>1062</v>
      </c>
      <c r="J388" s="17" t="str">
        <f>VLOOKUP(E388,статьи!$G$2:$H$24,2,TRUE)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88" s="17" t="str">
        <f>VLOOKUP(A388,'компании+описание'!$A$1:$D$438,4,)</f>
        <v>По результатам рассмотрения материалов дела об административном правонарушении № ЦА-38-ЮЛ-25-1485, возбужденного за совершение административного правонарушения, ответственность за которое предусмотрена частью 2 статьи 15.29 КоАП РФ, КИТ Финанс (Акционерное общество) назначено административное наказание в виде предупреждения. Постановление вступило в законную силу 25.03.2025.По результатам рассмотрения материалов дела об административном правонарушении № ЦА-38-ЮЛ-25-1597, возбужденного за совершение административного правонарушения, ответственность за которое предусмотрена частью 4 статьи 15.19 КоАП РФ, КИТ Финанс (Акционерное общество) назначено административное наказание в виде предупреждения. Постановление вступило в законную силу 25.03.2025.</v>
      </c>
    </row>
    <row r="389" spans="1:11" ht="144" x14ac:dyDescent="0.2">
      <c r="A389" s="16">
        <v>381</v>
      </c>
      <c r="B389" s="29">
        <v>45741</v>
      </c>
      <c r="C389" s="17" t="s">
        <v>461</v>
      </c>
      <c r="D389" s="16" t="s">
        <v>996</v>
      </c>
      <c r="E389" s="16" t="s">
        <v>462</v>
      </c>
      <c r="F389" s="26" t="s">
        <v>11</v>
      </c>
      <c r="G389" s="16">
        <v>300000</v>
      </c>
      <c r="H389" s="16">
        <v>500000</v>
      </c>
      <c r="I389" s="16" t="s">
        <v>1062</v>
      </c>
      <c r="J389" s="17" t="str">
        <f>VLOOKUP(E389,статьи!$G$2:$H$24,2,TRUE)</f>
        <v>4. Нарушение стороной заключенного не на организованных торгах договора репо, договора, являющегося производным финансовым инструментом, договора иного вида, предусмотренного нормативными актами Банка России, установленных федеральным законом и (или) нормативными актами Банка России порядка и (или) сроков предоставления информации об указанных договорах и (или) генеральном соглашении (едином договоре) в репозитарий или Банк России либо предоставление неполной и (или) недостоверной информации</v>
      </c>
      <c r="K389" s="17" t="str">
        <f>VLOOKUP(A389,'компании+описание'!$A$1:$D$438,4,)</f>
        <v>По результатам рассмотрения материалов дела об административном правонарушении № ЦА-38-ЮЛ-25-1485, возбужденного за совершение административного правонарушения, ответственность за которое предусмотрена частью 2 статьи 15.29 КоАП РФ, КИТ Финанс (Акционерное общество) назначено административное наказание в виде предупреждения. Постановление вступило в законную силу 25.03.2025.По результатам рассмотрения материалов дела об административном правонарушении № ЦА-38-ЮЛ-25-1597, возбужденного за совершение административного правонарушения, ответственность за которое предусмотрена частью 4 статьи 15.19 КоАП РФ, КИТ Финанс (Акционерное общество) назначено административное наказание в виде предупреждения. Постановление вступило в законную силу 25.03.2025.</v>
      </c>
    </row>
    <row r="390" spans="1:11" ht="112" x14ac:dyDescent="0.2">
      <c r="A390" s="16">
        <v>382</v>
      </c>
      <c r="B390" s="29">
        <v>45737</v>
      </c>
      <c r="C390" s="17" t="s">
        <v>464</v>
      </c>
      <c r="D390" s="16" t="s">
        <v>996</v>
      </c>
      <c r="E390" s="16" t="s">
        <v>75</v>
      </c>
      <c r="F390" s="26">
        <v>250000</v>
      </c>
      <c r="G390" s="16">
        <v>500000</v>
      </c>
      <c r="H390" s="16">
        <v>700000</v>
      </c>
      <c r="I390" s="16" t="s">
        <v>1061</v>
      </c>
      <c r="J390" s="17" t="str">
        <f>VLOOKUP(E390,статьи!$G$2:$H$24,2,TRUE)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90" s="17" t="str">
        <f>VLOOKUP(A390,'компании+описание'!$A$1:$D$438,4,)</f>
        <v>По результатам рассмотрения материалов дела об административном правонарушении № ЦА-34-ЮЛ-25-1398,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«ПФЛ Новые инвестиции»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06.03.2025 № 25-1398/3110-1 вступило в законную силу 21.03.2025.</v>
      </c>
    </row>
    <row r="391" spans="1:11" ht="96" x14ac:dyDescent="0.2">
      <c r="A391" s="16">
        <v>383</v>
      </c>
      <c r="B391" s="29">
        <v>45737</v>
      </c>
      <c r="C391" s="17" t="s">
        <v>465</v>
      </c>
      <c r="D391" s="16" t="s">
        <v>997</v>
      </c>
      <c r="E391" s="16" t="s">
        <v>23</v>
      </c>
      <c r="F391" s="26">
        <v>3000</v>
      </c>
      <c r="G391" s="16">
        <v>3000</v>
      </c>
      <c r="H391" s="16">
        <v>5000</v>
      </c>
      <c r="I391" s="16" t="s">
        <v>1060</v>
      </c>
      <c r="J391" s="17" t="str">
        <f>VLOOKUP(E391,статьи!$G$2:$H$24,2,TRUE)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91" s="17" t="str">
        <f>VLOOKUP(A391,'компании+описание'!$A$1:$D$438,4,)</f>
        <v>По результатам рассмотрения материалов дела об административном правонарушении № ЦА-34-Гр-25-693, возбужденного за совершение административного правонарушения, ответственность за которое предусмотрена статьей 15.30 КоАП РФ, Черепанову Виталию Ильичу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24.02.2025 № 25-693/3110-1 вступило в законную силу 21.03.2025.</v>
      </c>
    </row>
    <row r="392" spans="1:11" ht="96" x14ac:dyDescent="0.2">
      <c r="A392" s="16">
        <v>384</v>
      </c>
      <c r="B392" s="29">
        <v>45737</v>
      </c>
      <c r="C392" s="17" t="s">
        <v>466</v>
      </c>
      <c r="D392" s="16" t="s">
        <v>997</v>
      </c>
      <c r="E392" s="16" t="s">
        <v>23</v>
      </c>
      <c r="F392" s="26">
        <v>3000</v>
      </c>
      <c r="G392" s="16">
        <v>3000</v>
      </c>
      <c r="H392" s="16">
        <v>5000</v>
      </c>
      <c r="I392" s="16" t="s">
        <v>1060</v>
      </c>
      <c r="J392" s="17" t="str">
        <f>VLOOKUP(E392,статьи!$G$2:$H$24,2,TRUE)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92" s="17" t="str">
        <f>VLOOKUP(A392,'компании+описание'!$A$1:$D$438,4,)</f>
        <v>По результатам рассмотрения материалов дела об административном правонарушении № ЦА-34-Гр-25-328, возбужденного за совершение административного правонарушения, ответственность за которое предусмотрена статьей 15.30 КоАП РФ, Полюбай Юлии Петровне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11.02.2025 № 25-328/3110-1 вступило в законную силу 21.03.2025.</v>
      </c>
    </row>
    <row r="393" spans="1:11" ht="96" x14ac:dyDescent="0.2">
      <c r="A393" s="16">
        <v>385</v>
      </c>
      <c r="B393" s="29">
        <v>45737</v>
      </c>
      <c r="C393" s="17" t="s">
        <v>467</v>
      </c>
      <c r="D393" s="16" t="s">
        <v>997</v>
      </c>
      <c r="E393" s="16" t="s">
        <v>23</v>
      </c>
      <c r="F393" s="26">
        <v>3000</v>
      </c>
      <c r="G393" s="16">
        <v>3000</v>
      </c>
      <c r="H393" s="16">
        <v>5000</v>
      </c>
      <c r="I393" s="16" t="s">
        <v>1060</v>
      </c>
      <c r="J393" s="17" t="str">
        <f>VLOOKUP(E393,статьи!$G$2:$H$24,2,TRUE)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93" s="17" t="str">
        <f>VLOOKUP(A393,'компании+описание'!$A$1:$D$438,4,)</f>
        <v>По результатам рассмотрения материалов дела об административном правонарушении № ЦА-34-Гр-25-324, возбужденного за совершение административного правонарушения, ответственность за которое предусмотрена статьей 15.30 КоАП РФ, Полюбаю Алексею Владимировичу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11.02.2025 № 25-324/3110-1 вступило в законную силу 21.03.2025.</v>
      </c>
    </row>
    <row r="394" spans="1:11" ht="96" x14ac:dyDescent="0.2">
      <c r="A394" s="16">
        <v>387</v>
      </c>
      <c r="B394" s="29">
        <v>45734</v>
      </c>
      <c r="C394" s="17" t="s">
        <v>469</v>
      </c>
      <c r="D394" s="16" t="s">
        <v>996</v>
      </c>
      <c r="E394" s="16" t="s">
        <v>8</v>
      </c>
      <c r="F394" s="26">
        <v>300000</v>
      </c>
      <c r="G394" s="16">
        <v>300000</v>
      </c>
      <c r="H394" s="16">
        <v>500000</v>
      </c>
      <c r="I394" s="16" t="s">
        <v>1060</v>
      </c>
      <c r="J394" s="17" t="str">
        <f>VLOOKUP(E394,статьи!$G$2:$H$24,2,TRUE)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94" s="17" t="str">
        <f>VLOOKUP(A394,'компании+описание'!$A$1:$D$438,4,)</f>
        <v>По результатам рассмотрения материалов дела об административном правонарушении № ЦА-34-ЮЛ-25-1189,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«Инвестиционная компания «Ай Ти Инвест» назначено административное наказание в виде штрафа размером 300 000 (триста тысяч) рублей. Постановление от 03.03.2025 № 25-1189/3110-1 о назначении административного наказания вступило в законную силу 18.03.2025.</v>
      </c>
    </row>
    <row r="395" spans="1:11" ht="160" x14ac:dyDescent="0.2">
      <c r="A395" s="16">
        <v>388</v>
      </c>
      <c r="B395" s="29">
        <v>45734</v>
      </c>
      <c r="C395" s="17" t="s">
        <v>470</v>
      </c>
      <c r="D395" s="16" t="s">
        <v>996</v>
      </c>
      <c r="E395" s="16" t="s">
        <v>5</v>
      </c>
      <c r="F395" s="26">
        <v>700000</v>
      </c>
      <c r="G395" s="16">
        <v>700000</v>
      </c>
      <c r="H395" s="16">
        <v>1000000</v>
      </c>
      <c r="I395" s="16" t="s">
        <v>1060</v>
      </c>
      <c r="J395" s="17" t="str">
        <f>VLOOKUP(E395,статьи!$G$2:$H$24,2,TRUE)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395" s="17" t="str">
        <f>VLOOKUP(A395,'компании+описание'!$A$1:$D$438,4,)</f>
        <v>По результатам рассмотрения материалов дела об административном правонарушении № ЦА-38-ЮЛ-25-964, возбужденного за совершение административного правонарушения, ответственность за которое предусмотрена частью 9 статьи 15.29 КоАП РФ, акционерному обществу «Негосударственный пенсионный фонд «ВЭФ.Русские Фонды» назначено административное наказание в виде штрафа в размере 700 000 рублей. Постановление вступило в законную силу 18.03.2025.По результатам рассмотрения материалов дела об административном правонарушении № ЦА-38-ЮЛ-25-965, возбужденного за совершение административного правонарушения, ответственность за которое предусмотрена частью 9 статьи 15.29 КоАП РФ, акционерному обществу «Негосударственный пенсионный фонд «ВЭФ.Русские Фонды» назначено административное наказание в виде штрафа в размере 700 000 рублей. Постановление вступило в законную силу 18.03.2025.</v>
      </c>
    </row>
    <row r="396" spans="1:11" ht="160" x14ac:dyDescent="0.2">
      <c r="A396" s="16">
        <v>388</v>
      </c>
      <c r="B396" s="29">
        <v>45734</v>
      </c>
      <c r="C396" s="17" t="s">
        <v>470</v>
      </c>
      <c r="D396" s="16" t="s">
        <v>996</v>
      </c>
      <c r="E396" s="16" t="s">
        <v>5</v>
      </c>
      <c r="F396" s="26">
        <v>700000</v>
      </c>
      <c r="G396" s="16">
        <v>700000</v>
      </c>
      <c r="H396" s="16">
        <v>1000000</v>
      </c>
      <c r="I396" s="16" t="s">
        <v>1060</v>
      </c>
      <c r="J396" s="17" t="str">
        <f>VLOOKUP(E396,статьи!$G$2:$H$24,2,TRUE)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396" s="17" t="str">
        <f>VLOOKUP(A396,'компании+описание'!$A$1:$D$438,4,)</f>
        <v>По результатам рассмотрения материалов дела об административном правонарушении № ЦА-38-ЮЛ-25-964, возбужденного за совершение административного правонарушения, ответственность за которое предусмотрена частью 9 статьи 15.29 КоАП РФ, акционерному обществу «Негосударственный пенсионный фонд «ВЭФ.Русские Фонды» назначено административное наказание в виде штрафа в размере 700 000 рублей. Постановление вступило в законную силу 18.03.2025.По результатам рассмотрения материалов дела об административном правонарушении № ЦА-38-ЮЛ-25-965, возбужденного за совершение административного правонарушения, ответственность за которое предусмотрена частью 9 статьи 15.29 КоАП РФ, акционерному обществу «Негосударственный пенсионный фонд «ВЭФ.Русские Фонды» назначено административное наказание в виде штрафа в размере 700 000 рублей. Постановление вступило в законную силу 18.03.2025.</v>
      </c>
    </row>
    <row r="397" spans="1:11" ht="80" x14ac:dyDescent="0.2">
      <c r="A397" s="16">
        <v>389</v>
      </c>
      <c r="B397" s="29">
        <v>45734</v>
      </c>
      <c r="C397" s="17" t="s">
        <v>471</v>
      </c>
      <c r="D397" s="16" t="s">
        <v>996</v>
      </c>
      <c r="E397" s="16" t="s">
        <v>83</v>
      </c>
      <c r="F397" s="26" t="s">
        <v>11</v>
      </c>
      <c r="G397" s="16">
        <v>500000</v>
      </c>
      <c r="H397" s="16">
        <v>700000</v>
      </c>
      <c r="I397" s="16" t="s">
        <v>1062</v>
      </c>
      <c r="J397" s="17" t="str">
        <f>VLOOKUP(E397,статьи!$G$2:$H$24,2,TRUE)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97" s="17" t="str">
        <f>VLOOKUP(A397,'компании+описание'!$A$1:$D$438,4,)</f>
        <v>По результатам рассмотрения материалов дела об административном правонарушении № ЦА-38-ЮЛ-25-769, возбужденного за совершение административного правонарушения, ответственность за которое предусмотрена частью 2 статьи 15.29 КоАП РФ, Обществу с ограниченной ответственностью Инвестиционной компании «Тренд» назначено административное наказание в виде предупреждения. Постановление вступило в законную силу 18.03.2025.</v>
      </c>
    </row>
    <row r="398" spans="1:11" ht="80" x14ac:dyDescent="0.2">
      <c r="A398" s="16">
        <v>390</v>
      </c>
      <c r="B398" s="29">
        <v>45734</v>
      </c>
      <c r="C398" s="17" t="s">
        <v>472</v>
      </c>
      <c r="D398" s="16" t="s">
        <v>996</v>
      </c>
      <c r="E398" s="16" t="s">
        <v>8</v>
      </c>
      <c r="F398" s="26" t="s">
        <v>11</v>
      </c>
      <c r="G398" s="16">
        <v>300000</v>
      </c>
      <c r="H398" s="16">
        <v>500000</v>
      </c>
      <c r="I398" s="16" t="s">
        <v>1062</v>
      </c>
      <c r="J398" s="17" t="str">
        <f>VLOOKUP(E398,статьи!$G$2:$H$24,2,TRUE)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98" s="17" t="str">
        <f>VLOOKUP(A398,'компании+описание'!$A$1:$D$438,4,)</f>
        <v>По результатам рассмотрения материалов дела об административном правонарушении № ЦА-38-ЮЛ-25-768,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«РУССКОЕ ИНВЕСТИЦИОННОЕ ОБЩЕСТВО» назначено административное наказание в виде предупреждения. Постановление вступило в законную силу 18.03.2025.</v>
      </c>
    </row>
    <row r="399" spans="1:11" ht="80" x14ac:dyDescent="0.2">
      <c r="A399" s="16">
        <v>391</v>
      </c>
      <c r="B399" s="29">
        <v>45734</v>
      </c>
      <c r="C399" s="17" t="s">
        <v>473</v>
      </c>
      <c r="D399" s="16" t="s">
        <v>996</v>
      </c>
      <c r="E399" s="16" t="s">
        <v>8</v>
      </c>
      <c r="F399" s="26">
        <v>300000</v>
      </c>
      <c r="G399" s="16">
        <v>300000</v>
      </c>
      <c r="H399" s="16">
        <v>500000</v>
      </c>
      <c r="I399" s="16" t="s">
        <v>1060</v>
      </c>
      <c r="J399" s="17" t="str">
        <f>VLOOKUP(E399,статьи!$G$2:$H$24,2,TRUE)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399" s="17" t="str">
        <f>VLOOKUP(A399,'компании+описание'!$A$1:$D$438,4,)</f>
        <v>По результатам рассмотрения материалов дела об административном правонарушении № ЦА-38-ЮЛ-25-1039, возбужденного за совершение административного правонарушения, ответственность за которое предусмотрена частью 12 статьи 15.29 КоАП РФ, АО "УК МКБ Инвестиции" назначено административное наказание в виде штрафа в размере 300 000 рублей. Постановление вступило в законную силу 18.03.2025.</v>
      </c>
    </row>
    <row r="400" spans="1:11" ht="144" x14ac:dyDescent="0.2">
      <c r="A400" s="16">
        <v>392</v>
      </c>
      <c r="B400" s="29">
        <v>45733</v>
      </c>
      <c r="C400" s="17" t="s">
        <v>301</v>
      </c>
      <c r="D400" s="16" t="s">
        <v>996</v>
      </c>
      <c r="E400" s="16" t="s">
        <v>83</v>
      </c>
      <c r="F400" s="26">
        <v>500000</v>
      </c>
      <c r="G400" s="16">
        <v>500000</v>
      </c>
      <c r="H400" s="16">
        <v>700000</v>
      </c>
      <c r="I400" s="16" t="s">
        <v>1060</v>
      </c>
      <c r="J400" s="17" t="str">
        <f>VLOOKUP(E400,статьи!$G$2:$H$24,2,TRUE)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00" s="17" t="str">
        <f>VLOOKUP(A400,'компании+описание'!$A$1:$D$438,4,)</f>
        <v>По результатам рассмотрения материалов дела об административном правонарушении № ЦА-38-ЮЛ-25-812, возбужденного за совершение административного правонарушения, ответственность за которое предусмотрена частью 2 статьи 15.29 КоАП РФ, Акционерному обществу «ИВА Партнерс» назначено административное наказание в виде штрафа в размере 500 000 рублей. Постановление вступило в законную силу 15.03.2025.По результатам рассмотрения материалов дела об административном правонарушении № ЦА-38-ЮЛ-25-813,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«ИВА Партнерс» назначено административное наказание в виде штрафа в размере 300 000 рублей. Постановление вступило в законную силу 15.03.2025.</v>
      </c>
    </row>
    <row r="401" spans="1:11" ht="144" x14ac:dyDescent="0.2">
      <c r="A401" s="16">
        <v>392</v>
      </c>
      <c r="B401" s="29">
        <v>45733</v>
      </c>
      <c r="C401" s="17" t="s">
        <v>301</v>
      </c>
      <c r="D401" s="16" t="s">
        <v>996</v>
      </c>
      <c r="E401" s="16" t="s">
        <v>8</v>
      </c>
      <c r="F401" s="26">
        <v>300000</v>
      </c>
      <c r="G401" s="16">
        <v>300000</v>
      </c>
      <c r="H401" s="16">
        <v>500000</v>
      </c>
      <c r="I401" s="16" t="s">
        <v>1060</v>
      </c>
      <c r="J401" s="17" t="str">
        <f>VLOOKUP(E401,статьи!$G$2:$H$24,2,TRUE)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01" s="17" t="str">
        <f>VLOOKUP(A401,'компании+описание'!$A$1:$D$438,4,)</f>
        <v>По результатам рассмотрения материалов дела об административном правонарушении № ЦА-38-ЮЛ-25-812, возбужденного за совершение административного правонарушения, ответственность за которое предусмотрена частью 2 статьи 15.29 КоАП РФ, Акционерному обществу «ИВА Партнерс» назначено административное наказание в виде штрафа в размере 500 000 рублей. Постановление вступило в законную силу 15.03.2025.По результатам рассмотрения материалов дела об административном правонарушении № ЦА-38-ЮЛ-25-813,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«ИВА Партнерс» назначено административное наказание в виде штрафа в размере 300 000 рублей. Постановление вступило в законную силу 15.03.2025.</v>
      </c>
    </row>
    <row r="402" spans="1:11" ht="96" x14ac:dyDescent="0.2">
      <c r="A402" s="16">
        <v>393</v>
      </c>
      <c r="B402" s="29">
        <v>45730</v>
      </c>
      <c r="C402" s="17" t="s">
        <v>476</v>
      </c>
      <c r="D402" s="16" t="s">
        <v>997</v>
      </c>
      <c r="E402" s="16" t="s">
        <v>23</v>
      </c>
      <c r="F402" s="26">
        <v>3000</v>
      </c>
      <c r="G402" s="16">
        <v>3000</v>
      </c>
      <c r="H402" s="16">
        <v>5000</v>
      </c>
      <c r="I402" s="16" t="s">
        <v>1060</v>
      </c>
      <c r="J402" s="17" t="str">
        <f>VLOOKUP(E402,статьи!$G$2:$H$24,2,TRUE)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02" s="17" t="str">
        <f>VLOOKUP(A402,'компании+описание'!$A$1:$D$438,4,)</f>
        <v>По результатам рассмотрения материалов дела об административном правонарушении № ЦА-34-Гр-25-195,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Мэй Луизе Алексеевне назначено административное наказание в виде штрафа в размере 3 000 рублей. Постановление от 03.02.2025 № 25-195/3110-1 о назначении административного наказания вступило в законную силу 14.03.2025.</v>
      </c>
    </row>
    <row r="403" spans="1:11" ht="96" x14ac:dyDescent="0.2">
      <c r="A403" s="16">
        <v>394</v>
      </c>
      <c r="B403" s="29">
        <v>45730</v>
      </c>
      <c r="C403" s="17" t="s">
        <v>477</v>
      </c>
      <c r="D403" s="16" t="s">
        <v>997</v>
      </c>
      <c r="E403" s="16" t="s">
        <v>23</v>
      </c>
      <c r="F403" s="26">
        <v>3000</v>
      </c>
      <c r="G403" s="16">
        <v>3000</v>
      </c>
      <c r="H403" s="16">
        <v>5000</v>
      </c>
      <c r="I403" s="16" t="s">
        <v>1060</v>
      </c>
      <c r="J403" s="17" t="str">
        <f>VLOOKUP(E403,статьи!$G$2:$H$24,2,TRUE)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03" s="17" t="str">
        <f>VLOOKUP(A403,'компании+описание'!$A$1:$D$438,4,)</f>
        <v>По результатам рассмотрения материалов дела об административном правонарушении № ЦА-34-Гр-25-395,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Смирнову Дмитрию Федоровичу назначено административное наказание в виде штрафа в размере 3 000 рублей. Постановление от 12.02.2025 № 25-395/3110-1 о назначении административного наказания вступило в законную силу 14.03.2025.</v>
      </c>
    </row>
    <row r="404" spans="1:11" ht="96" x14ac:dyDescent="0.2">
      <c r="A404" s="16">
        <v>395</v>
      </c>
      <c r="B404" s="29">
        <v>45730</v>
      </c>
      <c r="C404" s="17" t="s">
        <v>478</v>
      </c>
      <c r="D404" s="16" t="s">
        <v>997</v>
      </c>
      <c r="E404" s="16" t="s">
        <v>23</v>
      </c>
      <c r="F404" s="26">
        <v>3000</v>
      </c>
      <c r="G404" s="16">
        <v>3000</v>
      </c>
      <c r="H404" s="16">
        <v>5000</v>
      </c>
      <c r="I404" s="16" t="s">
        <v>1060</v>
      </c>
      <c r="J404" s="17" t="str">
        <f>VLOOKUP(E404,статьи!$G$2:$H$24,2,TRUE)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04" s="17" t="str">
        <f>VLOOKUP(A404,'компании+описание'!$A$1:$D$438,4,)</f>
        <v>По результатам рассмотрения материалов дела об административном правонарушении № ЦА-34-Гр-25-330,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Уланову Петру Петровичу назначено административное наказание в виде штрафа в размере 3 000 рублей. Постановление от 11.02.2025 № 25-330/3110-1 о назначении административного наказания вступило в законную силу 14.03.2025.</v>
      </c>
    </row>
    <row r="405" spans="1:11" ht="144" x14ac:dyDescent="0.2">
      <c r="A405" s="16">
        <v>396</v>
      </c>
      <c r="B405" s="29">
        <v>45730</v>
      </c>
      <c r="C405" s="17" t="s">
        <v>126</v>
      </c>
      <c r="D405" s="16" t="s">
        <v>996</v>
      </c>
      <c r="E405" s="16" t="s">
        <v>5</v>
      </c>
      <c r="F405" s="26" t="s">
        <v>11</v>
      </c>
      <c r="G405" s="16">
        <v>700000</v>
      </c>
      <c r="H405" s="16">
        <v>1000000</v>
      </c>
      <c r="I405" s="16" t="s">
        <v>1062</v>
      </c>
      <c r="J405" s="17" t="str">
        <f>VLOOKUP(E405,статьи!$G$2:$H$24,2,TRUE)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405" s="17" t="str">
        <f>VLOOKUP(A405,'компании+описание'!$A$1:$D$438,4,)</f>
        <v>По результатам рассмотрения материалов дела об административном правонарушении № ЦА-38-ЮЛ-25-400, возбужденного за совершение административного правонарушения, ответственность за которое предусмотрена частью 9 статьи 15.29 КоАП РФ, Акционерному обществу «Негосударственный пенсионный фонд «БЛАГОСОСТОЯНИЕ» назначено административное наказание в виде предупреждения. Постановление вступило в законную силу 14.03.2025.</v>
      </c>
    </row>
    <row r="406" spans="1:11" ht="96" x14ac:dyDescent="0.2">
      <c r="A406" s="16">
        <v>397</v>
      </c>
      <c r="B406" s="29">
        <v>45727</v>
      </c>
      <c r="C406" s="17" t="s">
        <v>480</v>
      </c>
      <c r="D406" s="16" t="s">
        <v>997</v>
      </c>
      <c r="E406" s="16" t="s">
        <v>23</v>
      </c>
      <c r="F406" s="26">
        <v>3000</v>
      </c>
      <c r="G406" s="16">
        <v>3000</v>
      </c>
      <c r="H406" s="16">
        <v>5000</v>
      </c>
      <c r="I406" s="16" t="s">
        <v>1060</v>
      </c>
      <c r="J406" s="17" t="str">
        <f>VLOOKUP(E406,статьи!$G$2:$H$24,2,TRUE)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06" s="17" t="str">
        <f>VLOOKUP(A406,'компании+описание'!$A$1:$D$438,4,)</f>
        <v>По результатам рассмотрения материалов дела об административном правонарушении № ЦА-34-Гр-25-563,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Оняновой Виктории Александровне назначено административное наказание в виде штрафа в размере 3 000 рублей. Постановление от 19.02.2025 № 25-563/3110-1 о назначении административного наказания вступило в законную силу 11.03.2025.</v>
      </c>
    </row>
    <row r="407" spans="1:11" ht="96" x14ac:dyDescent="0.2">
      <c r="A407" s="16">
        <v>398</v>
      </c>
      <c r="B407" s="29">
        <v>45727</v>
      </c>
      <c r="C407" s="17" t="s">
        <v>481</v>
      </c>
      <c r="D407" s="16" t="s">
        <v>997</v>
      </c>
      <c r="E407" s="16" t="s">
        <v>23</v>
      </c>
      <c r="F407" s="26">
        <v>3000</v>
      </c>
      <c r="G407" s="16">
        <v>3000</v>
      </c>
      <c r="H407" s="16">
        <v>5000</v>
      </c>
      <c r="I407" s="16" t="s">
        <v>1060</v>
      </c>
      <c r="J407" s="17" t="str">
        <f>VLOOKUP(E407,статьи!$G$2:$H$24,2,TRUE)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07" s="17" t="str">
        <f>VLOOKUP(A407,'компании+описание'!$A$1:$D$438,4,)</f>
        <v>По результатам рассмотрения материалов дела об административном правонарушении № ЦА-34-Гр-25-479,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Триголос Екатерине Александровне назначено административное наказание в виде штрафа в размере 3 000 рублей. Постановление от 18.02.2025 № 25-479/3110-1 о назначении административного наказания вступило в законную силу 11.03.2025.</v>
      </c>
    </row>
    <row r="408" spans="1:11" ht="96" x14ac:dyDescent="0.2">
      <c r="A408" s="16">
        <v>399</v>
      </c>
      <c r="B408" s="29">
        <v>45727</v>
      </c>
      <c r="C408" s="17" t="s">
        <v>482</v>
      </c>
      <c r="D408" s="16" t="s">
        <v>997</v>
      </c>
      <c r="E408" s="16" t="s">
        <v>23</v>
      </c>
      <c r="F408" s="26">
        <v>3000</v>
      </c>
      <c r="G408" s="16">
        <v>3000</v>
      </c>
      <c r="H408" s="16">
        <v>5000</v>
      </c>
      <c r="I408" s="16" t="s">
        <v>1060</v>
      </c>
      <c r="J408" s="17" t="str">
        <f>VLOOKUP(E408,статьи!$G$2:$H$24,2,TRUE)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08" s="17" t="str">
        <f>VLOOKUP(A408,'компании+описание'!$A$1:$D$438,4,)</f>
        <v>По результатам рассмотрения материалов дела об административном правонарушении № ЦА-34-Гр-25-475,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Триголосу Павлу Ивановичу назначено административное наказание в виде штрафа в размере 3 000 рублей. Постановление от 18.02.2025 № 25-475/3110-1 о назначении административного наказания вступило в законную силу 11.03.2025.</v>
      </c>
    </row>
    <row r="409" spans="1:11" ht="96" x14ac:dyDescent="0.2">
      <c r="A409" s="16">
        <v>400</v>
      </c>
      <c r="B409" s="29">
        <v>45726</v>
      </c>
      <c r="C409" s="17" t="s">
        <v>484</v>
      </c>
      <c r="D409" s="16" t="s">
        <v>997</v>
      </c>
      <c r="E409" s="16" t="s">
        <v>23</v>
      </c>
      <c r="F409" s="26">
        <v>3000</v>
      </c>
      <c r="G409" s="16">
        <v>3000</v>
      </c>
      <c r="H409" s="16">
        <v>5000</v>
      </c>
      <c r="I409" s="16" t="s">
        <v>1060</v>
      </c>
      <c r="J409" s="17" t="str">
        <f>VLOOKUP(E409,статьи!$G$2:$H$24,2,TRUE)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09" s="17" t="str">
        <f>VLOOKUP(A409,'компании+описание'!$A$1:$D$438,4,)</f>
        <v>По результатам рассмотрения материалов дела об административном правонарушении № ЦА-34-Гр-25-562,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Мясникову Александру Валерьевичу назначено административное наказание в виде штрафа в размере 3 000 рублей. Постановление от 19.02.2025 № 25-562/3110-1 о назначении административного наказания вступило в законную силу 08.03.2025.</v>
      </c>
    </row>
    <row r="410" spans="1:11" ht="80" x14ac:dyDescent="0.2">
      <c r="A410" s="16">
        <v>401</v>
      </c>
      <c r="B410" s="29">
        <v>45726</v>
      </c>
      <c r="C410" s="17" t="s">
        <v>485</v>
      </c>
      <c r="D410" s="16" t="s">
        <v>996</v>
      </c>
      <c r="E410" s="16" t="s">
        <v>8</v>
      </c>
      <c r="F410" s="26" t="s">
        <v>11</v>
      </c>
      <c r="G410" s="16">
        <v>300000</v>
      </c>
      <c r="H410" s="16">
        <v>500000</v>
      </c>
      <c r="I410" s="16" t="s">
        <v>1062</v>
      </c>
      <c r="J410" s="17" t="str">
        <f>VLOOKUP(E410,статьи!$G$2:$H$24,2,TRUE)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10" s="17" t="str">
        <f>VLOOKUP(A410,'компании+описание'!$A$1:$D$438,4,)</f>
        <v>По результатам рассмотрения материалов дела об административном правонарушении № ЦА-38-ЮЛ-25-512,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«Управляющая компания «Формула инвестиций» назначено административное наказание в виде предупреждения. Постановление вступило в законную силу 08.03.2025.</v>
      </c>
    </row>
    <row r="411" spans="1:11" ht="80" x14ac:dyDescent="0.2">
      <c r="A411" s="16">
        <v>402</v>
      </c>
      <c r="B411" s="29">
        <v>45726</v>
      </c>
      <c r="C411" s="17" t="s">
        <v>486</v>
      </c>
      <c r="D411" s="16" t="s">
        <v>996</v>
      </c>
      <c r="E411" s="16" t="s">
        <v>487</v>
      </c>
      <c r="F411" s="26">
        <v>100000</v>
      </c>
      <c r="G411" s="16">
        <v>200000</v>
      </c>
      <c r="H411" s="16">
        <v>300000</v>
      </c>
      <c r="I411" s="16" t="s">
        <v>1061</v>
      </c>
      <c r="J411" s="17" t="str">
        <f>VLOOKUP(E411,статьи!$G$2:$H$24,2,TRUE)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11" s="17" t="str">
        <f>VLOOKUP(A411,'компании+описание'!$A$1:$D$438,4,)</f>
        <v>По результатам рассмотрения материалов дела об административном правонарушении № ЦА-38-ЮЛ-25-502, возбужденного за совершение административного правонарушения, ответственность за которое предусмотрена частью 1 статьи 13.25 КоАП РФ, Обществу с ограниченной ответственностью «Финплан» назначено административное наказание в виде штрафа в размере 100 000 рублей. Постановление вступило в законную силу 08.03.2025.</v>
      </c>
    </row>
    <row r="412" spans="1:11" ht="144" x14ac:dyDescent="0.2">
      <c r="A412" s="16">
        <v>403</v>
      </c>
      <c r="B412" s="29">
        <v>45720</v>
      </c>
      <c r="C412" s="17" t="s">
        <v>489</v>
      </c>
      <c r="D412" s="16" t="s">
        <v>996</v>
      </c>
      <c r="E412" s="16" t="s">
        <v>5</v>
      </c>
      <c r="F412" s="26" t="s">
        <v>11</v>
      </c>
      <c r="G412" s="16">
        <v>700000</v>
      </c>
      <c r="H412" s="16">
        <v>1000000</v>
      </c>
      <c r="I412" s="16" t="s">
        <v>1062</v>
      </c>
      <c r="J412" s="17" t="str">
        <f>VLOOKUP(E412,статьи!$G$2:$H$24,2,TRUE)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412" s="17" t="str">
        <f>VLOOKUP(A412,'компании+описание'!$A$1:$D$438,4,)</f>
        <v>По результатам рассмотрения материалов дела об административном правонарушении № ЦА-38-ЮЛ-25-510 возбужденного за совершение административного правонарушения, ответственность за которое предусмотрена частью 9 статьи 15.29 КоАП РФ, ООО "РОНИН" назначено административное наказание в виде предупреждения. Постановление вступило в законную силу 04.03.2025.</v>
      </c>
    </row>
    <row r="413" spans="1:11" ht="96" x14ac:dyDescent="0.2">
      <c r="A413" s="16">
        <v>404</v>
      </c>
      <c r="B413" s="29">
        <v>45719</v>
      </c>
      <c r="C413" s="17" t="s">
        <v>491</v>
      </c>
      <c r="D413" s="16" t="s">
        <v>997</v>
      </c>
      <c r="E413" s="16" t="s">
        <v>23</v>
      </c>
      <c r="F413" s="26">
        <v>3000</v>
      </c>
      <c r="G413" s="16">
        <v>3000</v>
      </c>
      <c r="H413" s="16">
        <v>5000</v>
      </c>
      <c r="I413" s="16" t="s">
        <v>1060</v>
      </c>
      <c r="J413" s="17" t="str">
        <f>VLOOKUP(E413,статьи!$G$2:$H$24,2,TRUE)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13" s="17" t="str">
        <f>VLOOKUP(A413,'компании+описание'!$A$1:$D$438,4,)</f>
        <v>По результатам рассмотрения материалов дела об административном правонарушении № ЦА-34-Гр-25-399,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Смирновой Ксении Евгеньевне назначено административное наказание в виде штрафа в размере 3 000 рублей. Постановление от 12.02.2025 № 25-399/3110-1 о назначении административного наказания вступило в законную силу 01.03.2025.</v>
      </c>
    </row>
    <row r="414" spans="1:11" ht="80" x14ac:dyDescent="0.2">
      <c r="A414" s="16">
        <v>405</v>
      </c>
      <c r="B414" s="29">
        <v>45716</v>
      </c>
      <c r="C414" s="17" t="s">
        <v>85</v>
      </c>
      <c r="D414" s="16" t="s">
        <v>996</v>
      </c>
      <c r="E414" s="16" t="s">
        <v>80</v>
      </c>
      <c r="F414" s="26">
        <v>700000</v>
      </c>
      <c r="G414" s="16">
        <v>700000</v>
      </c>
      <c r="H414" s="16">
        <v>1000000</v>
      </c>
      <c r="I414" s="16" t="s">
        <v>1060</v>
      </c>
      <c r="J414" s="17" t="str">
        <f>VLOOKUP(E414,статьи!$G$2:$H$24,2,TRUE)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14" s="17" t="str">
        <f>VLOOKUP(A414,'компании+описание'!$A$1:$D$438,4,)</f>
        <v>По результатам рассмотрения материалов дела об административном правонарушении № ЦА-38-ЮЛ-25-288, возбужденного за совершение административного правонарушения, ответственность за которое предусмотрена частью 2 статьи 15.19 КоАП РФ, Обществу с ограниченной ответственностью «РСХБ Управление Активами» назначено административное наказание в виде штрафа в размере 700 000 рублей. Постановление вступило в законную силу 28.02.2025.</v>
      </c>
    </row>
    <row r="415" spans="1:11" ht="96" x14ac:dyDescent="0.2">
      <c r="A415" s="16">
        <v>406</v>
      </c>
      <c r="B415" s="29">
        <v>45716</v>
      </c>
      <c r="C415" s="17" t="s">
        <v>493</v>
      </c>
      <c r="D415" s="16" t="s">
        <v>997</v>
      </c>
      <c r="E415" s="16" t="s">
        <v>23</v>
      </c>
      <c r="F415" s="26">
        <v>3000</v>
      </c>
      <c r="G415" s="16">
        <v>3000</v>
      </c>
      <c r="H415" s="16">
        <v>5000</v>
      </c>
      <c r="I415" s="16" t="s">
        <v>1060</v>
      </c>
      <c r="J415" s="17" t="str">
        <f>VLOOKUP(E415,статьи!$G$2:$H$24,2,TRUE)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15" s="17" t="str">
        <f>VLOOKUP(A415,'компании+описание'!$A$1:$D$438,4,)</f>
        <v>По результатам рассмотрения материалов дела об административном правонарушении № ЦА-34-Гр-25-238, возбужденного за совершение административного правонарушения, ответственность за которое предусмотрена статьей 15.30 КоАП РФ, Лядову Василию Рюриковичу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05.02.2025 № 25-238/3110-1 вступило в законную силу 28.02.2025.</v>
      </c>
    </row>
    <row r="416" spans="1:11" ht="112" x14ac:dyDescent="0.2">
      <c r="A416" s="16">
        <v>407</v>
      </c>
      <c r="B416" s="29">
        <v>45713</v>
      </c>
      <c r="C416" s="17" t="s">
        <v>464</v>
      </c>
      <c r="D416" s="16" t="s">
        <v>996</v>
      </c>
      <c r="E416" s="16" t="s">
        <v>75</v>
      </c>
      <c r="F416" s="26">
        <v>250000</v>
      </c>
      <c r="G416" s="16">
        <v>500000</v>
      </c>
      <c r="H416" s="16">
        <v>700000</v>
      </c>
      <c r="I416" s="16" t="s">
        <v>1061</v>
      </c>
      <c r="J416" s="17" t="str">
        <f>VLOOKUP(E416,статьи!$G$2:$H$24,2,TRUE)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16" s="17" t="str">
        <f>VLOOKUP(A416,'компании+описание'!$A$1:$D$438,4,)</f>
        <v>По результатам рассмотрения материалов дела об административном правонарушении № ЦА-34-ЮЛ-25-496,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«ПФЛ НОВЫЕ ИНВЕСТИЦИИ»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11.02.2025 № 25-496/3110-1 вступило в законную силу 25.02.2025.</v>
      </c>
    </row>
    <row r="417" spans="1:11" ht="80" x14ac:dyDescent="0.2">
      <c r="A417" s="16">
        <v>408</v>
      </c>
      <c r="B417" s="29">
        <v>45713</v>
      </c>
      <c r="C417" s="17" t="s">
        <v>494</v>
      </c>
      <c r="D417" s="16" t="s">
        <v>996</v>
      </c>
      <c r="E417" s="16" t="s">
        <v>83</v>
      </c>
      <c r="F417" s="26" t="s">
        <v>11</v>
      </c>
      <c r="G417" s="16">
        <v>500000</v>
      </c>
      <c r="H417" s="16">
        <v>700000</v>
      </c>
      <c r="I417" s="16" t="s">
        <v>1062</v>
      </c>
      <c r="J417" s="17" t="str">
        <f>VLOOKUP(E417,статьи!$G$2:$H$24,2,TRUE)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17" s="17" t="str">
        <f>VLOOKUP(A417,'компании+описание'!$A$1:$D$438,4,)</f>
        <v>По результатам рассмотрения материалов дела об административном правонарушении № ЦА-38-ЮЛ-25-340, возбужденного за совершение административного правонарушения, ответственность за которое предусмотрена частью 2 статьи 15.29 КоАП РФ, Обществу с ограниченной ответственностью «Инвестиционная компания «Айгенис» назначено административное наказание в виде предупреждения. Постановление вступило в законную силу 25.02.2025.</v>
      </c>
    </row>
    <row r="418" spans="1:11" ht="96" x14ac:dyDescent="0.2">
      <c r="A418" s="16">
        <v>409</v>
      </c>
      <c r="B418" s="29">
        <v>45713</v>
      </c>
      <c r="C418" s="17" t="s">
        <v>495</v>
      </c>
      <c r="D418" s="16" t="s">
        <v>997</v>
      </c>
      <c r="E418" s="16" t="s">
        <v>23</v>
      </c>
      <c r="F418" s="26">
        <v>3000</v>
      </c>
      <c r="G418" s="16">
        <v>3000</v>
      </c>
      <c r="H418" s="16">
        <v>5000</v>
      </c>
      <c r="I418" s="16" t="s">
        <v>1060</v>
      </c>
      <c r="J418" s="17" t="str">
        <f>VLOOKUP(E418,статьи!$G$2:$H$24,2,TRUE)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18" s="17" t="str">
        <f>VLOOKUP(A418,'компании+описание'!$A$1:$D$438,4,)</f>
        <v>По результатам рассмотрения материалов дела об административном правонарушении № ЦА-34-Гр-25-197,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Усакову Евгению Игоревичу назначено административное наказание в виде штрафа в размере 3 000 рублей. Постановление от 03.02.2025 № 25-197/3110-1 о назначении административного наказания вступило в законную силу 25.02.2025.</v>
      </c>
    </row>
    <row r="419" spans="1:11" ht="80" x14ac:dyDescent="0.2">
      <c r="A419" s="16">
        <v>410</v>
      </c>
      <c r="B419" s="29">
        <v>45713</v>
      </c>
      <c r="C419" s="17" t="s">
        <v>414</v>
      </c>
      <c r="D419" s="16" t="s">
        <v>996</v>
      </c>
      <c r="E419" s="16" t="s">
        <v>8</v>
      </c>
      <c r="F419" s="26">
        <v>300000</v>
      </c>
      <c r="G419" s="16">
        <v>300000</v>
      </c>
      <c r="H419" s="16">
        <v>500000</v>
      </c>
      <c r="I419" s="16" t="s">
        <v>1060</v>
      </c>
      <c r="J419" s="17" t="str">
        <f>VLOOKUP(E419,статьи!$G$2:$H$24,2,TRUE)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19" s="17" t="str">
        <f>VLOOKUP(A419,'компании+описание'!$A$1:$D$438,4,)</f>
        <v>По результатам рассмотрения материалов дела об административном правонарушении № ЦА-38-ЮЛ-25-358,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«Управляющая компания «АЛЬФА-КАПИТАЛ» назначено административное наказание в виде штрафа в размере 300 000 рублей. Постановление вступило в законную силу 25.02.2025.</v>
      </c>
    </row>
    <row r="420" spans="1:11" ht="80" x14ac:dyDescent="0.2">
      <c r="A420" s="16">
        <v>411</v>
      </c>
      <c r="B420" s="29">
        <v>45712</v>
      </c>
      <c r="C420" s="17" t="s">
        <v>84</v>
      </c>
      <c r="D420" s="16" t="s">
        <v>996</v>
      </c>
      <c r="E420" s="16" t="s">
        <v>80</v>
      </c>
      <c r="F420" s="26">
        <v>700000</v>
      </c>
      <c r="G420" s="16">
        <v>700000</v>
      </c>
      <c r="H420" s="16">
        <v>1000000</v>
      </c>
      <c r="I420" s="16" t="s">
        <v>1060</v>
      </c>
      <c r="J420" s="17" t="str">
        <f>VLOOKUP(E420,статьи!$G$2:$H$24,2,TRUE)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20" s="17" t="str">
        <f>VLOOKUP(A420,'компании+описание'!$A$1:$D$438,4,)</f>
        <v>По результатам рассмотрения материалов дела об административном правонарушении № ЦА-38-ЮЛ-25-256, возбужденного за совершение административного правонарушения, ответственность за которое предусмотрена частью 2 статьи 15.19 КоАП РФ, обществу с ограниченной ответственностью «Т-Капитал» назначено административное наказание в виде штрафа в размере 700 000 рублей. Постановление вступило в законную силу 22.02.2025.</v>
      </c>
    </row>
    <row r="421" spans="1:11" ht="80" x14ac:dyDescent="0.2">
      <c r="A421" s="16">
        <v>412</v>
      </c>
      <c r="B421" s="29">
        <v>45712</v>
      </c>
      <c r="C421" s="17" t="s">
        <v>435</v>
      </c>
      <c r="D421" s="16" t="s">
        <v>996</v>
      </c>
      <c r="E421" s="16" t="s">
        <v>8</v>
      </c>
      <c r="F421" s="26">
        <v>300000</v>
      </c>
      <c r="G421" s="16">
        <v>300000</v>
      </c>
      <c r="H421" s="16">
        <v>500000</v>
      </c>
      <c r="I421" s="16" t="s">
        <v>1060</v>
      </c>
      <c r="J421" s="17" t="str">
        <f>VLOOKUP(E421,статьи!$G$2:$H$24,2,TRUE)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21" s="17" t="str">
        <f>VLOOKUP(A421,'компании+описание'!$A$1:$D$438,4,)</f>
        <v>По результатам рассмотрения материалов дела об административном правонарушении № ЦА-38-ЮЛ-25-216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«Управляющая компания «ТРАНСФИНГРУП» назначено административное наказание в виде штрафа в размере 300 000 рублей. Постановление вступило в законную силу 22.02.2025.</v>
      </c>
    </row>
    <row r="422" spans="1:11" ht="144" x14ac:dyDescent="0.2">
      <c r="A422" s="16">
        <v>413</v>
      </c>
      <c r="B422" s="29">
        <v>45709</v>
      </c>
      <c r="C422" s="17" t="s">
        <v>369</v>
      </c>
      <c r="D422" s="16" t="s">
        <v>996</v>
      </c>
      <c r="E422" s="16" t="s">
        <v>72</v>
      </c>
      <c r="F422" s="26">
        <v>250000</v>
      </c>
      <c r="G422" s="16">
        <v>500000</v>
      </c>
      <c r="H422" s="16">
        <v>700000</v>
      </c>
      <c r="I422" s="16" t="s">
        <v>1061</v>
      </c>
      <c r="J422" s="17" t="str">
        <f>VLOOKUP(E422,статьи!$G$2:$H$24,2,TRUE)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422" s="17" t="str">
        <f>VLOOKUP(A422,'компании+описание'!$A$1:$D$438,4,)</f>
        <v>По результатам рассмотрения материалов дела об административном правонарушении № ЦА-34-ЮЛ-25-292,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«ЛЭНДЭР-ИНВЕСТ»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06.02.2025 № 25-292/3110-1 вступило в законную силу 21.02.2025.</v>
      </c>
    </row>
    <row r="423" spans="1:11" ht="96" x14ac:dyDescent="0.2">
      <c r="A423" s="16">
        <v>414</v>
      </c>
      <c r="B423" s="29">
        <v>45709</v>
      </c>
      <c r="C423" s="17" t="s">
        <v>498</v>
      </c>
      <c r="D423" s="16" t="s">
        <v>997</v>
      </c>
      <c r="E423" s="16" t="s">
        <v>23</v>
      </c>
      <c r="F423" s="26">
        <v>3000</v>
      </c>
      <c r="G423" s="16">
        <v>3000</v>
      </c>
      <c r="H423" s="16">
        <v>5000</v>
      </c>
      <c r="I423" s="16" t="s">
        <v>1060</v>
      </c>
      <c r="J423" s="17" t="str">
        <f>VLOOKUP(E423,статьи!$G$2:$H$24,2,TRUE)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23" s="17" t="str">
        <f>VLOOKUP(A423,'компании+описание'!$A$1:$D$438,4,)</f>
        <v>По результатам рассмотрения материалов дела об административном правонарушении № ЦА-34-Гр-25-240,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Перетрухиной Элине Владимировне назначено административное наказание в виде штрафа в размере 3 000 рублей. Постановление от 05.02.2025 № 25-240/3110-1 о назначении административного наказания вступило в законную силу 21.02.2025.</v>
      </c>
    </row>
    <row r="424" spans="1:11" ht="144" x14ac:dyDescent="0.2">
      <c r="A424" s="16">
        <v>415</v>
      </c>
      <c r="B424" s="29">
        <v>45706</v>
      </c>
      <c r="C424" s="17" t="s">
        <v>307</v>
      </c>
      <c r="D424" s="16" t="s">
        <v>996</v>
      </c>
      <c r="E424" s="16" t="s">
        <v>108</v>
      </c>
      <c r="F424" s="26">
        <v>500000</v>
      </c>
      <c r="G424" s="16">
        <v>500000</v>
      </c>
      <c r="H424" s="16">
        <v>700000</v>
      </c>
      <c r="I424" s="16" t="s">
        <v>1060</v>
      </c>
      <c r="J424" s="17" t="str">
        <f>VLOOKUP(E424,статьи!$G$2:$H$24,2,TRUE)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424" s="17" t="str">
        <f>VLOOKUP(A424,'компании+описание'!$A$1:$D$438,4,)</f>
        <v>По результатам рассмотрения материалов дела об административном правонарушении № ЦА-34-ЮЛ-25-252, возбужденного за совершение административного правонарушения, ответственность за которое предусмотрена частью 7 статьи 15.29 КоАП РФ, закрытому акционерному обществу «Первый Специализированный Депозитарий» назначено административное наказание в виде штрафа размером 500 000 (пятьсот тысяч) рублей. Постановление от 04.02.2025 № 25-252/3110-1 о назначении административного наказания вступило в законную силу 18.02.2025.</v>
      </c>
    </row>
    <row r="425" spans="1:11" ht="160" x14ac:dyDescent="0.2">
      <c r="A425" s="16">
        <v>416</v>
      </c>
      <c r="B425" s="29">
        <v>45706</v>
      </c>
      <c r="C425" s="17" t="s">
        <v>85</v>
      </c>
      <c r="D425" s="16" t="s">
        <v>996</v>
      </c>
      <c r="E425" s="16" t="s">
        <v>18</v>
      </c>
      <c r="F425" s="26">
        <v>500000</v>
      </c>
      <c r="G425" s="16">
        <v>500000</v>
      </c>
      <c r="H425" s="16">
        <v>700000</v>
      </c>
      <c r="I425" s="16" t="s">
        <v>1060</v>
      </c>
      <c r="J425" s="17" t="str">
        <f>VLOOKUP(E425,статьи!$G$2:$H$24,2,TRUE)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425" s="17" t="str">
        <f>VLOOKUP(A425,'компании+описание'!$A$1:$D$438,4,)</f>
        <v>По результатам рассмотрения материалов дела об административном правонарушении № ЦА-38-ЮЛ-25-17, возбужденного за совершение административного правонарушения, ответственность за которое предусмотрена частью 5 статьи 15.29 КоАП РФ, Обществу с ограниченной ответственностью «РСХБ Управление Активами» назначено административное наказание в виде штрафа в размере 500 000 рублей. Постановление вступило в законную силу 18.02.2025.По результатам рассмотрения материалов дела об административном правонарушении № ЦА-38-ЮЛ-25-30,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«РСХБ Управление Активами» назначено административное наказание в виде штрафа в размере 700 000 рублей. Постановление вступило в законную силу 18.02.2025.</v>
      </c>
    </row>
    <row r="426" spans="1:11" ht="160" x14ac:dyDescent="0.2">
      <c r="A426" s="16">
        <v>416</v>
      </c>
      <c r="B426" s="29">
        <v>45706</v>
      </c>
      <c r="C426" s="17" t="s">
        <v>85</v>
      </c>
      <c r="D426" s="16" t="s">
        <v>996</v>
      </c>
      <c r="E426" s="16" t="s">
        <v>5</v>
      </c>
      <c r="F426" s="26">
        <v>700000</v>
      </c>
      <c r="G426" s="16">
        <v>700000</v>
      </c>
      <c r="H426" s="16">
        <v>1000000</v>
      </c>
      <c r="I426" s="16" t="s">
        <v>1060</v>
      </c>
      <c r="J426" s="17" t="str">
        <f>VLOOKUP(E426,статьи!$G$2:$H$24,2,TRUE)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426" s="17" t="str">
        <f>VLOOKUP(A426,'компании+описание'!$A$1:$D$438,4,)</f>
        <v>По результатам рассмотрения материалов дела об административном правонарушении № ЦА-38-ЮЛ-25-17, возбужденного за совершение административного правонарушения, ответственность за которое предусмотрена частью 5 статьи 15.29 КоАП РФ, Обществу с ограниченной ответственностью «РСХБ Управление Активами» назначено административное наказание в виде штрафа в размере 500 000 рублей. Постановление вступило в законную силу 18.02.2025.По результатам рассмотрения материалов дела об административном правонарушении № ЦА-38-ЮЛ-25-30,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«РСХБ Управление Активами» назначено административное наказание в виде штрафа в размере 700 000 рублей. Постановление вступило в законную силу 18.02.2025.</v>
      </c>
    </row>
    <row r="427" spans="1:11" ht="80" x14ac:dyDescent="0.2">
      <c r="A427" s="16">
        <v>417</v>
      </c>
      <c r="B427" s="29">
        <v>45706</v>
      </c>
      <c r="C427" s="17" t="s">
        <v>500</v>
      </c>
      <c r="D427" s="16" t="s">
        <v>996</v>
      </c>
      <c r="E427" s="16" t="s">
        <v>8</v>
      </c>
      <c r="F427" s="26">
        <v>300000</v>
      </c>
      <c r="G427" s="16">
        <v>300000</v>
      </c>
      <c r="H427" s="16">
        <v>500000</v>
      </c>
      <c r="I427" s="16" t="s">
        <v>1060</v>
      </c>
      <c r="J427" s="17" t="str">
        <f>VLOOKUP(E427,статьи!$G$2:$H$24,2,TRUE)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27" s="17" t="str">
        <f>VLOOKUP(A427,'компании+описание'!$A$1:$D$438,4,)</f>
        <v>По результатам рассмотрения материалов дела об административном правонарушении № ЦА-38-ЮЛ-25-182, возбужденного за совершение административного правонарушения, ответственность за которое предусмотрена частью 12 статьи 15.29 КоАП РФ, «Газпромбанк» (Акционерное общество) назначено административное наказание в виде штрафа в размере 300 000 рублей. Постановление вступило в законную силу 18.02.2025.</v>
      </c>
    </row>
    <row r="428" spans="1:11" ht="96" x14ac:dyDescent="0.2">
      <c r="A428" s="16">
        <v>418</v>
      </c>
      <c r="B428" s="29">
        <v>45705</v>
      </c>
      <c r="C428" s="17" t="s">
        <v>502</v>
      </c>
      <c r="D428" s="16" t="s">
        <v>996</v>
      </c>
      <c r="E428" s="16" t="s">
        <v>8</v>
      </c>
      <c r="F428" s="26">
        <v>300000</v>
      </c>
      <c r="G428" s="16">
        <v>300000</v>
      </c>
      <c r="H428" s="16">
        <v>500000</v>
      </c>
      <c r="I428" s="16" t="s">
        <v>1060</v>
      </c>
      <c r="J428" s="17" t="str">
        <f>VLOOKUP(E428,статьи!$G$2:$H$24,2,TRUE)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28" s="17" t="str">
        <f>VLOOKUP(A428,'компании+описание'!$A$1:$D$438,4,)</f>
        <v>По результатам рассмотрения материалов дела об административном правонарушении № ЦА-34-ЮЛ-25-227,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«АЛОР +» назначено административное наказание в виде штрафа размером 300 000 (триста тысяч) рублей. Постановление от 31.01.2025 № 25-227/3110-1 о назначении административного наказания вступило в законную силу 15.02.2025.</v>
      </c>
    </row>
    <row r="429" spans="1:11" ht="96" x14ac:dyDescent="0.2">
      <c r="A429" s="16">
        <v>419</v>
      </c>
      <c r="B429" s="29">
        <v>45702</v>
      </c>
      <c r="C429" s="17" t="s">
        <v>504</v>
      </c>
      <c r="D429" s="16" t="s">
        <v>997</v>
      </c>
      <c r="E429" s="16" t="s">
        <v>23</v>
      </c>
      <c r="F429" s="26">
        <v>3000</v>
      </c>
      <c r="G429" s="16">
        <v>3000</v>
      </c>
      <c r="H429" s="16">
        <v>5000</v>
      </c>
      <c r="I429" s="16" t="s">
        <v>1060</v>
      </c>
      <c r="J429" s="17" t="str">
        <f>VLOOKUP(E429,статьи!$G$2:$H$24,2,TRUE)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29" s="17" t="str">
        <f>VLOOKUP(A429,'компании+описание'!$A$1:$D$438,4,)</f>
        <v>По результатам рассмотрения материалов дела об административном правонарушении № ЦА-34-Гр-25-121,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Тимиргалину Марату Рамильевичу назначено административное наказание в виде штрафа в размере 3 000 рублей. Постановление от 27.01.2025 № 25-121/3110-1 о назначении административного наказания вступило в законную силу 14.02.2025.</v>
      </c>
    </row>
    <row r="430" spans="1:11" ht="96" x14ac:dyDescent="0.2">
      <c r="A430" s="16">
        <v>420</v>
      </c>
      <c r="B430" s="29">
        <v>45699</v>
      </c>
      <c r="C430" s="17" t="s">
        <v>506</v>
      </c>
      <c r="D430" s="16" t="s">
        <v>997</v>
      </c>
      <c r="E430" s="16" t="s">
        <v>23</v>
      </c>
      <c r="F430" s="26">
        <v>3000</v>
      </c>
      <c r="G430" s="16">
        <v>3000</v>
      </c>
      <c r="H430" s="16">
        <v>5000</v>
      </c>
      <c r="I430" s="16" t="s">
        <v>1060</v>
      </c>
      <c r="J430" s="17" t="str">
        <f>VLOOKUP(E430,статьи!$G$2:$H$24,2,TRUE)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30" s="17" t="str">
        <f>VLOOKUP(A430,'компании+описание'!$A$1:$D$438,4,)</f>
        <v>По результатам рассмотрения материалов дела об административном правонарушении № ЦА-34-Гр-25-122, возбужденного за совершение административного правонарушения, ответственность за которое предусмотрена статьей 15.30 КоАП РФ, Борисовой Лидии Ивановне назначено административное наказание в виде штрафа в размере 3 000 рублей. Постановление о назначении административного наказания от 27.01.2025 № 25-122/3110-1 вступило в законную силу 11.02.2025.</v>
      </c>
    </row>
    <row r="431" spans="1:11" ht="80" x14ac:dyDescent="0.2">
      <c r="A431" s="16">
        <v>421</v>
      </c>
      <c r="B431" s="29">
        <v>45699</v>
      </c>
      <c r="C431" s="17" t="s">
        <v>298</v>
      </c>
      <c r="D431" s="16" t="s">
        <v>996</v>
      </c>
      <c r="E431" s="16" t="s">
        <v>80</v>
      </c>
      <c r="F431" s="26">
        <v>350000</v>
      </c>
      <c r="G431" s="16">
        <v>700000</v>
      </c>
      <c r="H431" s="16">
        <v>1000000</v>
      </c>
      <c r="I431" s="16" t="s">
        <v>1061</v>
      </c>
      <c r="J431" s="17" t="str">
        <f>VLOOKUP(E431,статьи!$G$2:$H$24,2,TRUE)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31" s="17" t="str">
        <f>VLOOKUP(A431,'компании+описание'!$A$1:$D$438,4,)</f>
        <v>По результатам рассмотрения материалов дела об административном правонарушении № ЦА-38-ЮЛ-25-31, возбужденного за совершение административного правонарушения, ответственность за которое предусмотрена частью 2 статьи 15.19 КоАП РФ, Обществу с ограниченной ответственностью «Управляющая компания «Терра Эссет Менеджмент» назначено административное наказание в виде штрафа в размере 350 000 рублей. Постановление вступило в законную силу 11.02.2025.</v>
      </c>
    </row>
    <row r="432" spans="1:11" ht="96" x14ac:dyDescent="0.2">
      <c r="A432" s="16">
        <v>422</v>
      </c>
      <c r="B432" s="29">
        <v>45698</v>
      </c>
      <c r="C432" s="17" t="s">
        <v>508</v>
      </c>
      <c r="D432" s="16" t="s">
        <v>997</v>
      </c>
      <c r="E432" s="16" t="s">
        <v>23</v>
      </c>
      <c r="F432" s="26">
        <v>3000</v>
      </c>
      <c r="G432" s="16">
        <v>3000</v>
      </c>
      <c r="H432" s="16">
        <v>5000</v>
      </c>
      <c r="I432" s="16" t="s">
        <v>1060</v>
      </c>
      <c r="J432" s="17" t="str">
        <f>VLOOKUP(E432,статьи!$G$2:$H$24,2,TRUE)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32" s="17" t="str">
        <f>VLOOKUP(A432,'компании+описание'!$A$1:$D$438,4,)</f>
        <v>По результатам рассмотрения материалов дела об административном правонарушении № ЦА-34-Гр-24-14596,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Новокрещеновой Ангелине Станиславовне назначено административное наказание в виде штрафа в размере 3 000 рублей. Постановление от 24.12.2024 № 24-14596/3110-1 о назначении административного наказания вступило в законную силу 08.02.2025.</v>
      </c>
    </row>
    <row r="433" spans="1:11" ht="80" x14ac:dyDescent="0.2">
      <c r="A433" s="16">
        <v>423</v>
      </c>
      <c r="B433" s="29">
        <v>45698</v>
      </c>
      <c r="C433" s="17" t="s">
        <v>509</v>
      </c>
      <c r="D433" s="16" t="s">
        <v>996</v>
      </c>
      <c r="E433" s="16" t="s">
        <v>83</v>
      </c>
      <c r="F433" s="26" t="s">
        <v>11</v>
      </c>
      <c r="G433" s="16">
        <v>500000</v>
      </c>
      <c r="H433" s="16">
        <v>700000</v>
      </c>
      <c r="I433" s="16" t="s">
        <v>1062</v>
      </c>
      <c r="J433" s="17" t="str">
        <f>VLOOKUP(E433,статьи!$G$2:$H$24,2,TRUE)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33" s="17" t="str">
        <f>VLOOKUP(A433,'компании+описание'!$A$1:$D$438,4,)</f>
        <v>По результатам рассмотрения материалов дела об административном правонарушении № ЦА-38-ЮЛ-25-12, возбужденного за совершение административного правонарушения, ответственность за которое предусмотрена частью 2 статьи 15.29 КоАП РФ, обществу с ограниченной ответственностью Концерну «ДЖЕНЕРАЛ-ИНВЕСТ» назначено административное наказание в виде предупреждения. Постановление вступило в законную силу 08.02.2025.</v>
      </c>
    </row>
    <row r="434" spans="1:11" ht="96" x14ac:dyDescent="0.2">
      <c r="A434" s="16">
        <v>424</v>
      </c>
      <c r="B434" s="29">
        <v>45685</v>
      </c>
      <c r="C434" s="17" t="s">
        <v>511</v>
      </c>
      <c r="D434" s="16" t="s">
        <v>997</v>
      </c>
      <c r="E434" s="16" t="s">
        <v>23</v>
      </c>
      <c r="F434" s="26">
        <v>3000</v>
      </c>
      <c r="G434" s="16">
        <v>3000</v>
      </c>
      <c r="H434" s="16">
        <v>5000</v>
      </c>
      <c r="I434" s="16" t="s">
        <v>1060</v>
      </c>
      <c r="J434" s="17" t="str">
        <f>VLOOKUP(E434,статьи!$G$2:$H$24,2,TRUE)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34" s="17" t="str">
        <f>VLOOKUP(A434,'компании+описание'!$A$1:$D$438,4,)</f>
        <v>По результатам рассмотрения материалов дела об административном правонарушении № ЦА-34-Гр-24-14523,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Меленковой Ирине Евгеньевне назначено административное наказание в виде штрафа в размере 3 000 рублей. Постановление от 24.12.2024 № 24-14523/3110-1 о назначении административного наказания вступило в законную силу 28.01.2025.</v>
      </c>
    </row>
    <row r="435" spans="1:11" ht="96" x14ac:dyDescent="0.2">
      <c r="A435" s="16">
        <v>425</v>
      </c>
      <c r="B435" s="29">
        <v>45684</v>
      </c>
      <c r="C435" s="17" t="s">
        <v>513</v>
      </c>
      <c r="D435" s="16" t="s">
        <v>997</v>
      </c>
      <c r="E435" s="16" t="s">
        <v>8</v>
      </c>
      <c r="F435" s="26" t="s">
        <v>11</v>
      </c>
      <c r="G435" s="16">
        <v>1000</v>
      </c>
      <c r="H435" s="16">
        <v>3000</v>
      </c>
      <c r="I435" s="16" t="s">
        <v>1062</v>
      </c>
      <c r="J435" s="17" t="str">
        <f>VLOOKUP(E435,статьи!$G$2:$H$24,2,TRUE)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35" s="17" t="str">
        <f>VLOOKUP(A435,'компании+описание'!$A$1:$D$438,4,)</f>
        <v>По результатам рассмотрения материалов дела об административном правонарушении № ЦА-38-ДЛ-24-14739, возбужденного за совершение административного правонарушения, ответственность за которое предусмотрена частью 12 статьи 15.29 КоАП РФ, заместителю генерального директора – контролеру общества с ограниченной ответственностью «Управляющая компания «Джи Пи Ай» Воропаеву Александру Андреевичу назначено административное наказание в виде предупреждения. Постановление вступило в законную силу 25.01.2025.</v>
      </c>
    </row>
    <row r="436" spans="1:11" ht="80" x14ac:dyDescent="0.2">
      <c r="A436" s="16">
        <v>426</v>
      </c>
      <c r="B436" s="29">
        <v>45684</v>
      </c>
      <c r="C436" s="17" t="s">
        <v>514</v>
      </c>
      <c r="D436" s="16" t="s">
        <v>996</v>
      </c>
      <c r="E436" s="16" t="s">
        <v>8</v>
      </c>
      <c r="F436" s="26">
        <v>150000</v>
      </c>
      <c r="G436" s="16">
        <v>300000</v>
      </c>
      <c r="H436" s="16">
        <v>500000</v>
      </c>
      <c r="I436" s="16" t="s">
        <v>1061</v>
      </c>
      <c r="J436" s="17" t="str">
        <f>VLOOKUP(E436,статьи!$G$2:$H$24,2,TRUE)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36" s="17" t="str">
        <f>VLOOKUP(A436,'компании+описание'!$A$1:$D$438,4,)</f>
        <v>По результатам рассмотрения материалов дела об административном правонарушении № ЦА-38-ЮЛ-24-14737,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«Управляющая компания «Джи Пи Ай» назначено административное наказание в виде штрафа в размере 150 000 рублей. Постановление вступило в законную силу 25.01.2025.</v>
      </c>
    </row>
    <row r="437" spans="1:11" ht="96" x14ac:dyDescent="0.2">
      <c r="A437" s="16">
        <v>427</v>
      </c>
      <c r="B437" s="29">
        <v>45678</v>
      </c>
      <c r="C437" s="17" t="s">
        <v>516</v>
      </c>
      <c r="D437" s="16" t="s">
        <v>997</v>
      </c>
      <c r="E437" s="16" t="s">
        <v>23</v>
      </c>
      <c r="F437" s="26">
        <v>3000</v>
      </c>
      <c r="G437" s="16">
        <v>3000</v>
      </c>
      <c r="H437" s="16">
        <v>5000</v>
      </c>
      <c r="I437" s="16" t="s">
        <v>1060</v>
      </c>
      <c r="J437" s="17" t="str">
        <f>VLOOKUP(E437,статьи!$G$2:$H$24,2,TRUE)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37" s="17" t="str">
        <f>VLOOKUP(A437,'компании+описание'!$A$1:$D$438,4,)</f>
        <v>По результатам рассмотрения материалов дела об административном правонарушении № ЦА-34-Гр-24-14521,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Меленковой Валентине Андреевне назначено административное наказание в виде штрафа в размере 3 000 рублей. Постановление от 24.12.2024 № 24-14521/3110-1 о назначении административного наказания вступило в законную силу 21.01.2025.</v>
      </c>
    </row>
    <row r="438" spans="1:11" ht="160" x14ac:dyDescent="0.2">
      <c r="A438" s="16">
        <v>428</v>
      </c>
      <c r="B438" s="29">
        <v>45667</v>
      </c>
      <c r="C438" s="17" t="s">
        <v>82</v>
      </c>
      <c r="D438" s="16" t="s">
        <v>996</v>
      </c>
      <c r="E438" s="16" t="s">
        <v>5</v>
      </c>
      <c r="F438" s="26">
        <v>700000</v>
      </c>
      <c r="G438" s="16">
        <v>700000</v>
      </c>
      <c r="H438" s="16">
        <v>1000000</v>
      </c>
      <c r="I438" s="16" t="s">
        <v>1060</v>
      </c>
      <c r="J438" s="17" t="str">
        <f>VLOOKUP(E438,статьи!$G$2:$H$24,2,TRUE)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438" s="17" t="str">
        <f>VLOOKUP(A438,'компании+описание'!$A$1:$D$438,4,)</f>
        <v>По результатам рассмотрения материалов дела об административном правонарушении № ЦА-38-ЮЛ-24-14467, возбужденного за совершение административного правонарушения, ответственность за которое предусмотрена частью 9 статьи 15.29 КоАП РФ, Акционерному обществу «Инвестиционная компания «РИКОМ-ТРАСТ» назначено административное наказание в виде штрафа в размере 700 000 рублей. Постановление вступило в законную силу 10.01.2025.По результатам рассмотрения материалов дела об административном правонарушении № ЦА-38-ЮЛ-24-14468, возбужденного за совершение административного правонарушения, ответственность за которое предусмотрена частью 9 статьи 15.29 КоАП РФ, Акционерному обществу «Инвестиционная компания «РИКОМ-ТРАСТ» назначено административное наказание в виде штрафа в размере 700 000 рублей. Постановление вступило в законную силу 10.01.2025.</v>
      </c>
    </row>
    <row r="439" spans="1:11" ht="160" x14ac:dyDescent="0.2">
      <c r="A439" s="16">
        <v>428</v>
      </c>
      <c r="B439" s="29">
        <v>45667</v>
      </c>
      <c r="C439" s="17" t="s">
        <v>82</v>
      </c>
      <c r="D439" s="16" t="s">
        <v>996</v>
      </c>
      <c r="E439" s="16" t="s">
        <v>5</v>
      </c>
      <c r="F439" s="26">
        <v>700000</v>
      </c>
      <c r="G439" s="16">
        <v>700000</v>
      </c>
      <c r="H439" s="16">
        <v>1000000</v>
      </c>
      <c r="I439" s="16" t="s">
        <v>1060</v>
      </c>
      <c r="J439" s="17" t="str">
        <f>VLOOKUP(E439,статьи!$G$2:$H$24,2,TRUE)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439" s="17" t="str">
        <f>VLOOKUP(A439,'компании+описание'!$A$1:$D$438,4,)</f>
        <v>По результатам рассмотрения материалов дела об административном правонарушении № ЦА-38-ЮЛ-24-14467, возбужденного за совершение административного правонарушения, ответственность за которое предусмотрена частью 9 статьи 15.29 КоАП РФ, Акционерному обществу «Инвестиционная компания «РИКОМ-ТРАСТ» назначено административное наказание в виде штрафа в размере 700 000 рублей. Постановление вступило в законную силу 10.01.2025.По результатам рассмотрения материалов дела об административном правонарушении № ЦА-38-ЮЛ-24-14468, возбужденного за совершение административного правонарушения, ответственность за которое предусмотрена частью 9 статьи 15.29 КоАП РФ, Акционерному обществу «Инвестиционная компания «РИКОМ-ТРАСТ» назначено административное наказание в виде штрафа в размере 700 000 рублей. Постановление вступило в законную силу 10.01.2025.</v>
      </c>
    </row>
    <row r="440" spans="1:11" ht="80" x14ac:dyDescent="0.2">
      <c r="A440" s="16">
        <v>429</v>
      </c>
      <c r="B440" s="29">
        <v>45667</v>
      </c>
      <c r="C440" s="17" t="s">
        <v>99</v>
      </c>
      <c r="D440" s="16" t="s">
        <v>996</v>
      </c>
      <c r="E440" s="16" t="s">
        <v>80</v>
      </c>
      <c r="F440" s="26">
        <v>700000</v>
      </c>
      <c r="G440" s="16">
        <v>700000</v>
      </c>
      <c r="H440" s="16">
        <v>1000000</v>
      </c>
      <c r="I440" s="16" t="s">
        <v>1060</v>
      </c>
      <c r="J440" s="17" t="str">
        <f>VLOOKUP(E440,статьи!$G$2:$H$24,2,TRUE)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40" s="17" t="str">
        <f>VLOOKUP(A440,'компании+описание'!$A$1:$D$438,4,)</f>
        <v>По результатам рассмотрения материалов дела об административном правонарушении № ЦА-38-ЮЛ-24-14556 возбужденного за совершение административного правонарушения, ответственность за которое предусмотрена частью 2 статьи 15.19 КоАП РФ, АО УК «Первая» назначено административное наказание в виде штрафа в размере 700 000 рублей. Постановление вступило в законную силу 10.01.2025.</v>
      </c>
    </row>
    <row r="441" spans="1:11" ht="160" x14ac:dyDescent="0.2">
      <c r="A441" s="16">
        <v>430</v>
      </c>
      <c r="B441" s="29">
        <v>45667</v>
      </c>
      <c r="C441" s="17" t="s">
        <v>85</v>
      </c>
      <c r="D441" s="16" t="s">
        <v>996</v>
      </c>
      <c r="E441" s="16" t="s">
        <v>7</v>
      </c>
      <c r="F441" s="26">
        <v>700000</v>
      </c>
      <c r="G441" s="16">
        <v>700000</v>
      </c>
      <c r="H441" s="16">
        <v>1000000</v>
      </c>
      <c r="I441" s="16" t="s">
        <v>1060</v>
      </c>
      <c r="J441" s="17" t="str">
        <f>VLOOKUP(E441,статьи!$G$2:$H$24,2,TRUE)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441" s="17" t="str">
        <f>VLOOKUP(A441,'компании+описание'!$A$1:$D$438,4,)</f>
        <v>По результатам рассмотрения материалов дела об административном правонарушении № ЦА-38-ЮЛ-24-14620, возбужденного за совершение административного правонарушения, ответственность за которое предусмотрена частью 6 статьи 15.29 КоАП РФ, Обществу с ограниченной ответственностью «РСХБ Управление Активами» назначено административное наказание в виде штрафа в размере 700 000 рублей. Постановление вступило в законную силу 10.01.2025.По результатам рассмотрения материалов дела об административном правонарушении № ЦА-38-ЮЛ-24-14719,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«РСХБ Управление Активами» назначено административное наказание в виде штрафа в размере 300 000 рублей. Постановление вступило в законную силу 10.01.2025.</v>
      </c>
    </row>
    <row r="442" spans="1:11" ht="160" x14ac:dyDescent="0.2">
      <c r="A442" s="16">
        <v>430</v>
      </c>
      <c r="B442" s="29">
        <v>45667</v>
      </c>
      <c r="C442" s="17" t="s">
        <v>85</v>
      </c>
      <c r="D442" s="16" t="s">
        <v>996</v>
      </c>
      <c r="E442" s="16" t="s">
        <v>8</v>
      </c>
      <c r="F442" s="26">
        <v>300000</v>
      </c>
      <c r="G442" s="16">
        <v>300000</v>
      </c>
      <c r="H442" s="16">
        <v>500000</v>
      </c>
      <c r="I442" s="16" t="s">
        <v>1060</v>
      </c>
      <c r="J442" s="17" t="str">
        <f>VLOOKUP(E442,статьи!$G$2:$H$24,2,TRUE)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42" s="17" t="str">
        <f>VLOOKUP(A442,'компании+описание'!$A$1:$D$438,4,)</f>
        <v>По результатам рассмотрения материалов дела об административном правонарушении № ЦА-38-ЮЛ-24-14620, возбужденного за совершение административного правонарушения, ответственность за которое предусмотрена частью 6 статьи 15.29 КоАП РФ, Обществу с ограниченной ответственностью «РСХБ Управление Активами» назначено административное наказание в виде штрафа в размере 700 000 рублей. Постановление вступило в законную силу 10.01.2025.По результатам рассмотрения материалов дела об административном правонарушении № ЦА-38-ЮЛ-24-14719,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«РСХБ Управление Активами» назначено административное наказание в виде штрафа в размере 300 000 рублей. Постановление вступило в законную силу 10.01.2025.</v>
      </c>
    </row>
    <row r="443" spans="1:11" ht="80" x14ac:dyDescent="0.2">
      <c r="A443" s="16">
        <v>431</v>
      </c>
      <c r="B443" s="29">
        <v>45667</v>
      </c>
      <c r="C443" s="17" t="s">
        <v>284</v>
      </c>
      <c r="D443" s="16" t="s">
        <v>996</v>
      </c>
      <c r="E443" s="16" t="s">
        <v>83</v>
      </c>
      <c r="F443" s="26">
        <v>500000</v>
      </c>
      <c r="G443" s="16">
        <v>500000</v>
      </c>
      <c r="H443" s="16">
        <v>700000</v>
      </c>
      <c r="I443" s="16" t="s">
        <v>1060</v>
      </c>
      <c r="J443" s="17" t="str">
        <f>VLOOKUP(E443,статьи!$G$2:$H$24,2,TRUE)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43" s="17" t="str">
        <f>VLOOKUP(A443,'компании+описание'!$A$1:$D$438,4,)</f>
        <v>По результатам рассмотрения материалов дела об административном правонарушении № ЦА-38-ЮЛ-24-14561, возбужденного за совершение административного правонарушения, ответственность за которое предусмотрена частью 2 статьи 15.29 КоАП РФ, Акционерному обществу «Инвестиционная компания «Ай Ти Инвест» назначено административное наказание в виде штрафа в размере 500 000 рублей. Постановление вступило в законную силу 10.01.2025.</v>
      </c>
    </row>
    <row r="444" spans="1:11" ht="80" x14ac:dyDescent="0.2">
      <c r="A444" s="16">
        <v>432</v>
      </c>
      <c r="B444" s="29">
        <v>45667</v>
      </c>
      <c r="C444" s="17" t="s">
        <v>518</v>
      </c>
      <c r="D444" s="16" t="s">
        <v>996</v>
      </c>
      <c r="E444" s="16" t="s">
        <v>83</v>
      </c>
      <c r="F444" s="26" t="s">
        <v>11</v>
      </c>
      <c r="G444" s="16">
        <v>500000</v>
      </c>
      <c r="H444" s="16">
        <v>700000</v>
      </c>
      <c r="I444" s="16" t="s">
        <v>1062</v>
      </c>
      <c r="J444" s="17" t="str">
        <f>VLOOKUP(E444,статьи!$G$2:$H$24,2,TRUE)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44" s="17" t="str">
        <f>VLOOKUP(A444,'компании+описание'!$A$1:$D$438,4,)</f>
        <v>По результатам рассмотрения материалов дела об административном правонарушении № ЦА-38-ЮЛ-24-14219, возбужденного за совершение административного правонарушения, ответственность за которое предусмотрена частью 2 статьи 15.29 КоАП РФ, Обществу с ограниченной ответственностью Инвестиционной компании «Айсберг Финанс» назначено административное наказание в виде предупреждения. Постановление вступило в законную силу 10.01.2025.</v>
      </c>
    </row>
    <row r="445" spans="1:11" ht="176" x14ac:dyDescent="0.2">
      <c r="A445" s="16">
        <v>433</v>
      </c>
      <c r="B445" s="29">
        <v>45666</v>
      </c>
      <c r="C445" s="17" t="s">
        <v>285</v>
      </c>
      <c r="D445" s="16" t="s">
        <v>996</v>
      </c>
      <c r="E445" s="16" t="s">
        <v>75</v>
      </c>
      <c r="F445" s="26" t="s">
        <v>11</v>
      </c>
      <c r="G445" s="16">
        <v>500000</v>
      </c>
      <c r="H445" s="16">
        <v>700000</v>
      </c>
      <c r="I445" s="16" t="s">
        <v>1062</v>
      </c>
      <c r="J445" s="17" t="str">
        <f>VLOOKUP(E445,статьи!$G$2:$H$24,2,TRUE)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45" s="17" t="str">
        <f>VLOOKUP(A445,'компании+описание'!$A$1:$D$438,4,)</f>
        <v>По результатам рассмотрения материалов дела об административном правонарушении № ЦА-34-ЮЛ-24-14353, возбужденного за совершение административного правонарушения, ответственность за которое предусмотрена частью 1 статьи 19.7.3 КоАП РФ, Обществу с ограниченной ответственностью «ИНВЕСТИРУЙ В» назначено административное наказание в виде предупреждения. Постановление вступило в законную силу 31.12.2024.
По результатам рассмотрения материалов дела об административном правонарушении № ЦА-34-ЮЛ-24-14354, возбужденного за совершение административного правонарушения, ответственность за которое предусмотрена частью 9 статьи 19.5 КоАП РФ, Обществу с ограниченной ответственностью «ИНВЕСТИРУЙ В»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17.12.2024 № 24-14354/3110-1 вступило в законную силу 31.12.2024.</v>
      </c>
    </row>
    <row r="446" spans="1:11" ht="176" x14ac:dyDescent="0.2">
      <c r="A446" s="16">
        <v>433</v>
      </c>
      <c r="B446" s="29">
        <v>45666</v>
      </c>
      <c r="C446" s="17" t="s">
        <v>285</v>
      </c>
      <c r="D446" s="16" t="s">
        <v>996</v>
      </c>
      <c r="E446" s="16" t="s">
        <v>72</v>
      </c>
      <c r="F446" s="26">
        <v>250000</v>
      </c>
      <c r="G446" s="16">
        <v>500000</v>
      </c>
      <c r="H446" s="16">
        <v>700000</v>
      </c>
      <c r="I446" s="16" t="s">
        <v>1061</v>
      </c>
      <c r="J446" s="17" t="str">
        <f>VLOOKUP(E446,статьи!$G$2:$H$24,2,TRUE)</f>
        <v>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v>
      </c>
      <c r="K446" s="17" t="str">
        <f>VLOOKUP(A446,'компании+описание'!$A$1:$D$438,4,)</f>
        <v>По результатам рассмотрения материалов дела об административном правонарушении № ЦА-34-ЮЛ-24-14353, возбужденного за совершение административного правонарушения, ответственность за которое предусмотрена частью 1 статьи 19.7.3 КоАП РФ, Обществу с ограниченной ответственностью «ИНВЕСТИРУЙ В» назначено административное наказание в виде предупреждения. Постановление вступило в законную силу 31.12.2024.
По результатам рассмотрения материалов дела об административном правонарушении № ЦА-34-ЮЛ-24-14354, возбужденного за совершение административного правонарушения, ответственность за которое предусмотрена частью 9 статьи 19.5 КоАП РФ, Обществу с ограниченной ответственностью «ИНВЕСТИРУЙ В»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17.12.2024 № 24-14354/3110-1 вступило в законную силу 31.12.2024.</v>
      </c>
    </row>
    <row r="447" spans="1:11" ht="96" x14ac:dyDescent="0.2">
      <c r="A447" s="16">
        <v>434</v>
      </c>
      <c r="B447" s="29">
        <v>45666</v>
      </c>
      <c r="C447" s="17" t="s">
        <v>520</v>
      </c>
      <c r="D447" s="16" t="s">
        <v>996</v>
      </c>
      <c r="E447" s="16" t="s">
        <v>75</v>
      </c>
      <c r="F447" s="26" t="s">
        <v>11</v>
      </c>
      <c r="G447" s="16">
        <v>500000</v>
      </c>
      <c r="H447" s="16">
        <v>700000</v>
      </c>
      <c r="I447" s="16" t="s">
        <v>1062</v>
      </c>
      <c r="J447" s="17" t="str">
        <f>VLOOKUP(E447,статьи!$G$2:$H$24,2,TRUE)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47" s="17" t="str">
        <f>VLOOKUP(A447,'компании+описание'!$A$1:$D$438,4,)</f>
        <v>По результатам рассмотрения материалов дела об административном правонарушении № ЦА-34-ЮЛ-24-14178,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"Т2 Мобайл" назначено административное наказание в виде предупреждения. Постановление от 16.12.2024 № ЦА-34-ЮЛ-24-14178/3120-1 о назначении административного наказания вступило в законную силу 03.01.2025.</v>
      </c>
    </row>
    <row r="448" spans="1:11" ht="96" x14ac:dyDescent="0.2">
      <c r="A448" s="16">
        <v>435</v>
      </c>
      <c r="B448" s="29">
        <v>45666</v>
      </c>
      <c r="C448" s="17" t="s">
        <v>457</v>
      </c>
      <c r="D448" s="16" t="s">
        <v>997</v>
      </c>
      <c r="E448" s="16" t="s">
        <v>23</v>
      </c>
      <c r="F448" s="26">
        <v>3000</v>
      </c>
      <c r="G448" s="16">
        <v>3000</v>
      </c>
      <c r="H448" s="16">
        <v>5000</v>
      </c>
      <c r="I448" s="16" t="s">
        <v>1060</v>
      </c>
      <c r="J448" s="17" t="str">
        <f>VLOOKUP(E448,статьи!$G$2:$H$24,2,TRUE)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48" s="17" t="str">
        <f>VLOOKUP(A448,'компании+описание'!$A$1:$D$438,4,)</f>
        <v>По результатам рассмотрения материалов дела об административном правонарушении № ЦА-34-Гр-24-13419,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Юшкову Никите Константиновичу назначено административное наказание в виде штрафа в размере 3 000 рублей. Постановление от 02.12.2024 № 24-13419/3110-1 о назначении административного наказания вступило в законную силу 03.01.2025.</v>
      </c>
    </row>
    <row r="449" spans="1:11" ht="96" x14ac:dyDescent="0.2">
      <c r="A449" s="16">
        <v>436</v>
      </c>
      <c r="B449" s="29">
        <v>45666</v>
      </c>
      <c r="C449" s="17" t="s">
        <v>458</v>
      </c>
      <c r="D449" s="16" t="s">
        <v>997</v>
      </c>
      <c r="E449" s="16" t="s">
        <v>23</v>
      </c>
      <c r="F449" s="26">
        <v>3000</v>
      </c>
      <c r="G449" s="16">
        <v>3000</v>
      </c>
      <c r="H449" s="16">
        <v>5000</v>
      </c>
      <c r="I449" s="16" t="s">
        <v>1060</v>
      </c>
      <c r="J449" s="17" t="str">
        <f>VLOOKUP(E449,статьи!$G$2:$H$24,2,TRUE)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49" s="17" t="str">
        <f>VLOOKUP(A449,'компании+описание'!$A$1:$D$438,4,)</f>
        <v>По результатам рассмотрения материалов дела об административном правонарушении № ЦА-34-Гр-24-13418,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Юшкову Константину Михайловичу назначено административное наказание в виде штрафа в размере 3 000 рублей. Постановление от 02.12.2024 № 24-13418/3110-1 о назначении административного наказания вступило в законную силу 03.01.2025.</v>
      </c>
    </row>
    <row r="450" spans="1:11" ht="80" x14ac:dyDescent="0.2">
      <c r="A450" s="16">
        <v>437</v>
      </c>
      <c r="B450" s="29">
        <v>45666</v>
      </c>
      <c r="C450" s="17" t="s">
        <v>99</v>
      </c>
      <c r="D450" s="16" t="s">
        <v>996</v>
      </c>
      <c r="E450" s="16" t="s">
        <v>8</v>
      </c>
      <c r="F450" s="26">
        <v>300000</v>
      </c>
      <c r="G450" s="16">
        <v>300000</v>
      </c>
      <c r="H450" s="16">
        <v>500000</v>
      </c>
      <c r="I450" s="16" t="s">
        <v>1060</v>
      </c>
      <c r="J450" s="17" t="str">
        <f>VLOOKUP(E450,статьи!$G$2:$H$24,2,TRUE)</f>
        <v>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v>
      </c>
      <c r="K450" s="17" t="str">
        <f>VLOOKUP(A450,'компании+описание'!$A$1:$D$438,4,)</f>
        <v>По результатам рассмотрения материалов дела об административном правонарушении № ЦА-38-ЮЛ-24-14076 возбужденного за совершение административного правонарушения, ответственность за которое предусмотрена частью 12 статьи 15.29 КоАП РФ, АО УК «Первая» назначено административное наказание в виде штрафа в размере 300 000 рублей. Постановление вступило в законную силу 29.12.2024.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7</vt:i4>
      </vt:variant>
    </vt:vector>
  </HeadingPairs>
  <TitlesOfParts>
    <vt:vector size="7" baseType="lpstr">
      <vt:lpstr>компании+описание</vt:lpstr>
      <vt:lpstr>готовая таблица</vt:lpstr>
      <vt:lpstr>статьи</vt:lpstr>
      <vt:lpstr>дашборды</vt:lpstr>
      <vt:lpstr>впр</vt:lpstr>
      <vt:lpstr>копия</vt:lpstr>
      <vt:lpstr>чистые данные</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2026-02-24T08:21:01Z</dcterms:created>
  <dcterms:modified xsi:type="dcterms:W3CDTF">2026-03-03T09:19:27Z</dcterms:modified>
</cp:coreProperties>
</file>